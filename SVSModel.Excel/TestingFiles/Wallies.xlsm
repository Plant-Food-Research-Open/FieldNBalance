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4A37AA74-48BB-4C48-8890-4F2E43D3936D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Interface'!$I$7:$U$1000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6" i="3" l="1"/>
  <c r="D20" i="1"/>
  <c r="B5" i="3" s="1"/>
  <c r="D24" i="1"/>
  <c r="B8" i="3" s="1"/>
  <c r="D22" i="1"/>
  <c r="B3" i="3" s="1"/>
  <c r="D19" i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I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I3" i="3" s="1"/>
  <c r="B19" i="3"/>
  <c r="I6" i="3" a="1"/>
  <c r="S7" i="3" l="1"/>
  <c r="R12" i="3"/>
  <c r="Q17" i="3"/>
  <c r="P22" i="3"/>
  <c r="O27" i="3"/>
  <c r="N32" i="3"/>
  <c r="M37" i="3"/>
  <c r="L42" i="3"/>
  <c r="K47" i="3"/>
  <c r="J52" i="3"/>
  <c r="I57" i="3"/>
  <c r="R9" i="3"/>
  <c r="Q14" i="3"/>
  <c r="P19" i="3"/>
  <c r="O24" i="3"/>
  <c r="N29" i="3"/>
  <c r="X29" i="3" s="1"/>
  <c r="M34" i="3"/>
  <c r="L39" i="3"/>
  <c r="K44" i="3"/>
  <c r="J49" i="3"/>
  <c r="I54" i="3"/>
  <c r="R6" i="3"/>
  <c r="Q11" i="3"/>
  <c r="P16" i="3"/>
  <c r="O21" i="3"/>
  <c r="N26" i="3"/>
  <c r="M31" i="3"/>
  <c r="L36" i="3"/>
  <c r="K41" i="3"/>
  <c r="J46" i="3"/>
  <c r="I51" i="3"/>
  <c r="U55" i="3"/>
  <c r="Q8" i="3"/>
  <c r="P13" i="3"/>
  <c r="O18" i="3"/>
  <c r="N23" i="3"/>
  <c r="X23" i="3" s="1"/>
  <c r="M28" i="3"/>
  <c r="L33" i="3"/>
  <c r="R8" i="3"/>
  <c r="Q13" i="3"/>
  <c r="P18" i="3"/>
  <c r="O23" i="3"/>
  <c r="N28" i="3"/>
  <c r="X28" i="3" s="1"/>
  <c r="M33" i="3"/>
  <c r="L38" i="3"/>
  <c r="K43" i="3"/>
  <c r="K10" i="3"/>
  <c r="J15" i="3"/>
  <c r="I20" i="3"/>
  <c r="U24" i="3"/>
  <c r="T29" i="3"/>
  <c r="S34" i="3"/>
  <c r="R39" i="3"/>
  <c r="Q44" i="3"/>
  <c r="P49" i="3"/>
  <c r="O54" i="3"/>
  <c r="S8" i="3"/>
  <c r="O28" i="3"/>
  <c r="T43" i="3"/>
  <c r="R53" i="3"/>
  <c r="T60" i="3"/>
  <c r="S65" i="3"/>
  <c r="R70" i="3"/>
  <c r="Q75" i="3"/>
  <c r="R18" i="3"/>
  <c r="P37" i="3"/>
  <c r="T48" i="3"/>
  <c r="O58" i="3"/>
  <c r="N63" i="3"/>
  <c r="M68" i="3"/>
  <c r="L73" i="3"/>
  <c r="K78" i="3"/>
  <c r="J83" i="3"/>
  <c r="I88" i="3"/>
  <c r="U92" i="3"/>
  <c r="T97" i="3"/>
  <c r="N9" i="3"/>
  <c r="J29" i="3"/>
  <c r="M44" i="3"/>
  <c r="K54" i="3"/>
  <c r="I61" i="3"/>
  <c r="U65" i="3"/>
  <c r="T70" i="3"/>
  <c r="S75" i="3"/>
  <c r="R80" i="3"/>
  <c r="N8" i="3"/>
  <c r="M13" i="3"/>
  <c r="L18" i="3"/>
  <c r="K23" i="3"/>
  <c r="J28" i="3"/>
  <c r="I33" i="3"/>
  <c r="U37" i="3"/>
  <c r="T42" i="3"/>
  <c r="S47" i="3"/>
  <c r="R52" i="3"/>
  <c r="Q57" i="3"/>
  <c r="M10" i="3"/>
  <c r="L15" i="3"/>
  <c r="K20" i="3"/>
  <c r="J25" i="3"/>
  <c r="I30" i="3"/>
  <c r="U34" i="3"/>
  <c r="T39" i="3"/>
  <c r="S44" i="3"/>
  <c r="R49" i="3"/>
  <c r="Q54" i="3"/>
  <c r="M7" i="3"/>
  <c r="L12" i="3"/>
  <c r="K17" i="3"/>
  <c r="J22" i="3"/>
  <c r="I27" i="3"/>
  <c r="U31" i="3"/>
  <c r="T36" i="3"/>
  <c r="S41" i="3"/>
  <c r="R46" i="3"/>
  <c r="Q51" i="3"/>
  <c r="P56" i="3"/>
  <c r="L9" i="3"/>
  <c r="K14" i="3"/>
  <c r="J19" i="3"/>
  <c r="I24" i="3"/>
  <c r="U28" i="3"/>
  <c r="T33" i="3"/>
  <c r="M9" i="3"/>
  <c r="L14" i="3"/>
  <c r="K19" i="3"/>
  <c r="J24" i="3"/>
  <c r="I29" i="3"/>
  <c r="U33" i="3"/>
  <c r="T38" i="3"/>
  <c r="S43" i="3"/>
  <c r="S10" i="3"/>
  <c r="R15" i="3"/>
  <c r="Q20" i="3"/>
  <c r="P25" i="3"/>
  <c r="O30" i="3"/>
  <c r="N35" i="3"/>
  <c r="X35" i="3" s="1"/>
  <c r="M40" i="3"/>
  <c r="L45" i="3"/>
  <c r="K50" i="3"/>
  <c r="J55" i="3"/>
  <c r="L11" i="3"/>
  <c r="U30" i="3"/>
  <c r="J45" i="3"/>
  <c r="U54" i="3"/>
  <c r="O61" i="3"/>
  <c r="N66" i="3"/>
  <c r="X66" i="3" s="1"/>
  <c r="M71" i="3"/>
  <c r="L76" i="3"/>
  <c r="K21" i="3"/>
  <c r="I39" i="3"/>
  <c r="J50" i="3"/>
  <c r="J59" i="3"/>
  <c r="I64" i="3"/>
  <c r="U68" i="3"/>
  <c r="T73" i="3"/>
  <c r="S78" i="3"/>
  <c r="R83" i="3"/>
  <c r="Q88" i="3"/>
  <c r="P93" i="3"/>
  <c r="O98" i="3"/>
  <c r="T11" i="3"/>
  <c r="P31" i="3"/>
  <c r="P45" i="3"/>
  <c r="N55" i="3"/>
  <c r="Q61" i="3"/>
  <c r="P66" i="3"/>
  <c r="O71" i="3"/>
  <c r="N76" i="3"/>
  <c r="X76" i="3" s="1"/>
  <c r="M81" i="3"/>
  <c r="Q9" i="3"/>
  <c r="P14" i="3"/>
  <c r="O19" i="3"/>
  <c r="N24" i="3"/>
  <c r="M29" i="3"/>
  <c r="L34" i="3"/>
  <c r="K39" i="3"/>
  <c r="J44" i="3"/>
  <c r="I49" i="3"/>
  <c r="U53" i="3"/>
  <c r="Q6" i="3"/>
  <c r="P11" i="3"/>
  <c r="O16" i="3"/>
  <c r="N21" i="3"/>
  <c r="X21" i="3" s="1"/>
  <c r="M26" i="3"/>
  <c r="L31" i="3"/>
  <c r="K36" i="3"/>
  <c r="J41" i="3"/>
  <c r="I46" i="3"/>
  <c r="U50" i="3"/>
  <c r="T55" i="3"/>
  <c r="P8" i="3"/>
  <c r="O13" i="3"/>
  <c r="N18" i="3"/>
  <c r="M23" i="3"/>
  <c r="L28" i="3"/>
  <c r="K33" i="3"/>
  <c r="J38" i="3"/>
  <c r="I43" i="3"/>
  <c r="U47" i="3"/>
  <c r="T52" i="3"/>
  <c r="S57" i="3"/>
  <c r="O10" i="3"/>
  <c r="N15" i="3"/>
  <c r="X15" i="3" s="1"/>
  <c r="M20" i="3"/>
  <c r="L25" i="3"/>
  <c r="K30" i="3"/>
  <c r="J35" i="3"/>
  <c r="P10" i="3"/>
  <c r="O15" i="3"/>
  <c r="N20" i="3"/>
  <c r="X20" i="3" s="1"/>
  <c r="M25" i="3"/>
  <c r="L30" i="3"/>
  <c r="K35" i="3"/>
  <c r="J40" i="3"/>
  <c r="J7" i="3"/>
  <c r="I12" i="3"/>
  <c r="U16" i="3"/>
  <c r="T21" i="3"/>
  <c r="S26" i="3"/>
  <c r="R31" i="3"/>
  <c r="Q36" i="3"/>
  <c r="P41" i="3"/>
  <c r="O46" i="3"/>
  <c r="N51" i="3"/>
  <c r="X51" i="3" s="1"/>
  <c r="M56" i="3"/>
  <c r="K16" i="3"/>
  <c r="R35" i="3"/>
  <c r="P47" i="3"/>
  <c r="N57" i="3"/>
  <c r="R62" i="3"/>
  <c r="Q67" i="3"/>
  <c r="P72" i="3"/>
  <c r="N6" i="3"/>
  <c r="J26" i="3"/>
  <c r="O42" i="3"/>
  <c r="P52" i="3"/>
  <c r="M60" i="3"/>
  <c r="L65" i="3"/>
  <c r="K70" i="3"/>
  <c r="J75" i="3"/>
  <c r="I80" i="3"/>
  <c r="U84" i="3"/>
  <c r="T89" i="3"/>
  <c r="S94" i="3"/>
  <c r="R99" i="3"/>
  <c r="S16" i="3"/>
  <c r="U35" i="3"/>
  <c r="I48" i="3"/>
  <c r="T57" i="3"/>
  <c r="T62" i="3"/>
  <c r="S67" i="3"/>
  <c r="R72" i="3"/>
  <c r="Q77" i="3"/>
  <c r="P82" i="3"/>
  <c r="I9" i="3"/>
  <c r="N16" i="3"/>
  <c r="X16" i="3" s="1"/>
  <c r="I25" i="3"/>
  <c r="S31" i="3"/>
  <c r="N40" i="3"/>
  <c r="X40" i="3" s="1"/>
  <c r="N48" i="3"/>
  <c r="S55" i="3"/>
  <c r="K12" i="3"/>
  <c r="U18" i="3"/>
  <c r="P27" i="3"/>
  <c r="P35" i="3"/>
  <c r="U42" i="3"/>
  <c r="P51" i="3"/>
  <c r="J6" i="3"/>
  <c r="R14" i="3"/>
  <c r="R22" i="3"/>
  <c r="J30" i="3"/>
  <c r="R38" i="3"/>
  <c r="O45" i="3"/>
  <c r="J54" i="3"/>
  <c r="T9" i="3"/>
  <c r="L17" i="3"/>
  <c r="T25" i="3"/>
  <c r="Q32" i="3"/>
  <c r="S11" i="3"/>
  <c r="S19" i="3"/>
  <c r="K27" i="3"/>
  <c r="S35" i="3"/>
  <c r="P42" i="3"/>
  <c r="L13" i="3"/>
  <c r="L21" i="3"/>
  <c r="Q28" i="3"/>
  <c r="L37" i="3"/>
  <c r="I44" i="3"/>
  <c r="Q52" i="3"/>
  <c r="R13" i="3"/>
  <c r="Q40" i="3"/>
  <c r="N58" i="3"/>
  <c r="K65" i="3"/>
  <c r="S73" i="3"/>
  <c r="Q23" i="3"/>
  <c r="N46" i="3"/>
  <c r="X46" i="3" s="1"/>
  <c r="U60" i="3"/>
  <c r="R67" i="3"/>
  <c r="M76" i="3"/>
  <c r="M84" i="3"/>
  <c r="R91" i="3"/>
  <c r="M100" i="3"/>
  <c r="Q26" i="3"/>
  <c r="O50" i="3"/>
  <c r="L62" i="3"/>
  <c r="Q69" i="3"/>
  <c r="L78" i="3"/>
  <c r="I85" i="3"/>
  <c r="U89" i="3"/>
  <c r="T94" i="3"/>
  <c r="I7" i="3"/>
  <c r="R26" i="3"/>
  <c r="R42" i="3"/>
  <c r="I53" i="3"/>
  <c r="O60" i="3"/>
  <c r="N65" i="3"/>
  <c r="M70" i="3"/>
  <c r="L75" i="3"/>
  <c r="K80" i="3"/>
  <c r="J85" i="3"/>
  <c r="I90" i="3"/>
  <c r="I15" i="3"/>
  <c r="R34" i="3"/>
  <c r="I47" i="3"/>
  <c r="T56" i="3"/>
  <c r="O62" i="3"/>
  <c r="N67" i="3"/>
  <c r="X67" i="3" s="1"/>
  <c r="M72" i="3"/>
  <c r="L77" i="3"/>
  <c r="K8" i="3"/>
  <c r="T27" i="3"/>
  <c r="M43" i="3"/>
  <c r="P53" i="3"/>
  <c r="L8" i="3"/>
  <c r="R60" i="3"/>
  <c r="R73" i="3"/>
  <c r="I84" i="3"/>
  <c r="U91" i="3"/>
  <c r="Q98" i="3"/>
  <c r="I104" i="3"/>
  <c r="U108" i="3"/>
  <c r="T113" i="3"/>
  <c r="L10" i="3"/>
  <c r="I17" i="3"/>
  <c r="Q25" i="3"/>
  <c r="Q33" i="3"/>
  <c r="I41" i="3"/>
  <c r="Q49" i="3"/>
  <c r="N56" i="3"/>
  <c r="S12" i="3"/>
  <c r="S20" i="3"/>
  <c r="K28" i="3"/>
  <c r="S36" i="3"/>
  <c r="P43" i="3"/>
  <c r="K52" i="3"/>
  <c r="U7" i="3"/>
  <c r="M15" i="3"/>
  <c r="U23" i="3"/>
  <c r="R30" i="3"/>
  <c r="M39" i="3"/>
  <c r="M47" i="3"/>
  <c r="R54" i="3"/>
  <c r="J11" i="3"/>
  <c r="T17" i="3"/>
  <c r="O26" i="3"/>
  <c r="O34" i="3"/>
  <c r="N12" i="3"/>
  <c r="X12" i="3" s="1"/>
  <c r="I21" i="3"/>
  <c r="S27" i="3"/>
  <c r="N36" i="3"/>
  <c r="X36" i="3" s="1"/>
  <c r="O6" i="3"/>
  <c r="T13" i="3"/>
  <c r="O22" i="3"/>
  <c r="L29" i="3"/>
  <c r="T37" i="3"/>
  <c r="T45" i="3"/>
  <c r="L53" i="3"/>
  <c r="Q18" i="3"/>
  <c r="J42" i="3"/>
  <c r="I59" i="3"/>
  <c r="I67" i="3"/>
  <c r="N74" i="3"/>
  <c r="X74" i="3" s="1"/>
  <c r="P28" i="3"/>
  <c r="Q47" i="3"/>
  <c r="P61" i="3"/>
  <c r="P69" i="3"/>
  <c r="U76" i="3"/>
  <c r="P85" i="3"/>
  <c r="M92" i="3"/>
  <c r="U100" i="3"/>
  <c r="I34" i="3"/>
  <c r="R51" i="3"/>
  <c r="O63" i="3"/>
  <c r="L70" i="3"/>
  <c r="T78" i="3"/>
  <c r="Q85" i="3"/>
  <c r="P90" i="3"/>
  <c r="O95" i="3"/>
  <c r="O9" i="3"/>
  <c r="T10" i="3"/>
  <c r="T18" i="3"/>
  <c r="L26" i="3"/>
  <c r="T34" i="3"/>
  <c r="Q41" i="3"/>
  <c r="L50" i="3"/>
  <c r="I6" i="3"/>
  <c r="R17" i="1" s="1"/>
  <c r="N13" i="3"/>
  <c r="I22" i="3"/>
  <c r="S28" i="3"/>
  <c r="N37" i="3"/>
  <c r="X37" i="3" s="1"/>
  <c r="N45" i="3"/>
  <c r="X45" i="3" s="1"/>
  <c r="S52" i="3"/>
  <c r="K9" i="3"/>
  <c r="U15" i="3"/>
  <c r="P24" i="3"/>
  <c r="P32" i="3"/>
  <c r="U39" i="3"/>
  <c r="P48" i="3"/>
  <c r="M55" i="3"/>
  <c r="R11" i="3"/>
  <c r="R19" i="3"/>
  <c r="J27" i="3"/>
  <c r="L6" i="3"/>
  <c r="I13" i="3"/>
  <c r="Q21" i="3"/>
  <c r="Q29" i="3"/>
  <c r="I37" i="3"/>
  <c r="R7" i="3"/>
  <c r="O14" i="3"/>
  <c r="J23" i="3"/>
  <c r="J31" i="3"/>
  <c r="O38" i="3"/>
  <c r="J47" i="3"/>
  <c r="T53" i="3"/>
  <c r="J21" i="3"/>
  <c r="M46" i="3"/>
  <c r="Q59" i="3"/>
  <c r="L68" i="3"/>
  <c r="I75" i="3"/>
  <c r="I31" i="3"/>
  <c r="M51" i="3"/>
  <c r="K62" i="3"/>
  <c r="S70" i="3"/>
  <c r="P77" i="3"/>
  <c r="K86" i="3"/>
  <c r="K94" i="3"/>
  <c r="P101" i="3"/>
  <c r="R37" i="3"/>
  <c r="U52" i="3"/>
  <c r="J64" i="3"/>
  <c r="J72" i="3"/>
  <c r="O79" i="3"/>
  <c r="L86" i="3"/>
  <c r="K91" i="3"/>
  <c r="J96" i="3"/>
  <c r="U11" i="3"/>
  <c r="O11" i="3"/>
  <c r="J20" i="3"/>
  <c r="T26" i="3"/>
  <c r="O35" i="3"/>
  <c r="O43" i="3"/>
  <c r="T50" i="3"/>
  <c r="L7" i="3"/>
  <c r="I14" i="3"/>
  <c r="Q22" i="3"/>
  <c r="Q30" i="3"/>
  <c r="I38" i="3"/>
  <c r="Q46" i="3"/>
  <c r="N53" i="3"/>
  <c r="S9" i="3"/>
  <c r="S17" i="3"/>
  <c r="K25" i="3"/>
  <c r="S33" i="3"/>
  <c r="P40" i="3"/>
  <c r="K49" i="3"/>
  <c r="K57" i="3"/>
  <c r="M12" i="3"/>
  <c r="U20" i="3"/>
  <c r="R27" i="3"/>
  <c r="T6" i="3"/>
  <c r="T14" i="3"/>
  <c r="L22" i="3"/>
  <c r="T30" i="3"/>
  <c r="Q37" i="3"/>
  <c r="M8" i="3"/>
  <c r="M16" i="3"/>
  <c r="R23" i="3"/>
  <c r="M32" i="3"/>
  <c r="J39" i="3"/>
  <c r="R47" i="3"/>
  <c r="R55" i="3"/>
  <c r="P23" i="3"/>
  <c r="S48" i="3"/>
  <c r="L60" i="3"/>
  <c r="T68" i="3"/>
  <c r="T76" i="3"/>
  <c r="O33" i="3"/>
  <c r="S53" i="3"/>
  <c r="S62" i="3"/>
  <c r="N71" i="3"/>
  <c r="N79" i="3"/>
  <c r="S86" i="3"/>
  <c r="N95" i="3"/>
  <c r="X95" i="3" s="1"/>
  <c r="U6" i="3"/>
  <c r="N39" i="3"/>
  <c r="Q56" i="3"/>
  <c r="R64" i="3"/>
  <c r="M73" i="3"/>
  <c r="J80" i="3"/>
  <c r="T86" i="3"/>
  <c r="S91" i="3"/>
  <c r="R96" i="3"/>
  <c r="N14" i="3"/>
  <c r="J12" i="3"/>
  <c r="R20" i="3"/>
  <c r="R28" i="3"/>
  <c r="J36" i="3"/>
  <c r="R44" i="3"/>
  <c r="O51" i="3"/>
  <c r="T7" i="3"/>
  <c r="T15" i="3"/>
  <c r="L23" i="3"/>
  <c r="T31" i="3"/>
  <c r="Q38" i="3"/>
  <c r="L47" i="3"/>
  <c r="L55" i="3"/>
  <c r="N10" i="3"/>
  <c r="X10" i="3" s="1"/>
  <c r="I19" i="3"/>
  <c r="S25" i="3"/>
  <c r="N34" i="3"/>
  <c r="X34" i="3" s="1"/>
  <c r="N42" i="3"/>
  <c r="X42" i="3" s="1"/>
  <c r="S49" i="3"/>
  <c r="K6" i="3"/>
  <c r="U12" i="3"/>
  <c r="P21" i="3"/>
  <c r="P29" i="3"/>
  <c r="O7" i="3"/>
  <c r="J16" i="3"/>
  <c r="T22" i="3"/>
  <c r="O31" i="3"/>
  <c r="O39" i="3"/>
  <c r="U8" i="3"/>
  <c r="P17" i="3"/>
  <c r="M24" i="3"/>
  <c r="U32" i="3"/>
  <c r="U40" i="3"/>
  <c r="M48" i="3"/>
  <c r="U56" i="3"/>
  <c r="I26" i="3"/>
  <c r="I50" i="3"/>
  <c r="J62" i="3"/>
  <c r="O69" i="3"/>
  <c r="T8" i="3"/>
  <c r="T35" i="3"/>
  <c r="I55" i="3"/>
  <c r="Q64" i="3"/>
  <c r="I72" i="3"/>
  <c r="Q80" i="3"/>
  <c r="N87" i="3"/>
  <c r="X87" i="3" s="1"/>
  <c r="I96" i="3"/>
  <c r="M14" i="3"/>
  <c r="T40" i="3"/>
  <c r="P58" i="3"/>
  <c r="M65" i="3"/>
  <c r="U73" i="3"/>
  <c r="U81" i="3"/>
  <c r="O87" i="3"/>
  <c r="N92" i="3"/>
  <c r="X92" i="3" s="1"/>
  <c r="M97" i="3"/>
  <c r="T16" i="3"/>
  <c r="M36" i="3"/>
  <c r="J48" i="3"/>
  <c r="U57" i="3"/>
  <c r="U62" i="3"/>
  <c r="T67" i="3"/>
  <c r="S72" i="3"/>
  <c r="R77" i="3"/>
  <c r="Q82" i="3"/>
  <c r="P87" i="3"/>
  <c r="O92" i="3"/>
  <c r="T24" i="3"/>
  <c r="O41" i="3"/>
  <c r="U51" i="3"/>
  <c r="I60" i="3"/>
  <c r="U64" i="3"/>
  <c r="T69" i="3"/>
  <c r="S74" i="3"/>
  <c r="R79" i="3"/>
  <c r="I18" i="3"/>
  <c r="U36" i="3"/>
  <c r="Q48" i="3"/>
  <c r="L58" i="3"/>
  <c r="R43" i="3"/>
  <c r="M67" i="3"/>
  <c r="Q79" i="3"/>
  <c r="T87" i="3"/>
  <c r="L95" i="3"/>
  <c r="O101" i="3"/>
  <c r="U13" i="3"/>
  <c r="K31" i="3"/>
  <c r="P54" i="3"/>
  <c r="T23" i="3"/>
  <c r="M42" i="3"/>
  <c r="T12" i="3"/>
  <c r="I35" i="3"/>
  <c r="O53" i="3"/>
  <c r="S22" i="3"/>
  <c r="R16" i="3"/>
  <c r="P34" i="3"/>
  <c r="S18" i="3"/>
  <c r="K42" i="3"/>
  <c r="M6" i="3"/>
  <c r="U63" i="3"/>
  <c r="S40" i="3"/>
  <c r="J67" i="3"/>
  <c r="O90" i="3"/>
  <c r="Q42" i="3"/>
  <c r="I69" i="3"/>
  <c r="R88" i="3"/>
  <c r="M19" i="3"/>
  <c r="L41" i="3"/>
  <c r="O55" i="3"/>
  <c r="P63" i="3"/>
  <c r="R69" i="3"/>
  <c r="O76" i="3"/>
  <c r="L83" i="3"/>
  <c r="N89" i="3"/>
  <c r="X89" i="3" s="1"/>
  <c r="U19" i="3"/>
  <c r="L43" i="3"/>
  <c r="Q55" i="3"/>
  <c r="R63" i="3"/>
  <c r="O70" i="3"/>
  <c r="Q76" i="3"/>
  <c r="J13" i="3"/>
  <c r="N38" i="3"/>
  <c r="X38" i="3" s="1"/>
  <c r="M52" i="3"/>
  <c r="U27" i="3"/>
  <c r="S68" i="3"/>
  <c r="U82" i="3"/>
  <c r="R93" i="3"/>
  <c r="K102" i="3"/>
  <c r="R107" i="3"/>
  <c r="L113" i="3"/>
  <c r="S118" i="3"/>
  <c r="R123" i="3"/>
  <c r="Q128" i="3"/>
  <c r="P133" i="3"/>
  <c r="O138" i="3"/>
  <c r="N143" i="3"/>
  <c r="T19" i="3"/>
  <c r="P62" i="3"/>
  <c r="P75" i="3"/>
  <c r="K85" i="3"/>
  <c r="T92" i="3"/>
  <c r="O99" i="3"/>
  <c r="R104" i="3"/>
  <c r="Q109" i="3"/>
  <c r="P114" i="3"/>
  <c r="O119" i="3"/>
  <c r="N124" i="3"/>
  <c r="M129" i="3"/>
  <c r="I45" i="3"/>
  <c r="H45" i="3" s="1" a="1"/>
  <c r="H45" i="3" s="1"/>
  <c r="P67" i="3"/>
  <c r="T79" i="3"/>
  <c r="L88" i="3"/>
  <c r="P95" i="3"/>
  <c r="R101" i="3"/>
  <c r="Q106" i="3"/>
  <c r="P111" i="3"/>
  <c r="O116" i="3"/>
  <c r="N121" i="3"/>
  <c r="X121" i="3" s="1"/>
  <c r="M126" i="3"/>
  <c r="L131" i="3"/>
  <c r="P59" i="3"/>
  <c r="I73" i="3"/>
  <c r="O83" i="3"/>
  <c r="N91" i="3"/>
  <c r="K98" i="3"/>
  <c r="R103" i="3"/>
  <c r="Q108" i="3"/>
  <c r="P113" i="3"/>
  <c r="O118" i="3"/>
  <c r="N123" i="3"/>
  <c r="X123" i="3" s="1"/>
  <c r="J43" i="3"/>
  <c r="M79" i="3"/>
  <c r="K95" i="3"/>
  <c r="N106" i="3"/>
  <c r="X106" i="3" s="1"/>
  <c r="L116" i="3"/>
  <c r="J126" i="3"/>
  <c r="N133" i="3"/>
  <c r="X133" i="3" s="1"/>
  <c r="I139" i="3"/>
  <c r="R144" i="3"/>
  <c r="U149" i="3"/>
  <c r="T154" i="3"/>
  <c r="S159" i="3"/>
  <c r="R164" i="3"/>
  <c r="Q169" i="3"/>
  <c r="P174" i="3"/>
  <c r="O179" i="3"/>
  <c r="N184" i="3"/>
  <c r="K15" i="3"/>
  <c r="R36" i="3"/>
  <c r="K55" i="3"/>
  <c r="R25" i="3"/>
  <c r="T47" i="3"/>
  <c r="J14" i="3"/>
  <c r="Q35" i="3"/>
  <c r="S6" i="3"/>
  <c r="Q24" i="3"/>
  <c r="M17" i="3"/>
  <c r="R40" i="3"/>
  <c r="N19" i="3"/>
  <c r="S42" i="3"/>
  <c r="N33" i="3"/>
  <c r="X33" i="3" s="1"/>
  <c r="P64" i="3"/>
  <c r="U43" i="3"/>
  <c r="Q72" i="3"/>
  <c r="J91" i="3"/>
  <c r="S46" i="3"/>
  <c r="P74" i="3"/>
  <c r="M89" i="3"/>
  <c r="S21" i="3"/>
  <c r="N44" i="3"/>
  <c r="X44" i="3" s="1"/>
  <c r="R56" i="3"/>
  <c r="K64" i="3"/>
  <c r="U70" i="3"/>
  <c r="J77" i="3"/>
  <c r="T83" i="3"/>
  <c r="Q90" i="3"/>
  <c r="N22" i="3"/>
  <c r="X22" i="3" s="1"/>
  <c r="P44" i="3"/>
  <c r="J58" i="3"/>
  <c r="M64" i="3"/>
  <c r="J71" i="3"/>
  <c r="T77" i="3"/>
  <c r="P15" i="3"/>
  <c r="K40" i="3"/>
  <c r="S54" i="3"/>
  <c r="J37" i="3"/>
  <c r="P70" i="3"/>
  <c r="T84" i="3"/>
  <c r="O94" i="3"/>
  <c r="S102" i="3"/>
  <c r="M108" i="3"/>
  <c r="O114" i="3"/>
  <c r="N119" i="3"/>
  <c r="X119" i="3" s="1"/>
  <c r="M124" i="3"/>
  <c r="L129" i="3"/>
  <c r="K134" i="3"/>
  <c r="J139" i="3"/>
  <c r="I144" i="3"/>
  <c r="R29" i="3"/>
  <c r="L64" i="3"/>
  <c r="M77" i="3"/>
  <c r="I86" i="3"/>
  <c r="S93" i="3"/>
  <c r="K100" i="3"/>
  <c r="M105" i="3"/>
  <c r="L110" i="3"/>
  <c r="K115" i="3"/>
  <c r="J120" i="3"/>
  <c r="I125" i="3"/>
  <c r="U129" i="3"/>
  <c r="U49" i="3"/>
  <c r="M69" i="3"/>
  <c r="J81" i="3"/>
  <c r="J89" i="3"/>
  <c r="M96" i="3"/>
  <c r="M102" i="3"/>
  <c r="L107" i="3"/>
  <c r="K112" i="3"/>
  <c r="J117" i="3"/>
  <c r="I122" i="3"/>
  <c r="U126" i="3"/>
  <c r="K13" i="3"/>
  <c r="N61" i="3"/>
  <c r="X61" i="3" s="1"/>
  <c r="R74" i="3"/>
  <c r="P84" i="3"/>
  <c r="L92" i="3"/>
  <c r="U98" i="3"/>
  <c r="M104" i="3"/>
  <c r="L109" i="3"/>
  <c r="K114" i="3"/>
  <c r="J119" i="3"/>
  <c r="I124" i="3"/>
  <c r="J53" i="3"/>
  <c r="S81" i="3"/>
  <c r="T96" i="3"/>
  <c r="Q107" i="3"/>
  <c r="O117" i="3"/>
  <c r="L127" i="3"/>
  <c r="J134" i="3"/>
  <c r="S15" i="3"/>
  <c r="P38" i="3"/>
  <c r="O8" i="3"/>
  <c r="U26" i="3"/>
  <c r="O48" i="3"/>
  <c r="Q19" i="3"/>
  <c r="O37" i="3"/>
  <c r="N7" i="3"/>
  <c r="X7" i="3" s="1"/>
  <c r="S30" i="3"/>
  <c r="U17" i="3"/>
  <c r="M41" i="3"/>
  <c r="K26" i="3"/>
  <c r="N43" i="3"/>
  <c r="K37" i="3"/>
  <c r="J70" i="3"/>
  <c r="K45" i="3"/>
  <c r="O74" i="3"/>
  <c r="Q96" i="3"/>
  <c r="L49" i="3"/>
  <c r="K75" i="3"/>
  <c r="I93" i="3"/>
  <c r="L24" i="3"/>
  <c r="Q45" i="3"/>
  <c r="Q58" i="3"/>
  <c r="S64" i="3"/>
  <c r="P71" i="3"/>
  <c r="M78" i="3"/>
  <c r="O84" i="3"/>
  <c r="L91" i="3"/>
  <c r="M27" i="3"/>
  <c r="S45" i="3"/>
  <c r="S58" i="3"/>
  <c r="P65" i="3"/>
  <c r="R71" i="3"/>
  <c r="O78" i="3"/>
  <c r="O20" i="3"/>
  <c r="T41" i="3"/>
  <c r="I56" i="3"/>
  <c r="R48" i="3"/>
  <c r="L72" i="3"/>
  <c r="U85" i="3"/>
  <c r="K96" i="3"/>
  <c r="N103" i="3"/>
  <c r="X103" i="3" s="1"/>
  <c r="P109" i="3"/>
  <c r="J115" i="3"/>
  <c r="I120" i="3"/>
  <c r="U124" i="3"/>
  <c r="T129" i="3"/>
  <c r="S134" i="3"/>
  <c r="R139" i="3"/>
  <c r="Q144" i="3"/>
  <c r="K38" i="3"/>
  <c r="R65" i="3"/>
  <c r="P78" i="3"/>
  <c r="J87" i="3"/>
  <c r="P94" i="3"/>
  <c r="T100" i="3"/>
  <c r="U105" i="3"/>
  <c r="T110" i="3"/>
  <c r="S115" i="3"/>
  <c r="R120" i="3"/>
  <c r="Q125" i="3"/>
  <c r="P130" i="3"/>
  <c r="T54" i="3"/>
  <c r="I71" i="3"/>
  <c r="L82" i="3"/>
  <c r="K90" i="3"/>
  <c r="J97" i="3"/>
  <c r="U102" i="3"/>
  <c r="T107" i="3"/>
  <c r="S112" i="3"/>
  <c r="R117" i="3"/>
  <c r="Q122" i="3"/>
  <c r="P127" i="3"/>
  <c r="I23" i="3"/>
  <c r="K63" i="3"/>
  <c r="K76" i="3"/>
  <c r="N85" i="3"/>
  <c r="X85" i="3" s="1"/>
  <c r="L93" i="3"/>
  <c r="S99" i="3"/>
  <c r="U104" i="3"/>
  <c r="T109" i="3"/>
  <c r="S114" i="3"/>
  <c r="R119" i="3"/>
  <c r="Q124" i="3"/>
  <c r="M21" i="3"/>
  <c r="S39" i="3"/>
  <c r="J9" i="3"/>
  <c r="O32" i="3"/>
  <c r="M50" i="3"/>
  <c r="L20" i="3"/>
  <c r="Q43" i="3"/>
  <c r="I8" i="3"/>
  <c r="N31" i="3"/>
  <c r="X31" i="3" s="1"/>
  <c r="R24" i="3"/>
  <c r="U41" i="3"/>
  <c r="N27" i="3"/>
  <c r="U48" i="3"/>
  <c r="U38" i="3"/>
  <c r="U71" i="3"/>
  <c r="L56" i="3"/>
  <c r="R75" i="3"/>
  <c r="L97" i="3"/>
  <c r="K59" i="3"/>
  <c r="I77" i="3"/>
  <c r="Q93" i="3"/>
  <c r="K29" i="3"/>
  <c r="T46" i="3"/>
  <c r="L59" i="3"/>
  <c r="I66" i="3"/>
  <c r="K72" i="3"/>
  <c r="U78" i="3"/>
  <c r="R85" i="3"/>
  <c r="T91" i="3"/>
  <c r="S29" i="3"/>
  <c r="L48" i="3"/>
  <c r="N59" i="3"/>
  <c r="K66" i="3"/>
  <c r="U72" i="3"/>
  <c r="J79" i="3"/>
  <c r="U22" i="3"/>
  <c r="U44" i="3"/>
  <c r="L57" i="3"/>
  <c r="Q53" i="3"/>
  <c r="O75" i="3"/>
  <c r="I87" i="3"/>
  <c r="U96" i="3"/>
  <c r="Q104" i="3"/>
  <c r="K110" i="3"/>
  <c r="R115" i="3"/>
  <c r="Q120" i="3"/>
  <c r="P125" i="3"/>
  <c r="O130" i="3"/>
  <c r="N135" i="3"/>
  <c r="X135" i="3" s="1"/>
  <c r="M140" i="3"/>
  <c r="L145" i="3"/>
  <c r="O44" i="3"/>
  <c r="O67" i="3"/>
  <c r="S79" i="3"/>
  <c r="U87" i="3"/>
  <c r="M95" i="3"/>
  <c r="Q101" i="3"/>
  <c r="P106" i="3"/>
  <c r="O111" i="3"/>
  <c r="N116" i="3"/>
  <c r="M121" i="3"/>
  <c r="L126" i="3"/>
  <c r="K131" i="3"/>
  <c r="U58" i="3"/>
  <c r="O72" i="3"/>
  <c r="M83" i="3"/>
  <c r="I91" i="3"/>
  <c r="I98" i="3"/>
  <c r="P103" i="3"/>
  <c r="O108" i="3"/>
  <c r="N113" i="3"/>
  <c r="M118" i="3"/>
  <c r="L123" i="3"/>
  <c r="K128" i="3"/>
  <c r="T32" i="3"/>
  <c r="T64" i="3"/>
  <c r="S77" i="3"/>
  <c r="O86" i="3"/>
  <c r="I94" i="3"/>
  <c r="O100" i="3"/>
  <c r="P105" i="3"/>
  <c r="O110" i="3"/>
  <c r="N115" i="3"/>
  <c r="X115" i="3" s="1"/>
  <c r="M120" i="3"/>
  <c r="L125" i="3"/>
  <c r="S63" i="3"/>
  <c r="T85" i="3"/>
  <c r="I100" i="3"/>
  <c r="J110" i="3"/>
  <c r="U119" i="3"/>
  <c r="K129" i="3"/>
  <c r="P135" i="3"/>
  <c r="K141" i="3"/>
  <c r="S146" i="3"/>
  <c r="S151" i="3"/>
  <c r="R156" i="3"/>
  <c r="Q161" i="3"/>
  <c r="P166" i="3"/>
  <c r="O171" i="3"/>
  <c r="N176" i="3"/>
  <c r="M181" i="3"/>
  <c r="L186" i="3"/>
  <c r="P6" i="3"/>
  <c r="P46" i="3"/>
  <c r="O40" i="3"/>
  <c r="T28" i="3"/>
  <c r="Q16" i="3"/>
  <c r="J32" i="3"/>
  <c r="K34" i="3"/>
  <c r="K56" i="3"/>
  <c r="T65" i="3"/>
  <c r="R21" i="3"/>
  <c r="N84" i="3"/>
  <c r="X84" i="3" s="1"/>
  <c r="S37" i="3"/>
  <c r="R61" i="3"/>
  <c r="Q74" i="3"/>
  <c r="K88" i="3"/>
  <c r="M38" i="3"/>
  <c r="T61" i="3"/>
  <c r="N75" i="3"/>
  <c r="S32" i="3"/>
  <c r="J60" i="3"/>
  <c r="T80" i="3"/>
  <c r="J100" i="3"/>
  <c r="I112" i="3"/>
  <c r="O122" i="3"/>
  <c r="M132" i="3"/>
  <c r="K142" i="3"/>
  <c r="R58" i="3"/>
  <c r="I83" i="3"/>
  <c r="S97" i="3"/>
  <c r="N108" i="3"/>
  <c r="L118" i="3"/>
  <c r="J128" i="3"/>
  <c r="N64" i="3"/>
  <c r="J86" i="3"/>
  <c r="L100" i="3"/>
  <c r="M110" i="3"/>
  <c r="K120" i="3"/>
  <c r="I130" i="3"/>
  <c r="S69" i="3"/>
  <c r="O89" i="3"/>
  <c r="O102" i="3"/>
  <c r="M112" i="3"/>
  <c r="K122" i="3"/>
  <c r="N70" i="3"/>
  <c r="X70" i="3" s="1"/>
  <c r="N98" i="3"/>
  <c r="X98" i="3" s="1"/>
  <c r="S113" i="3"/>
  <c r="L130" i="3"/>
  <c r="M138" i="3"/>
  <c r="J146" i="3"/>
  <c r="I153" i="3"/>
  <c r="K159" i="3"/>
  <c r="U165" i="3"/>
  <c r="R172" i="3"/>
  <c r="T178" i="3"/>
  <c r="Q185" i="3"/>
  <c r="K191" i="3"/>
  <c r="J196" i="3"/>
  <c r="I201" i="3"/>
  <c r="U205" i="3"/>
  <c r="U67" i="3"/>
  <c r="M88" i="3"/>
  <c r="S101" i="3"/>
  <c r="Q111" i="3"/>
  <c r="O121" i="3"/>
  <c r="M130" i="3"/>
  <c r="M136" i="3"/>
  <c r="U141" i="3"/>
  <c r="P147" i="3"/>
  <c r="O152" i="3"/>
  <c r="N157" i="3"/>
  <c r="M162" i="3"/>
  <c r="L167" i="3"/>
  <c r="K172" i="3"/>
  <c r="J177" i="3"/>
  <c r="I182" i="3"/>
  <c r="U186" i="3"/>
  <c r="T191" i="3"/>
  <c r="S196" i="3"/>
  <c r="K68" i="3"/>
  <c r="O88" i="3"/>
  <c r="U101" i="3"/>
  <c r="S111" i="3"/>
  <c r="Q121" i="3"/>
  <c r="N130" i="3"/>
  <c r="X130" i="3" s="1"/>
  <c r="N136" i="3"/>
  <c r="X136" i="3" s="1"/>
  <c r="U21" i="3"/>
  <c r="U10" i="3"/>
  <c r="O56" i="3"/>
  <c r="L44" i="3"/>
  <c r="I32" i="3"/>
  <c r="P9" i="3"/>
  <c r="S50" i="3"/>
  <c r="K73" i="3"/>
  <c r="L81" i="3"/>
  <c r="S59" i="3"/>
  <c r="L94" i="3"/>
  <c r="M49" i="3"/>
  <c r="Q66" i="3"/>
  <c r="P79" i="3"/>
  <c r="Q7" i="3"/>
  <c r="O49" i="3"/>
  <c r="S66" i="3"/>
  <c r="M80" i="3"/>
  <c r="K46" i="3"/>
  <c r="M58" i="3"/>
  <c r="U88" i="3"/>
  <c r="L105" i="3"/>
  <c r="M116" i="3"/>
  <c r="K126" i="3"/>
  <c r="I136" i="3"/>
  <c r="T145" i="3"/>
  <c r="K69" i="3"/>
  <c r="I89" i="3"/>
  <c r="L102" i="3"/>
  <c r="J112" i="3"/>
  <c r="U121" i="3"/>
  <c r="R10" i="3"/>
  <c r="L74" i="3"/>
  <c r="J92" i="3"/>
  <c r="K104" i="3"/>
  <c r="I114" i="3"/>
  <c r="T123" i="3"/>
  <c r="L40" i="3"/>
  <c r="I79" i="3"/>
  <c r="U94" i="3"/>
  <c r="K106" i="3"/>
  <c r="I116" i="3"/>
  <c r="T125" i="3"/>
  <c r="S76" i="3"/>
  <c r="R102" i="3"/>
  <c r="R118" i="3"/>
  <c r="I132" i="3"/>
  <c r="O140" i="3"/>
  <c r="J148" i="3"/>
  <c r="L154" i="3"/>
  <c r="I161" i="3"/>
  <c r="S167" i="3"/>
  <c r="U173" i="3"/>
  <c r="R180" i="3"/>
  <c r="O187" i="3"/>
  <c r="N192" i="3"/>
  <c r="X192" i="3" s="1"/>
  <c r="M197" i="3"/>
  <c r="L202" i="3"/>
  <c r="O12" i="3"/>
  <c r="M74" i="3"/>
  <c r="K92" i="3"/>
  <c r="L104" i="3"/>
  <c r="J114" i="3"/>
  <c r="U123" i="3"/>
  <c r="J132" i="3"/>
  <c r="R137" i="3"/>
  <c r="M143" i="3"/>
  <c r="S148" i="3"/>
  <c r="R153" i="3"/>
  <c r="Q158" i="3"/>
  <c r="P163" i="3"/>
  <c r="O168" i="3"/>
  <c r="N173" i="3"/>
  <c r="M178" i="3"/>
  <c r="L183" i="3"/>
  <c r="K188" i="3"/>
  <c r="J193" i="3"/>
  <c r="U14" i="3"/>
  <c r="T74" i="3"/>
  <c r="P92" i="3"/>
  <c r="N104" i="3"/>
  <c r="L114" i="3"/>
  <c r="J124" i="3"/>
  <c r="K132" i="3"/>
  <c r="S137" i="3"/>
  <c r="O143" i="3"/>
  <c r="T148" i="3"/>
  <c r="S153" i="3"/>
  <c r="R158" i="3"/>
  <c r="Q163" i="3"/>
  <c r="P168" i="3"/>
  <c r="O173" i="3"/>
  <c r="N178" i="3"/>
  <c r="M183" i="3"/>
  <c r="L188" i="3"/>
  <c r="K193" i="3"/>
  <c r="O47" i="3"/>
  <c r="O80" i="3"/>
  <c r="T95" i="3"/>
  <c r="U106" i="3"/>
  <c r="S116" i="3"/>
  <c r="Q126" i="3"/>
  <c r="R133" i="3"/>
  <c r="M139" i="3"/>
  <c r="U144" i="3"/>
  <c r="K150" i="3"/>
  <c r="J155" i="3"/>
  <c r="I160" i="3"/>
  <c r="U164" i="3"/>
  <c r="T169" i="3"/>
  <c r="S174" i="3"/>
  <c r="R179" i="3"/>
  <c r="Q184" i="3"/>
  <c r="P189" i="3"/>
  <c r="O194" i="3"/>
  <c r="I58" i="3"/>
  <c r="T82" i="3"/>
  <c r="Q97" i="3"/>
  <c r="L108" i="3"/>
  <c r="J118" i="3"/>
  <c r="S127" i="3"/>
  <c r="O134" i="3"/>
  <c r="J140" i="3"/>
  <c r="R145" i="3"/>
  <c r="T150" i="3"/>
  <c r="S155" i="3"/>
  <c r="N69" i="3"/>
  <c r="X69" i="3" s="1"/>
  <c r="S23" i="3"/>
  <c r="J17" i="3"/>
  <c r="J57" i="3"/>
  <c r="T44" i="3"/>
  <c r="J8" i="3"/>
  <c r="N11" i="3"/>
  <c r="I52" i="3"/>
  <c r="M11" i="3"/>
  <c r="T81" i="3"/>
  <c r="N60" i="3"/>
  <c r="U97" i="3"/>
  <c r="P50" i="3"/>
  <c r="L67" i="3"/>
  <c r="S80" i="3"/>
  <c r="J10" i="3"/>
  <c r="R50" i="3"/>
  <c r="I68" i="3"/>
  <c r="U80" i="3"/>
  <c r="N47" i="3"/>
  <c r="X47" i="3" s="1"/>
  <c r="N62" i="3"/>
  <c r="X62" i="3" s="1"/>
  <c r="S89" i="3"/>
  <c r="T105" i="3"/>
  <c r="U116" i="3"/>
  <c r="S126" i="3"/>
  <c r="Q136" i="3"/>
  <c r="O146" i="3"/>
  <c r="Q70" i="3"/>
  <c r="J90" i="3"/>
  <c r="T102" i="3"/>
  <c r="R112" i="3"/>
  <c r="P122" i="3"/>
  <c r="P20" i="3"/>
  <c r="U75" i="3"/>
  <c r="J93" i="3"/>
  <c r="S104" i="3"/>
  <c r="Q114" i="3"/>
  <c r="O124" i="3"/>
  <c r="L46" i="3"/>
  <c r="L80" i="3"/>
  <c r="R95" i="3"/>
  <c r="S106" i="3"/>
  <c r="Q116" i="3"/>
  <c r="O126" i="3"/>
  <c r="U83" i="3"/>
  <c r="U103" i="3"/>
  <c r="K121" i="3"/>
  <c r="R132" i="3"/>
  <c r="T141" i="3"/>
  <c r="R148" i="3"/>
  <c r="O155" i="3"/>
  <c r="L162" i="3"/>
  <c r="N168" i="3"/>
  <c r="X168" i="3" s="1"/>
  <c r="K175" i="3"/>
  <c r="U181" i="3"/>
  <c r="J188" i="3"/>
  <c r="I193" i="3"/>
  <c r="U197" i="3"/>
  <c r="T202" i="3"/>
  <c r="K32" i="3"/>
  <c r="O77" i="3"/>
  <c r="U93" i="3"/>
  <c r="O105" i="3"/>
  <c r="M115" i="3"/>
  <c r="K125" i="3"/>
  <c r="S132" i="3"/>
  <c r="N138" i="3"/>
  <c r="J144" i="3"/>
  <c r="N149" i="3"/>
  <c r="X149" i="3" s="1"/>
  <c r="M154" i="3"/>
  <c r="L159" i="3"/>
  <c r="K164" i="3"/>
  <c r="J169" i="3"/>
  <c r="I174" i="3"/>
  <c r="U178" i="3"/>
  <c r="T183" i="3"/>
  <c r="S188" i="3"/>
  <c r="R193" i="3"/>
  <c r="Q34" i="3"/>
  <c r="U77" i="3"/>
  <c r="J94" i="3"/>
  <c r="Q105" i="3"/>
  <c r="O115" i="3"/>
  <c r="M125" i="3"/>
  <c r="T132" i="3"/>
  <c r="P138" i="3"/>
  <c r="K144" i="3"/>
  <c r="U29" i="3"/>
  <c r="R17" i="3"/>
  <c r="R57" i="3"/>
  <c r="N50" i="3"/>
  <c r="U9" i="3"/>
  <c r="Q12" i="3"/>
  <c r="P57" i="3"/>
  <c r="S13" i="3"/>
  <c r="O82" i="3"/>
  <c r="K67" i="3"/>
  <c r="P98" i="3"/>
  <c r="S51" i="3"/>
  <c r="O68" i="3"/>
  <c r="N81" i="3"/>
  <c r="X81" i="3" s="1"/>
  <c r="P12" i="3"/>
  <c r="K53" i="3"/>
  <c r="Q68" i="3"/>
  <c r="P81" i="3"/>
  <c r="T49" i="3"/>
  <c r="T63" i="3"/>
  <c r="T90" i="3"/>
  <c r="O106" i="3"/>
  <c r="P117" i="3"/>
  <c r="N127" i="3"/>
  <c r="L137" i="3"/>
  <c r="J147" i="3"/>
  <c r="N72" i="3"/>
  <c r="X72" i="3" s="1"/>
  <c r="U90" i="3"/>
  <c r="O103" i="3"/>
  <c r="M113" i="3"/>
  <c r="K123" i="3"/>
  <c r="N30" i="3"/>
  <c r="N77" i="3"/>
  <c r="X77" i="3" s="1"/>
  <c r="T93" i="3"/>
  <c r="N105" i="3"/>
  <c r="X105" i="3" s="1"/>
  <c r="L115" i="3"/>
  <c r="J125" i="3"/>
  <c r="K51" i="3"/>
  <c r="O81" i="3"/>
  <c r="O96" i="3"/>
  <c r="N107" i="3"/>
  <c r="X107" i="3" s="1"/>
  <c r="L117" i="3"/>
  <c r="P7" i="3"/>
  <c r="S87" i="3"/>
  <c r="K105" i="3"/>
  <c r="N122" i="3"/>
  <c r="X122" i="3" s="1"/>
  <c r="T134" i="3"/>
  <c r="P142" i="3"/>
  <c r="M149" i="3"/>
  <c r="J156" i="3"/>
  <c r="T162" i="3"/>
  <c r="I169" i="3"/>
  <c r="S175" i="3"/>
  <c r="P182" i="3"/>
  <c r="R188" i="3"/>
  <c r="Q193" i="3"/>
  <c r="P198" i="3"/>
  <c r="O203" i="3"/>
  <c r="R45" i="3"/>
  <c r="U79" i="3"/>
  <c r="Q95" i="3"/>
  <c r="R106" i="3"/>
  <c r="P116" i="3"/>
  <c r="N126" i="3"/>
  <c r="O133" i="3"/>
  <c r="K139" i="3"/>
  <c r="S144" i="3"/>
  <c r="I150" i="3"/>
  <c r="U154" i="3"/>
  <c r="T159" i="3"/>
  <c r="S164" i="3"/>
  <c r="R169" i="3"/>
  <c r="Q174" i="3"/>
  <c r="P179" i="3"/>
  <c r="O184" i="3"/>
  <c r="N189" i="3"/>
  <c r="M194" i="3"/>
  <c r="U46" i="3"/>
  <c r="N80" i="3"/>
  <c r="S95" i="3"/>
  <c r="T106" i="3"/>
  <c r="R116" i="3"/>
  <c r="P126" i="3"/>
  <c r="Q133" i="3"/>
  <c r="L139" i="3"/>
  <c r="T144" i="3"/>
  <c r="J150" i="3"/>
  <c r="M45" i="3"/>
  <c r="J33" i="3"/>
  <c r="T20" i="3"/>
  <c r="S14" i="3"/>
  <c r="U25" i="3"/>
  <c r="I28" i="3"/>
  <c r="L51" i="3"/>
  <c r="O57" i="3"/>
  <c r="J99" i="3"/>
  <c r="K83" i="3"/>
  <c r="Q31" i="3"/>
  <c r="T59" i="3"/>
  <c r="N73" i="3"/>
  <c r="M86" i="3"/>
  <c r="L32" i="3"/>
  <c r="Q60" i="3"/>
  <c r="P73" i="3"/>
  <c r="N25" i="3"/>
  <c r="X25" i="3" s="1"/>
  <c r="T58" i="3"/>
  <c r="K77" i="3"/>
  <c r="R97" i="3"/>
  <c r="S110" i="3"/>
  <c r="L121" i="3"/>
  <c r="J131" i="3"/>
  <c r="U140" i="3"/>
  <c r="N49" i="3"/>
  <c r="X49" i="3" s="1"/>
  <c r="I81" i="3"/>
  <c r="L96" i="3"/>
  <c r="K107" i="3"/>
  <c r="I117" i="3"/>
  <c r="T126" i="3"/>
  <c r="K61" i="3"/>
  <c r="K84" i="3"/>
  <c r="S98" i="3"/>
  <c r="J109" i="3"/>
  <c r="U118" i="3"/>
  <c r="S128" i="3"/>
  <c r="M66" i="3"/>
  <c r="M87" i="3"/>
  <c r="K101" i="3"/>
  <c r="J111" i="3"/>
  <c r="U120" i="3"/>
  <c r="P60" i="3"/>
  <c r="Q91" i="3"/>
  <c r="M111" i="3"/>
  <c r="T124" i="3"/>
  <c r="U136" i="3"/>
  <c r="U143" i="3"/>
  <c r="K151" i="3"/>
  <c r="U157" i="3"/>
  <c r="J164" i="3"/>
  <c r="T170" i="3"/>
  <c r="Q177" i="3"/>
  <c r="S183" i="3"/>
  <c r="U189" i="3"/>
  <c r="T194" i="3"/>
  <c r="S199" i="3"/>
  <c r="R204" i="3"/>
  <c r="M61" i="3"/>
  <c r="L84" i="3"/>
  <c r="T98" i="3"/>
  <c r="K109" i="3"/>
  <c r="I119" i="3"/>
  <c r="N128" i="3"/>
  <c r="U134" i="3"/>
  <c r="P140" i="3"/>
  <c r="K146" i="3"/>
  <c r="L151" i="3"/>
  <c r="K156" i="3"/>
  <c r="J161" i="3"/>
  <c r="I166" i="3"/>
  <c r="U170" i="3"/>
  <c r="T175" i="3"/>
  <c r="S180" i="3"/>
  <c r="R185" i="3"/>
  <c r="Q190" i="3"/>
  <c r="P195" i="3"/>
  <c r="S61" i="3"/>
  <c r="Q84" i="3"/>
  <c r="I99" i="3"/>
  <c r="M109" i="3"/>
  <c r="K119" i="3"/>
  <c r="O128" i="3"/>
  <c r="I135" i="3"/>
  <c r="Q140" i="3"/>
  <c r="L146" i="3"/>
  <c r="M151" i="3"/>
  <c r="L156" i="3"/>
  <c r="K161" i="3"/>
  <c r="J166" i="3"/>
  <c r="I171" i="3"/>
  <c r="U175" i="3"/>
  <c r="T180" i="3"/>
  <c r="S185" i="3"/>
  <c r="R190" i="3"/>
  <c r="Q195" i="3"/>
  <c r="P68" i="3"/>
  <c r="P88" i="3"/>
  <c r="I102" i="3"/>
  <c r="T111" i="3"/>
  <c r="R121" i="3"/>
  <c r="R130" i="3"/>
  <c r="O136" i="3"/>
  <c r="J142" i="3"/>
  <c r="R147" i="3"/>
  <c r="Q152" i="3"/>
  <c r="P157" i="3"/>
  <c r="O162" i="3"/>
  <c r="K7" i="3"/>
  <c r="Q27" i="3"/>
  <c r="K18" i="3"/>
  <c r="O66" i="3"/>
  <c r="J34" i="3"/>
  <c r="I82" i="3"/>
  <c r="J63" i="3"/>
  <c r="O59" i="3"/>
  <c r="J107" i="3"/>
  <c r="U132" i="3"/>
  <c r="K82" i="3"/>
  <c r="U113" i="3"/>
  <c r="J66" i="3"/>
  <c r="R109" i="3"/>
  <c r="J56" i="3"/>
  <c r="J103" i="3"/>
  <c r="U66" i="3"/>
  <c r="Q123" i="3"/>
  <c r="O147" i="3"/>
  <c r="M165" i="3"/>
  <c r="K183" i="3"/>
  <c r="R196" i="3"/>
  <c r="O64" i="3"/>
  <c r="U107" i="3"/>
  <c r="N131" i="3"/>
  <c r="T146" i="3"/>
  <c r="O160" i="3"/>
  <c r="S172" i="3"/>
  <c r="M186" i="3"/>
  <c r="S56" i="3"/>
  <c r="K103" i="3"/>
  <c r="P129" i="3"/>
  <c r="R142" i="3"/>
  <c r="P152" i="3"/>
  <c r="M159" i="3"/>
  <c r="O165" i="3"/>
  <c r="L172" i="3"/>
  <c r="I179" i="3"/>
  <c r="K185" i="3"/>
  <c r="U191" i="3"/>
  <c r="M57" i="3"/>
  <c r="Q86" i="3"/>
  <c r="O104" i="3"/>
  <c r="I118" i="3"/>
  <c r="Q129" i="3"/>
  <c r="U137" i="3"/>
  <c r="Q145" i="3"/>
  <c r="I152" i="3"/>
  <c r="S158" i="3"/>
  <c r="P165" i="3"/>
  <c r="J171" i="3"/>
  <c r="Q176" i="3"/>
  <c r="K182" i="3"/>
  <c r="R187" i="3"/>
  <c r="L193" i="3"/>
  <c r="K48" i="3"/>
  <c r="S84" i="3"/>
  <c r="R100" i="3"/>
  <c r="U111" i="3"/>
  <c r="I123" i="3"/>
  <c r="N132" i="3"/>
  <c r="R138" i="3"/>
  <c r="I145" i="3"/>
  <c r="O151" i="3"/>
  <c r="M22" i="3"/>
  <c r="R78" i="3"/>
  <c r="R94" i="3"/>
  <c r="J106" i="3"/>
  <c r="U115" i="3"/>
  <c r="S125" i="3"/>
  <c r="K133" i="3"/>
  <c r="S138" i="3"/>
  <c r="N144" i="3"/>
  <c r="R149" i="3"/>
  <c r="Q154" i="3"/>
  <c r="P159" i="3"/>
  <c r="O164" i="3"/>
  <c r="N169" i="3"/>
  <c r="X169" i="3" s="1"/>
  <c r="M174" i="3"/>
  <c r="L179" i="3"/>
  <c r="K184" i="3"/>
  <c r="J189" i="3"/>
  <c r="R66" i="3"/>
  <c r="Q87" i="3"/>
  <c r="L101" i="3"/>
  <c r="K111" i="3"/>
  <c r="I121" i="3"/>
  <c r="J130" i="3"/>
  <c r="S124" i="3"/>
  <c r="Q151" i="3"/>
  <c r="N166" i="3"/>
  <c r="X166" i="3" s="1"/>
  <c r="N179" i="3"/>
  <c r="K192" i="3"/>
  <c r="U199" i="3"/>
  <c r="P205" i="3"/>
  <c r="Q210" i="3"/>
  <c r="P215" i="3"/>
  <c r="O220" i="3"/>
  <c r="N225" i="3"/>
  <c r="X225" i="3" s="1"/>
  <c r="M230" i="3"/>
  <c r="L235" i="3"/>
  <c r="K240" i="3"/>
  <c r="J245" i="3"/>
  <c r="I250" i="3"/>
  <c r="P30" i="3"/>
  <c r="O29" i="3"/>
  <c r="P33" i="3"/>
  <c r="L89" i="3"/>
  <c r="P39" i="3"/>
  <c r="U86" i="3"/>
  <c r="L69" i="3"/>
  <c r="J18" i="3"/>
  <c r="N111" i="3"/>
  <c r="T137" i="3"/>
  <c r="J84" i="3"/>
  <c r="Q117" i="3"/>
  <c r="Q78" i="3"/>
  <c r="U110" i="3"/>
  <c r="J68" i="3"/>
  <c r="I108" i="3"/>
  <c r="Q73" i="3"/>
  <c r="M128" i="3"/>
  <c r="P150" i="3"/>
  <c r="K167" i="3"/>
  <c r="I185" i="3"/>
  <c r="K199" i="3"/>
  <c r="K71" i="3"/>
  <c r="N110" i="3"/>
  <c r="X110" i="3" s="1"/>
  <c r="L134" i="3"/>
  <c r="K148" i="3"/>
  <c r="R161" i="3"/>
  <c r="L175" i="3"/>
  <c r="P187" i="3"/>
  <c r="I65" i="3"/>
  <c r="J108" i="3"/>
  <c r="O131" i="3"/>
  <c r="P145" i="3"/>
  <c r="K153" i="3"/>
  <c r="U159" i="3"/>
  <c r="R166" i="3"/>
  <c r="T172" i="3"/>
  <c r="Q179" i="3"/>
  <c r="N186" i="3"/>
  <c r="X186" i="3" s="1"/>
  <c r="P192" i="3"/>
  <c r="U61" i="3"/>
  <c r="R90" i="3"/>
  <c r="R105" i="3"/>
  <c r="L119" i="3"/>
  <c r="P131" i="3"/>
  <c r="Q138" i="3"/>
  <c r="M146" i="3"/>
  <c r="L153" i="3"/>
  <c r="N159" i="3"/>
  <c r="K166" i="3"/>
  <c r="R171" i="3"/>
  <c r="L177" i="3"/>
  <c r="S182" i="3"/>
  <c r="M188" i="3"/>
  <c r="T193" i="3"/>
  <c r="I62" i="3"/>
  <c r="R86" i="3"/>
  <c r="J102" i="3"/>
  <c r="K113" i="3"/>
  <c r="L124" i="3"/>
  <c r="J133" i="3"/>
  <c r="N139" i="3"/>
  <c r="X139" i="3" s="1"/>
  <c r="N146" i="3"/>
  <c r="X146" i="3" s="1"/>
  <c r="J152" i="3"/>
  <c r="Q39" i="3"/>
  <c r="K81" i="3"/>
  <c r="N96" i="3"/>
  <c r="X96" i="3" s="1"/>
  <c r="M107" i="3"/>
  <c r="K117" i="3"/>
  <c r="I127" i="3"/>
  <c r="T133" i="3"/>
  <c r="O139" i="3"/>
  <c r="J145" i="3"/>
  <c r="M150" i="3"/>
  <c r="L155" i="3"/>
  <c r="K160" i="3"/>
  <c r="J165" i="3"/>
  <c r="I170" i="3"/>
  <c r="U174" i="3"/>
  <c r="T179" i="3"/>
  <c r="S184" i="3"/>
  <c r="R189" i="3"/>
  <c r="U69" i="3"/>
  <c r="P89" i="3"/>
  <c r="P102" i="3"/>
  <c r="U45" i="3"/>
  <c r="L52" i="3"/>
  <c r="I36" i="3"/>
  <c r="L19" i="3"/>
  <c r="L54" i="3"/>
  <c r="S88" i="3"/>
  <c r="K74" i="3"/>
  <c r="Q65" i="3"/>
  <c r="Q112" i="3"/>
  <c r="P141" i="3"/>
  <c r="I92" i="3"/>
  <c r="T118" i="3"/>
  <c r="L85" i="3"/>
  <c r="T115" i="3"/>
  <c r="L71" i="3"/>
  <c r="R111" i="3"/>
  <c r="R89" i="3"/>
  <c r="M131" i="3"/>
  <c r="N152" i="3"/>
  <c r="X152" i="3" s="1"/>
  <c r="L170" i="3"/>
  <c r="T186" i="3"/>
  <c r="N200" i="3"/>
  <c r="X200" i="3" s="1"/>
  <c r="M82" i="3"/>
  <c r="T112" i="3"/>
  <c r="Q135" i="3"/>
  <c r="Q150" i="3"/>
  <c r="U162" i="3"/>
  <c r="O176" i="3"/>
  <c r="I190" i="3"/>
  <c r="Q71" i="3"/>
  <c r="P110" i="3"/>
  <c r="M134" i="3"/>
  <c r="U146" i="3"/>
  <c r="N154" i="3"/>
  <c r="X154" i="3" s="1"/>
  <c r="P160" i="3"/>
  <c r="M167" i="3"/>
  <c r="J174" i="3"/>
  <c r="L180" i="3"/>
  <c r="I187" i="3"/>
  <c r="S193" i="3"/>
  <c r="J65" i="3"/>
  <c r="Q92" i="3"/>
  <c r="K108" i="3"/>
  <c r="O120" i="3"/>
  <c r="L132" i="3"/>
  <c r="I140" i="3"/>
  <c r="I147" i="3"/>
  <c r="T153" i="3"/>
  <c r="Q160" i="3"/>
  <c r="S166" i="3"/>
  <c r="M172" i="3"/>
  <c r="T177" i="3"/>
  <c r="N183" i="3"/>
  <c r="X183" i="3" s="1"/>
  <c r="U188" i="3"/>
  <c r="J195" i="3"/>
  <c r="O65" i="3"/>
  <c r="T88" i="3"/>
  <c r="M103" i="3"/>
  <c r="N114" i="3"/>
  <c r="X114" i="3" s="1"/>
  <c r="O125" i="3"/>
  <c r="S133" i="3"/>
  <c r="S140" i="3"/>
  <c r="K147" i="3"/>
  <c r="R152" i="3"/>
  <c r="Q50" i="3"/>
  <c r="N83" i="3"/>
  <c r="X83" i="3" s="1"/>
  <c r="J98" i="3"/>
  <c r="P108" i="3"/>
  <c r="N118" i="3"/>
  <c r="X118" i="3" s="1"/>
  <c r="T127" i="3"/>
  <c r="P134" i="3"/>
  <c r="K140" i="3"/>
  <c r="S145" i="3"/>
  <c r="U150" i="3"/>
  <c r="T155" i="3"/>
  <c r="S160" i="3"/>
  <c r="R165" i="3"/>
  <c r="Q170" i="3"/>
  <c r="P175" i="3"/>
  <c r="O180" i="3"/>
  <c r="N185" i="3"/>
  <c r="X185" i="3" s="1"/>
  <c r="M190" i="3"/>
  <c r="J73" i="3"/>
  <c r="O91" i="3"/>
  <c r="S103" i="3"/>
  <c r="Q113" i="3"/>
  <c r="O123" i="3"/>
  <c r="T131" i="3"/>
  <c r="M135" i="3"/>
  <c r="P156" i="3"/>
  <c r="P169" i="3"/>
  <c r="T182" i="3"/>
  <c r="Q194" i="3"/>
  <c r="M201" i="3"/>
  <c r="U206" i="3"/>
  <c r="T211" i="3"/>
  <c r="S216" i="3"/>
  <c r="R221" i="3"/>
  <c r="Q226" i="3"/>
  <c r="P231" i="3"/>
  <c r="O236" i="3"/>
  <c r="N241" i="3"/>
  <c r="X241" i="3" s="1"/>
  <c r="M246" i="3"/>
  <c r="M53" i="3"/>
  <c r="I16" i="3"/>
  <c r="K58" i="3"/>
  <c r="K24" i="3"/>
  <c r="J61" i="3"/>
  <c r="O17" i="3"/>
  <c r="I76" i="3"/>
  <c r="N78" i="3"/>
  <c r="K118" i="3"/>
  <c r="S142" i="3"/>
  <c r="I97" i="3"/>
  <c r="S123" i="3"/>
  <c r="K87" i="3"/>
  <c r="P119" i="3"/>
  <c r="N82" i="3"/>
  <c r="X82" i="3" s="1"/>
  <c r="U112" i="3"/>
  <c r="O93" i="3"/>
  <c r="L136" i="3"/>
  <c r="Q153" i="3"/>
  <c r="J172" i="3"/>
  <c r="M189" i="3"/>
  <c r="Q201" i="3"/>
  <c r="N86" i="3"/>
  <c r="X86" i="3" s="1"/>
  <c r="S117" i="3"/>
  <c r="I137" i="3"/>
  <c r="T151" i="3"/>
  <c r="N165" i="3"/>
  <c r="X165" i="3" s="1"/>
  <c r="R177" i="3"/>
  <c r="L191" i="3"/>
  <c r="R82" i="3"/>
  <c r="I113" i="3"/>
  <c r="R135" i="3"/>
  <c r="Q147" i="3"/>
  <c r="I155" i="3"/>
  <c r="S161" i="3"/>
  <c r="U167" i="3"/>
  <c r="R174" i="3"/>
  <c r="O181" i="3"/>
  <c r="Q187" i="3"/>
  <c r="N194" i="3"/>
  <c r="S71" i="3"/>
  <c r="M94" i="3"/>
  <c r="N109" i="3"/>
  <c r="X109" i="3" s="1"/>
  <c r="U122" i="3"/>
  <c r="I133" i="3"/>
  <c r="R140" i="3"/>
  <c r="M148" i="3"/>
  <c r="O154" i="3"/>
  <c r="L161" i="3"/>
  <c r="N167" i="3"/>
  <c r="X167" i="3" s="1"/>
  <c r="U172" i="3"/>
  <c r="O178" i="3"/>
  <c r="I184" i="3"/>
  <c r="K190" i="3"/>
  <c r="R195" i="3"/>
  <c r="R68" i="3"/>
  <c r="S90" i="3"/>
  <c r="P104" i="3"/>
  <c r="Q115" i="3"/>
  <c r="R126" i="3"/>
  <c r="K135" i="3"/>
  <c r="O141" i="3"/>
  <c r="S147" i="3"/>
  <c r="M153" i="3"/>
  <c r="M59" i="3"/>
  <c r="M85" i="3"/>
  <c r="Q99" i="3"/>
  <c r="S109" i="3"/>
  <c r="Q119" i="3"/>
  <c r="U128" i="3"/>
  <c r="L135" i="3"/>
  <c r="T140" i="3"/>
  <c r="P146" i="3"/>
  <c r="P151" i="3"/>
  <c r="O156" i="3"/>
  <c r="N161" i="3"/>
  <c r="X161" i="3" s="1"/>
  <c r="M166" i="3"/>
  <c r="L171" i="3"/>
  <c r="K176" i="3"/>
  <c r="J181" i="3"/>
  <c r="I186" i="3"/>
  <c r="S24" i="3"/>
  <c r="P76" i="3"/>
  <c r="M93" i="3"/>
  <c r="I105" i="3"/>
  <c r="T114" i="3"/>
  <c r="R124" i="3"/>
  <c r="O25" i="3"/>
  <c r="M18" i="3"/>
  <c r="K22" i="3"/>
  <c r="O52" i="3"/>
  <c r="N68" i="3"/>
  <c r="X68" i="3" s="1"/>
  <c r="M62" i="3"/>
  <c r="P36" i="3"/>
  <c r="Q10" i="3"/>
  <c r="J82" i="3"/>
  <c r="T121" i="3"/>
  <c r="I10" i="3"/>
  <c r="R98" i="3"/>
  <c r="O127" i="3"/>
  <c r="Q94" i="3"/>
  <c r="S120" i="3"/>
  <c r="N88" i="3"/>
  <c r="X88" i="3" s="1"/>
  <c r="T117" i="3"/>
  <c r="N101" i="3"/>
  <c r="Q137" i="3"/>
  <c r="M157" i="3"/>
  <c r="M173" i="3"/>
  <c r="P190" i="3"/>
  <c r="J204" i="3"/>
  <c r="L90" i="3"/>
  <c r="L120" i="3"/>
  <c r="T139" i="3"/>
  <c r="J153" i="3"/>
  <c r="Q166" i="3"/>
  <c r="K180" i="3"/>
  <c r="O192" i="3"/>
  <c r="P86" i="3"/>
  <c r="U117" i="3"/>
  <c r="J137" i="3"/>
  <c r="L148" i="3"/>
  <c r="Q155" i="3"/>
  <c r="N162" i="3"/>
  <c r="X162" i="3" s="1"/>
  <c r="K169" i="3"/>
  <c r="M175" i="3"/>
  <c r="J182" i="3"/>
  <c r="T188" i="3"/>
  <c r="I195" i="3"/>
  <c r="U74" i="3"/>
  <c r="P97" i="3"/>
  <c r="Q110" i="3"/>
  <c r="K124" i="3"/>
  <c r="N134" i="3"/>
  <c r="N141" i="3"/>
  <c r="X141" i="3" s="1"/>
  <c r="U148" i="3"/>
  <c r="R155" i="3"/>
  <c r="T161" i="3"/>
  <c r="I168" i="3"/>
  <c r="P173" i="3"/>
  <c r="J179" i="3"/>
  <c r="L185" i="3"/>
  <c r="S190" i="3"/>
  <c r="M196" i="3"/>
  <c r="T71" i="3"/>
  <c r="R92" i="3"/>
  <c r="S105" i="3"/>
  <c r="T116" i="3"/>
  <c r="T128" i="3"/>
  <c r="T135" i="3"/>
  <c r="L142" i="3"/>
  <c r="N148" i="3"/>
  <c r="X148" i="3" s="1"/>
  <c r="U153" i="3"/>
  <c r="I63" i="3"/>
  <c r="L87" i="3"/>
  <c r="J101" i="3"/>
  <c r="I111" i="3"/>
  <c r="T120" i="3"/>
  <c r="S129" i="3"/>
  <c r="U135" i="3"/>
  <c r="Q141" i="3"/>
  <c r="L147" i="3"/>
  <c r="K152" i="3"/>
  <c r="J157" i="3"/>
  <c r="I162" i="3"/>
  <c r="U166" i="3"/>
  <c r="T171" i="3"/>
  <c r="S176" i="3"/>
  <c r="R181" i="3"/>
  <c r="Q186" i="3"/>
  <c r="I11" i="3"/>
  <c r="R32" i="3"/>
  <c r="R59" i="3"/>
  <c r="K99" i="3"/>
  <c r="T75" i="3"/>
  <c r="L61" i="3"/>
  <c r="J51" i="3"/>
  <c r="S100" i="3"/>
  <c r="R131" i="3"/>
  <c r="J74" i="3"/>
  <c r="I109" i="3"/>
  <c r="Q62" i="3"/>
  <c r="I106" i="3"/>
  <c r="Q130" i="3"/>
  <c r="T101" i="3"/>
  <c r="L27" i="3"/>
  <c r="I115" i="3"/>
  <c r="N145" i="3"/>
  <c r="X145" i="3" s="1"/>
  <c r="O163" i="3"/>
  <c r="J180" i="3"/>
  <c r="O195" i="3"/>
  <c r="P55" i="3"/>
  <c r="I103" i="3"/>
  <c r="O129" i="3"/>
  <c r="O145" i="3"/>
  <c r="I158" i="3"/>
  <c r="P171" i="3"/>
  <c r="J185" i="3"/>
  <c r="N197" i="3"/>
  <c r="X197" i="3" s="1"/>
  <c r="P100" i="3"/>
  <c r="Q127" i="3"/>
  <c r="I142" i="3"/>
  <c r="U151" i="3"/>
  <c r="J158" i="3"/>
  <c r="T164" i="3"/>
  <c r="Q171" i="3"/>
  <c r="S177" i="3"/>
  <c r="P184" i="3"/>
  <c r="M191" i="3"/>
  <c r="M35" i="3"/>
  <c r="R84" i="3"/>
  <c r="L103" i="3"/>
  <c r="P115" i="3"/>
  <c r="P128" i="3"/>
  <c r="K137" i="3"/>
  <c r="L144" i="3"/>
  <c r="N151" i="3"/>
  <c r="K158" i="3"/>
  <c r="M164" i="3"/>
  <c r="O170" i="3"/>
  <c r="I176" i="3"/>
  <c r="P181" i="3"/>
  <c r="J187" i="3"/>
  <c r="Q192" i="3"/>
  <c r="O36" i="3"/>
  <c r="P80" i="3"/>
  <c r="M99" i="3"/>
  <c r="R110" i="3"/>
  <c r="S121" i="3"/>
  <c r="Q131" i="3"/>
  <c r="I138" i="3"/>
  <c r="M144" i="3"/>
  <c r="L150" i="3"/>
  <c r="N156" i="3"/>
  <c r="J76" i="3"/>
  <c r="K93" i="3"/>
  <c r="T104" i="3"/>
  <c r="R114" i="3"/>
  <c r="P124" i="3"/>
  <c r="O132" i="3"/>
  <c r="J138" i="3"/>
  <c r="R143" i="3"/>
  <c r="J149" i="3"/>
  <c r="I154" i="3"/>
  <c r="U158" i="3"/>
  <c r="T163" i="3"/>
  <c r="S168" i="3"/>
  <c r="R173" i="3"/>
  <c r="Q178" i="3"/>
  <c r="P183" i="3"/>
  <c r="R41" i="3"/>
  <c r="I74" i="3"/>
  <c r="I128" i="3"/>
  <c r="I101" i="3"/>
  <c r="P112" i="3"/>
  <c r="L194" i="3"/>
  <c r="Q142" i="3"/>
  <c r="K196" i="3"/>
  <c r="R150" i="3"/>
  <c r="K177" i="3"/>
  <c r="S82" i="3"/>
  <c r="S135" i="3"/>
  <c r="R163" i="3"/>
  <c r="O186" i="3"/>
  <c r="U95" i="3"/>
  <c r="M137" i="3"/>
  <c r="T72" i="3"/>
  <c r="M123" i="3"/>
  <c r="O148" i="3"/>
  <c r="K168" i="3"/>
  <c r="T187" i="3"/>
  <c r="P83" i="3"/>
  <c r="R108" i="3"/>
  <c r="U125" i="3"/>
  <c r="U114" i="3"/>
  <c r="L158" i="3"/>
  <c r="O174" i="3"/>
  <c r="U190" i="3"/>
  <c r="I202" i="3"/>
  <c r="S208" i="3"/>
  <c r="U214" i="3"/>
  <c r="M222" i="3"/>
  <c r="O228" i="3"/>
  <c r="Q234" i="3"/>
  <c r="I242" i="3"/>
  <c r="K248" i="3"/>
  <c r="R253" i="3"/>
  <c r="Q258" i="3"/>
  <c r="P263" i="3"/>
  <c r="O268" i="3"/>
  <c r="N273" i="3"/>
  <c r="X273" i="3" s="1"/>
  <c r="L79" i="3"/>
  <c r="J141" i="3"/>
  <c r="J160" i="3"/>
  <c r="K173" i="3"/>
  <c r="K186" i="3"/>
  <c r="J197" i="3"/>
  <c r="S202" i="3"/>
  <c r="L208" i="3"/>
  <c r="K213" i="3"/>
  <c r="J218" i="3"/>
  <c r="I223" i="3"/>
  <c r="U227" i="3"/>
  <c r="T232" i="3"/>
  <c r="S237" i="3"/>
  <c r="R242" i="3"/>
  <c r="Q247" i="3"/>
  <c r="P252" i="3"/>
  <c r="O257" i="3"/>
  <c r="K127" i="3"/>
  <c r="L152" i="3"/>
  <c r="T166" i="3"/>
  <c r="U179" i="3"/>
  <c r="M192" i="3"/>
  <c r="J200" i="3"/>
  <c r="R205" i="3"/>
  <c r="S210" i="3"/>
  <c r="R215" i="3"/>
  <c r="Q220" i="3"/>
  <c r="P225" i="3"/>
  <c r="O230" i="3"/>
  <c r="N235" i="3"/>
  <c r="M240" i="3"/>
  <c r="L245" i="3"/>
  <c r="K250" i="3"/>
  <c r="J255" i="3"/>
  <c r="I260" i="3"/>
  <c r="U264" i="3"/>
  <c r="T269" i="3"/>
  <c r="S274" i="3"/>
  <c r="S108" i="3"/>
  <c r="N147" i="3"/>
  <c r="X147" i="3" s="1"/>
  <c r="S163" i="3"/>
  <c r="T176" i="3"/>
  <c r="T189" i="3"/>
  <c r="S198" i="3"/>
  <c r="N204" i="3"/>
  <c r="K11" i="3"/>
  <c r="I40" i="3"/>
  <c r="M54" i="3"/>
  <c r="R125" i="3"/>
  <c r="S139" i="3"/>
  <c r="M205" i="3"/>
  <c r="P155" i="3"/>
  <c r="N90" i="3"/>
  <c r="T156" i="3"/>
  <c r="R182" i="3"/>
  <c r="L99" i="3"/>
  <c r="T142" i="3"/>
  <c r="Q168" i="3"/>
  <c r="N191" i="3"/>
  <c r="I107" i="3"/>
  <c r="U142" i="3"/>
  <c r="K89" i="3"/>
  <c r="T130" i="3"/>
  <c r="S152" i="3"/>
  <c r="O172" i="3"/>
  <c r="O188" i="3"/>
  <c r="O85" i="3"/>
  <c r="U109" i="3"/>
  <c r="J127" i="3"/>
  <c r="P132" i="3"/>
  <c r="R159" i="3"/>
  <c r="L176" i="3"/>
  <c r="N193" i="3"/>
  <c r="X193" i="3" s="1"/>
  <c r="R202" i="3"/>
  <c r="N209" i="3"/>
  <c r="X209" i="3" s="1"/>
  <c r="K216" i="3"/>
  <c r="U222" i="3"/>
  <c r="J229" i="3"/>
  <c r="T235" i="3"/>
  <c r="Q242" i="3"/>
  <c r="S248" i="3"/>
  <c r="M254" i="3"/>
  <c r="L259" i="3"/>
  <c r="K264" i="3"/>
  <c r="J269" i="3"/>
  <c r="I274" i="3"/>
  <c r="J95" i="3"/>
  <c r="T143" i="3"/>
  <c r="P161" i="3"/>
  <c r="T174" i="3"/>
  <c r="U187" i="3"/>
  <c r="T197" i="3"/>
  <c r="P203" i="3"/>
  <c r="T208" i="3"/>
  <c r="S213" i="3"/>
  <c r="R218" i="3"/>
  <c r="Q223" i="3"/>
  <c r="P228" i="3"/>
  <c r="O233" i="3"/>
  <c r="N238" i="3"/>
  <c r="X238" i="3" s="1"/>
  <c r="M243" i="3"/>
  <c r="L248" i="3"/>
  <c r="K253" i="3"/>
  <c r="J258" i="3"/>
  <c r="L133" i="3"/>
  <c r="R154" i="3"/>
  <c r="M168" i="3"/>
  <c r="Q181" i="3"/>
  <c r="P193" i="3"/>
  <c r="S200" i="3"/>
  <c r="N206" i="3"/>
  <c r="X206" i="3" s="1"/>
  <c r="N211" i="3"/>
  <c r="X211" i="3" s="1"/>
  <c r="M216" i="3"/>
  <c r="L221" i="3"/>
  <c r="K226" i="3"/>
  <c r="J231" i="3"/>
  <c r="I236" i="3"/>
  <c r="U240" i="3"/>
  <c r="T245" i="3"/>
  <c r="S250" i="3"/>
  <c r="R255" i="3"/>
  <c r="Q260" i="3"/>
  <c r="P265" i="3"/>
  <c r="O270" i="3"/>
  <c r="N275" i="3"/>
  <c r="Q118" i="3"/>
  <c r="T149" i="3"/>
  <c r="L165" i="3"/>
  <c r="P178" i="3"/>
  <c r="O191" i="3"/>
  <c r="O199" i="3"/>
  <c r="P26" i="3"/>
  <c r="N54" i="3"/>
  <c r="S60" i="3"/>
  <c r="N129" i="3"/>
  <c r="X129" i="3" s="1"/>
  <c r="L143" i="3"/>
  <c r="P206" i="3"/>
  <c r="S156" i="3"/>
  <c r="O97" i="3"/>
  <c r="O157" i="3"/>
  <c r="U183" i="3"/>
  <c r="Q100" i="3"/>
  <c r="P143" i="3"/>
  <c r="L169" i="3"/>
  <c r="I192" i="3"/>
  <c r="O109" i="3"/>
  <c r="Q143" i="3"/>
  <c r="M91" i="3"/>
  <c r="S131" i="3"/>
  <c r="N153" i="3"/>
  <c r="J173" i="3"/>
  <c r="N41" i="3"/>
  <c r="X41" i="3" s="1"/>
  <c r="I95" i="3"/>
  <c r="N112" i="3"/>
  <c r="X112" i="3" s="1"/>
  <c r="U127" i="3"/>
  <c r="K138" i="3"/>
  <c r="O161" i="3"/>
  <c r="U177" i="3"/>
  <c r="T195" i="3"/>
  <c r="N203" i="3"/>
  <c r="X203" i="3" s="1"/>
  <c r="I210" i="3"/>
  <c r="N217" i="3"/>
  <c r="X217" i="3" s="1"/>
  <c r="P223" i="3"/>
  <c r="R229" i="3"/>
  <c r="J237" i="3"/>
  <c r="L243" i="3"/>
  <c r="N249" i="3"/>
  <c r="X249" i="3" s="1"/>
  <c r="U254" i="3"/>
  <c r="T259" i="3"/>
  <c r="S264" i="3"/>
  <c r="R269" i="3"/>
  <c r="Q274" i="3"/>
  <c r="M106" i="3"/>
  <c r="R146" i="3"/>
  <c r="M163" i="3"/>
  <c r="M176" i="3"/>
  <c r="Q189" i="3"/>
  <c r="Q198" i="3"/>
  <c r="L204" i="3"/>
  <c r="O209" i="3"/>
  <c r="N214" i="3"/>
  <c r="M219" i="3"/>
  <c r="L224" i="3"/>
  <c r="K229" i="3"/>
  <c r="J234" i="3"/>
  <c r="I239" i="3"/>
  <c r="U243" i="3"/>
  <c r="T248" i="3"/>
  <c r="S253" i="3"/>
  <c r="R258" i="3"/>
  <c r="J136" i="3"/>
  <c r="I157" i="3"/>
  <c r="J170" i="3"/>
  <c r="J183" i="3"/>
  <c r="S194" i="3"/>
  <c r="O201" i="3"/>
  <c r="J207" i="3"/>
  <c r="I212" i="3"/>
  <c r="U216" i="3"/>
  <c r="T221" i="3"/>
  <c r="S226" i="3"/>
  <c r="R231" i="3"/>
  <c r="Q236" i="3"/>
  <c r="P241" i="3"/>
  <c r="O246" i="3"/>
  <c r="N251" i="3"/>
  <c r="M256" i="3"/>
  <c r="L261" i="3"/>
  <c r="K266" i="3"/>
  <c r="J271" i="3"/>
  <c r="I276" i="3"/>
  <c r="L128" i="3"/>
  <c r="M152" i="3"/>
  <c r="I167" i="3"/>
  <c r="I180" i="3"/>
  <c r="R192" i="3"/>
  <c r="K200" i="3"/>
  <c r="M63" i="3"/>
  <c r="M30" i="3"/>
  <c r="J104" i="3"/>
  <c r="M90" i="3"/>
  <c r="P158" i="3"/>
  <c r="K97" i="3"/>
  <c r="T167" i="3"/>
  <c r="N120" i="3"/>
  <c r="X120" i="3" s="1"/>
  <c r="I163" i="3"/>
  <c r="O189" i="3"/>
  <c r="J113" i="3"/>
  <c r="P149" i="3"/>
  <c r="K174" i="3"/>
  <c r="U196" i="3"/>
  <c r="M119" i="3"/>
  <c r="I149" i="3"/>
  <c r="N102" i="3"/>
  <c r="X102" i="3" s="1"/>
  <c r="R136" i="3"/>
  <c r="R157" i="3"/>
  <c r="N177" i="3"/>
  <c r="T51" i="3"/>
  <c r="P96" i="3"/>
  <c r="J116" i="3"/>
  <c r="I129" i="3"/>
  <c r="I141" i="3"/>
  <c r="K163" i="3"/>
  <c r="K181" i="3"/>
  <c r="I197" i="3"/>
  <c r="K204" i="3"/>
  <c r="L211" i="3"/>
  <c r="I218" i="3"/>
  <c r="K224" i="3"/>
  <c r="U230" i="3"/>
  <c r="R237" i="3"/>
  <c r="T243" i="3"/>
  <c r="Q250" i="3"/>
  <c r="P255" i="3"/>
  <c r="O260" i="3"/>
  <c r="N265" i="3"/>
  <c r="X265" i="3" s="1"/>
  <c r="M270" i="3"/>
  <c r="L275" i="3"/>
  <c r="K116" i="3"/>
  <c r="L149" i="3"/>
  <c r="I165" i="3"/>
  <c r="J178" i="3"/>
  <c r="I191" i="3"/>
  <c r="M199" i="3"/>
  <c r="U204" i="3"/>
  <c r="J210" i="3"/>
  <c r="I215" i="3"/>
  <c r="U219" i="3"/>
  <c r="T224" i="3"/>
  <c r="S229" i="3"/>
  <c r="R234" i="3"/>
  <c r="Q239" i="3"/>
  <c r="P244" i="3"/>
  <c r="O249" i="3"/>
  <c r="N254" i="3"/>
  <c r="X254" i="3" s="1"/>
  <c r="N52" i="3"/>
  <c r="X52" i="3" s="1"/>
  <c r="T138" i="3"/>
  <c r="O158" i="3"/>
  <c r="S171" i="3"/>
  <c r="T184" i="3"/>
  <c r="I196" i="3"/>
  <c r="K202" i="3"/>
  <c r="R207" i="3"/>
  <c r="Q212" i="3"/>
  <c r="P217" i="3"/>
  <c r="O222" i="3"/>
  <c r="N227" i="3"/>
  <c r="X227" i="3" s="1"/>
  <c r="M232" i="3"/>
  <c r="L237" i="3"/>
  <c r="K242" i="3"/>
  <c r="J247" i="3"/>
  <c r="I252" i="3"/>
  <c r="U256" i="3"/>
  <c r="T261" i="3"/>
  <c r="S266" i="3"/>
  <c r="R271" i="3"/>
  <c r="Q276" i="3"/>
  <c r="M133" i="3"/>
  <c r="S154" i="3"/>
  <c r="R168" i="3"/>
  <c r="S181" i="3"/>
  <c r="U193" i="3"/>
  <c r="T200" i="3"/>
  <c r="J88" i="3"/>
  <c r="N99" i="3"/>
  <c r="S38" i="3"/>
  <c r="S122" i="3"/>
  <c r="L178" i="3"/>
  <c r="M127" i="3"/>
  <c r="Q182" i="3"/>
  <c r="M141" i="3"/>
  <c r="N170" i="3"/>
  <c r="X170" i="3" s="1"/>
  <c r="Q15" i="3"/>
  <c r="R127" i="3"/>
  <c r="U156" i="3"/>
  <c r="U180" i="3"/>
  <c r="J78" i="3"/>
  <c r="S130" i="3"/>
  <c r="K155" i="3"/>
  <c r="O113" i="3"/>
  <c r="I143" i="3"/>
  <c r="L163" i="3"/>
  <c r="U182" i="3"/>
  <c r="K79" i="3"/>
  <c r="L106" i="3"/>
  <c r="S119" i="3"/>
  <c r="N93" i="3"/>
  <c r="X93" i="3" s="1"/>
  <c r="K149" i="3"/>
  <c r="M171" i="3"/>
  <c r="S187" i="3"/>
  <c r="L199" i="3"/>
  <c r="P207" i="3"/>
  <c r="R213" i="3"/>
  <c r="T219" i="3"/>
  <c r="L227" i="3"/>
  <c r="N233" i="3"/>
  <c r="X233" i="3" s="1"/>
  <c r="P239" i="3"/>
  <c r="U246" i="3"/>
  <c r="O252" i="3"/>
  <c r="N257" i="3"/>
  <c r="X257" i="3" s="1"/>
  <c r="M262" i="3"/>
  <c r="L267" i="3"/>
  <c r="K272" i="3"/>
  <c r="J277" i="3"/>
  <c r="O135" i="3"/>
  <c r="Q156" i="3"/>
  <c r="U169" i="3"/>
  <c r="I183" i="3"/>
  <c r="R194" i="3"/>
  <c r="N201" i="3"/>
  <c r="I207" i="3"/>
  <c r="U211" i="3"/>
  <c r="T216" i="3"/>
  <c r="S221" i="3"/>
  <c r="R226" i="3"/>
  <c r="Q231" i="3"/>
  <c r="P236" i="3"/>
  <c r="O241" i="3"/>
  <c r="N246" i="3"/>
  <c r="X246" i="3" s="1"/>
  <c r="M251" i="3"/>
  <c r="L256" i="3"/>
  <c r="P107" i="3"/>
  <c r="M147" i="3"/>
  <c r="N163" i="3"/>
  <c r="X163" i="3" s="1"/>
  <c r="R176" i="3"/>
  <c r="S189" i="3"/>
  <c r="R198" i="3"/>
  <c r="M204" i="3"/>
  <c r="P209" i="3"/>
  <c r="O214" i="3"/>
  <c r="N219" i="3"/>
  <c r="X219" i="3" s="1"/>
  <c r="M224" i="3"/>
  <c r="L229" i="3"/>
  <c r="K234" i="3"/>
  <c r="J239" i="3"/>
  <c r="I244" i="3"/>
  <c r="U248" i="3"/>
  <c r="T253" i="3"/>
  <c r="S258" i="3"/>
  <c r="R263" i="3"/>
  <c r="Q268" i="3"/>
  <c r="P273" i="3"/>
  <c r="Q83" i="3"/>
  <c r="S141" i="3"/>
  <c r="M160" i="3"/>
  <c r="Q173" i="3"/>
  <c r="R186" i="3"/>
  <c r="L197" i="3"/>
  <c r="R33" i="3"/>
  <c r="R128" i="3"/>
  <c r="N100" i="3"/>
  <c r="X100" i="3" s="1"/>
  <c r="O149" i="3"/>
  <c r="N125" i="3"/>
  <c r="X125" i="3" s="1"/>
  <c r="N17" i="3"/>
  <c r="X17" i="3" s="1"/>
  <c r="L66" i="3"/>
  <c r="Q162" i="3"/>
  <c r="L98" i="3"/>
  <c r="J105" i="3"/>
  <c r="J186" i="3"/>
  <c r="O212" i="3"/>
  <c r="T227" i="3"/>
  <c r="R245" i="3"/>
  <c r="J261" i="3"/>
  <c r="S272" i="3"/>
  <c r="K154" i="3"/>
  <c r="L192" i="3"/>
  <c r="Q207" i="3"/>
  <c r="K221" i="3"/>
  <c r="M235" i="3"/>
  <c r="I247" i="3"/>
  <c r="S96" i="3"/>
  <c r="L173" i="3"/>
  <c r="N199" i="3"/>
  <c r="T213" i="3"/>
  <c r="I228" i="3"/>
  <c r="R239" i="3"/>
  <c r="L253" i="3"/>
  <c r="N267" i="3"/>
  <c r="M98" i="3"/>
  <c r="U171" i="3"/>
  <c r="P201" i="3"/>
  <c r="S207" i="3"/>
  <c r="R212" i="3"/>
  <c r="Q217" i="3"/>
  <c r="P222" i="3"/>
  <c r="O227" i="3"/>
  <c r="N232" i="3"/>
  <c r="X232" i="3" s="1"/>
  <c r="M237" i="3"/>
  <c r="L242" i="3"/>
  <c r="K247" i="3"/>
  <c r="J252" i="3"/>
  <c r="I257" i="3"/>
  <c r="J129" i="3"/>
  <c r="T152" i="3"/>
  <c r="J167" i="3"/>
  <c r="N180" i="3"/>
  <c r="X180" i="3" s="1"/>
  <c r="S192" i="3"/>
  <c r="L200" i="3"/>
  <c r="T205" i="3"/>
  <c r="U210" i="3"/>
  <c r="T215" i="3"/>
  <c r="S220" i="3"/>
  <c r="R225" i="3"/>
  <c r="Q230" i="3"/>
  <c r="P235" i="3"/>
  <c r="O240" i="3"/>
  <c r="O73" i="3"/>
  <c r="N140" i="3"/>
  <c r="X140" i="3" s="1"/>
  <c r="Q159" i="3"/>
  <c r="Q172" i="3"/>
  <c r="U185" i="3"/>
  <c r="T196" i="3"/>
  <c r="Q202" i="3"/>
  <c r="J208" i="3"/>
  <c r="I213" i="3"/>
  <c r="U217" i="3"/>
  <c r="T222" i="3"/>
  <c r="S227" i="3"/>
  <c r="R232" i="3"/>
  <c r="Q237" i="3"/>
  <c r="P242" i="3"/>
  <c r="O247" i="3"/>
  <c r="T66" i="3"/>
  <c r="O185" i="3"/>
  <c r="T212" i="3"/>
  <c r="P232" i="3"/>
  <c r="S249" i="3"/>
  <c r="R259" i="3"/>
  <c r="M266" i="3"/>
  <c r="T272" i="3"/>
  <c r="U278" i="3"/>
  <c r="T283" i="3"/>
  <c r="S288" i="3"/>
  <c r="R293" i="3"/>
  <c r="Q298" i="3"/>
  <c r="P303" i="3"/>
  <c r="O308" i="3"/>
  <c r="N313" i="3"/>
  <c r="M318" i="3"/>
  <c r="L323" i="3"/>
  <c r="K328" i="3"/>
  <c r="J333" i="3"/>
  <c r="I338" i="3"/>
  <c r="U342" i="3"/>
  <c r="T160" i="3"/>
  <c r="K203" i="3"/>
  <c r="M223" i="3"/>
  <c r="I243" i="3"/>
  <c r="O255" i="3"/>
  <c r="L263" i="3"/>
  <c r="S269" i="3"/>
  <c r="M276" i="3"/>
  <c r="P281" i="3"/>
  <c r="O286" i="3"/>
  <c r="N291" i="3"/>
  <c r="X291" i="3" s="1"/>
  <c r="M296" i="3"/>
  <c r="L301" i="3"/>
  <c r="K306" i="3"/>
  <c r="J311" i="3"/>
  <c r="I316" i="3"/>
  <c r="U320" i="3"/>
  <c r="T325" i="3"/>
  <c r="S330" i="3"/>
  <c r="R335" i="3"/>
  <c r="Q340" i="3"/>
  <c r="I131" i="3"/>
  <c r="U192" i="3"/>
  <c r="I216" i="3"/>
  <c r="R235" i="3"/>
  <c r="K252" i="3"/>
  <c r="T260" i="3"/>
  <c r="O267" i="3"/>
  <c r="U273" i="3"/>
  <c r="S279" i="3"/>
  <c r="R284" i="3"/>
  <c r="Q289" i="3"/>
  <c r="P294" i="3"/>
  <c r="O299" i="3"/>
  <c r="N304" i="3"/>
  <c r="X304" i="3" s="1"/>
  <c r="M309" i="3"/>
  <c r="L314" i="3"/>
  <c r="K319" i="3"/>
  <c r="J324" i="3"/>
  <c r="I329" i="3"/>
  <c r="U333" i="3"/>
  <c r="T338" i="3"/>
  <c r="S343" i="3"/>
  <c r="L182" i="3"/>
  <c r="Q211" i="3"/>
  <c r="M231" i="3"/>
  <c r="J249" i="3"/>
  <c r="M259" i="3"/>
  <c r="T265" i="3"/>
  <c r="O272" i="3"/>
  <c r="Q278" i="3"/>
  <c r="P283" i="3"/>
  <c r="O288" i="3"/>
  <c r="N293" i="3"/>
  <c r="X293" i="3" s="1"/>
  <c r="M298" i="3"/>
  <c r="L303" i="3"/>
  <c r="K308" i="3"/>
  <c r="J313" i="3"/>
  <c r="I318" i="3"/>
  <c r="U322" i="3"/>
  <c r="T327" i="3"/>
  <c r="S332" i="3"/>
  <c r="R162" i="3"/>
  <c r="U203" i="3"/>
  <c r="I224" i="3"/>
  <c r="R243" i="3"/>
  <c r="I256" i="3"/>
  <c r="O263" i="3"/>
  <c r="J270" i="3"/>
  <c r="R276" i="3"/>
  <c r="S281" i="3"/>
  <c r="R286" i="3"/>
  <c r="Q291" i="3"/>
  <c r="P296" i="3"/>
  <c r="L16" i="3"/>
  <c r="P99" i="3"/>
  <c r="R122" i="3"/>
  <c r="L164" i="3"/>
  <c r="J135" i="3"/>
  <c r="M75" i="3"/>
  <c r="Q103" i="3"/>
  <c r="P167" i="3"/>
  <c r="T99" i="3"/>
  <c r="S143" i="3"/>
  <c r="L189" i="3"/>
  <c r="J213" i="3"/>
  <c r="K232" i="3"/>
  <c r="P247" i="3"/>
  <c r="R261" i="3"/>
  <c r="T275" i="3"/>
  <c r="N158" i="3"/>
  <c r="X158" i="3" s="1"/>
  <c r="O193" i="3"/>
  <c r="R210" i="3"/>
  <c r="N222" i="3"/>
  <c r="X222" i="3" s="1"/>
  <c r="U235" i="3"/>
  <c r="J250" i="3"/>
  <c r="N117" i="3"/>
  <c r="I175" i="3"/>
  <c r="U202" i="3"/>
  <c r="J215" i="3"/>
  <c r="Q228" i="3"/>
  <c r="S242" i="3"/>
  <c r="O254" i="3"/>
  <c r="I268" i="3"/>
  <c r="K136" i="3"/>
  <c r="J175" i="3"/>
  <c r="M202" i="3"/>
  <c r="N208" i="3"/>
  <c r="X208" i="3" s="1"/>
  <c r="M213" i="3"/>
  <c r="L218" i="3"/>
  <c r="K223" i="3"/>
  <c r="J228" i="3"/>
  <c r="I233" i="3"/>
  <c r="U237" i="3"/>
  <c r="T242" i="3"/>
  <c r="S247" i="3"/>
  <c r="R252" i="3"/>
  <c r="Q257" i="3"/>
  <c r="U133" i="3"/>
  <c r="M155" i="3"/>
  <c r="T168" i="3"/>
  <c r="T181" i="3"/>
  <c r="I194" i="3"/>
  <c r="U200" i="3"/>
  <c r="Q206" i="3"/>
  <c r="P211" i="3"/>
  <c r="O216" i="3"/>
  <c r="N221" i="3"/>
  <c r="X221" i="3" s="1"/>
  <c r="M226" i="3"/>
  <c r="L231" i="3"/>
  <c r="K236" i="3"/>
  <c r="J241" i="3"/>
  <c r="P91" i="3"/>
  <c r="K143" i="3"/>
  <c r="M161" i="3"/>
  <c r="N174" i="3"/>
  <c r="X174" i="3" s="1"/>
  <c r="N187" i="3"/>
  <c r="R197" i="3"/>
  <c r="M203" i="3"/>
  <c r="R208" i="3"/>
  <c r="Q213" i="3"/>
  <c r="P218" i="3"/>
  <c r="O223" i="3"/>
  <c r="N228" i="3"/>
  <c r="X228" i="3" s="1"/>
  <c r="M233" i="3"/>
  <c r="L238" i="3"/>
  <c r="K243" i="3"/>
  <c r="J248" i="3"/>
  <c r="J121" i="3"/>
  <c r="Q191" i="3"/>
  <c r="M215" i="3"/>
  <c r="I235" i="3"/>
  <c r="P251" i="3"/>
  <c r="P260" i="3"/>
  <c r="J267" i="3"/>
  <c r="R273" i="3"/>
  <c r="P279" i="3"/>
  <c r="O284" i="3"/>
  <c r="N289" i="3"/>
  <c r="X289" i="3" s="1"/>
  <c r="M294" i="3"/>
  <c r="L299" i="3"/>
  <c r="K304" i="3"/>
  <c r="J309" i="3"/>
  <c r="I314" i="3"/>
  <c r="U318" i="3"/>
  <c r="T323" i="3"/>
  <c r="S328" i="3"/>
  <c r="R333" i="3"/>
  <c r="Q338" i="3"/>
  <c r="P343" i="3"/>
  <c r="O167" i="3"/>
  <c r="I206" i="3"/>
  <c r="S225" i="3"/>
  <c r="N245" i="3"/>
  <c r="X245" i="3" s="1"/>
  <c r="R256" i="3"/>
  <c r="I264" i="3"/>
  <c r="Q270" i="3"/>
  <c r="K277" i="3"/>
  <c r="K282" i="3"/>
  <c r="J287" i="3"/>
  <c r="I292" i="3"/>
  <c r="U296" i="3"/>
  <c r="T301" i="3"/>
  <c r="S306" i="3"/>
  <c r="R311" i="3"/>
  <c r="Q316" i="3"/>
  <c r="P321" i="3"/>
  <c r="O326" i="3"/>
  <c r="N331" i="3"/>
  <c r="X331" i="3" s="1"/>
  <c r="M336" i="3"/>
  <c r="L341" i="3"/>
  <c r="J143" i="3"/>
  <c r="Q197" i="3"/>
  <c r="O218" i="3"/>
  <c r="K238" i="3"/>
  <c r="N253" i="3"/>
  <c r="X253" i="3" s="1"/>
  <c r="Q261" i="3"/>
  <c r="L268" i="3"/>
  <c r="T274" i="3"/>
  <c r="N280" i="3"/>
  <c r="X280" i="3" s="1"/>
  <c r="M285" i="3"/>
  <c r="L290" i="3"/>
  <c r="K295" i="3"/>
  <c r="J300" i="3"/>
  <c r="I305" i="3"/>
  <c r="U309" i="3"/>
  <c r="T314" i="3"/>
  <c r="S319" i="3"/>
  <c r="R324" i="3"/>
  <c r="Q329" i="3"/>
  <c r="P334" i="3"/>
  <c r="O339" i="3"/>
  <c r="M101" i="3"/>
  <c r="Q188" i="3"/>
  <c r="J214" i="3"/>
  <c r="S233" i="3"/>
  <c r="O250" i="3"/>
  <c r="K260" i="3"/>
  <c r="R266" i="3"/>
  <c r="L273" i="3"/>
  <c r="L279" i="3"/>
  <c r="K284" i="3"/>
  <c r="J289" i="3"/>
  <c r="I294" i="3"/>
  <c r="U298" i="3"/>
  <c r="T303" i="3"/>
  <c r="S308" i="3"/>
  <c r="R313" i="3"/>
  <c r="Q318" i="3"/>
  <c r="P323" i="3"/>
  <c r="O328" i="3"/>
  <c r="N333" i="3"/>
  <c r="X333" i="3" s="1"/>
  <c r="M169" i="3"/>
  <c r="S206" i="3"/>
  <c r="O226" i="3"/>
  <c r="I246" i="3"/>
  <c r="L257" i="3"/>
  <c r="N264" i="3"/>
  <c r="X264" i="3" s="1"/>
  <c r="T270" i="3"/>
  <c r="O277" i="3"/>
  <c r="N282" i="3"/>
  <c r="M287" i="3"/>
  <c r="L292" i="3"/>
  <c r="K297" i="3"/>
  <c r="S83" i="3"/>
  <c r="N97" i="3"/>
  <c r="X97" i="3" s="1"/>
  <c r="L141" i="3"/>
  <c r="S169" i="3"/>
  <c r="S150" i="3"/>
  <c r="N94" i="3"/>
  <c r="L112" i="3"/>
  <c r="I178" i="3"/>
  <c r="O107" i="3"/>
  <c r="Q146" i="3"/>
  <c r="S197" i="3"/>
  <c r="M214" i="3"/>
  <c r="S232" i="3"/>
  <c r="L251" i="3"/>
  <c r="U262" i="3"/>
  <c r="O276" i="3"/>
  <c r="O166" i="3"/>
  <c r="U195" i="3"/>
  <c r="M211" i="3"/>
  <c r="O225" i="3"/>
  <c r="K237" i="3"/>
  <c r="R250" i="3"/>
  <c r="R141" i="3"/>
  <c r="K178" i="3"/>
  <c r="Q203" i="3"/>
  <c r="K218" i="3"/>
  <c r="T229" i="3"/>
  <c r="N243" i="3"/>
  <c r="X243" i="3" s="1"/>
  <c r="P257" i="3"/>
  <c r="L269" i="3"/>
  <c r="U138" i="3"/>
  <c r="O183" i="3"/>
  <c r="I203" i="3"/>
  <c r="I209" i="3"/>
  <c r="U213" i="3"/>
  <c r="T218" i="3"/>
  <c r="S223" i="3"/>
  <c r="R228" i="3"/>
  <c r="Q233" i="3"/>
  <c r="P238" i="3"/>
  <c r="O243" i="3"/>
  <c r="N248" i="3"/>
  <c r="M253" i="3"/>
  <c r="L258" i="3"/>
  <c r="S136" i="3"/>
  <c r="L157" i="3"/>
  <c r="P170" i="3"/>
  <c r="Q183" i="3"/>
  <c r="L195" i="3"/>
  <c r="R201" i="3"/>
  <c r="L207" i="3"/>
  <c r="K212" i="3"/>
  <c r="J217" i="3"/>
  <c r="I222" i="3"/>
  <c r="U226" i="3"/>
  <c r="T231" i="3"/>
  <c r="S236" i="3"/>
  <c r="R241" i="3"/>
  <c r="T103" i="3"/>
  <c r="I146" i="3"/>
  <c r="S162" i="3"/>
  <c r="J176" i="3"/>
  <c r="K189" i="3"/>
  <c r="N198" i="3"/>
  <c r="X198" i="3" s="1"/>
  <c r="I204" i="3"/>
  <c r="M209" i="3"/>
  <c r="L214" i="3"/>
  <c r="K219" i="3"/>
  <c r="J224" i="3"/>
  <c r="I229" i="3"/>
  <c r="U233" i="3"/>
  <c r="T238" i="3"/>
  <c r="S243" i="3"/>
  <c r="R248" i="3"/>
  <c r="Q139" i="3"/>
  <c r="P196" i="3"/>
  <c r="S217" i="3"/>
  <c r="O237" i="3"/>
  <c r="T252" i="3"/>
  <c r="N261" i="3"/>
  <c r="X261" i="3" s="1"/>
  <c r="U267" i="3"/>
  <c r="O274" i="3"/>
  <c r="K280" i="3"/>
  <c r="J285" i="3"/>
  <c r="I290" i="3"/>
  <c r="U294" i="3"/>
  <c r="T299" i="3"/>
  <c r="S304" i="3"/>
  <c r="R309" i="3"/>
  <c r="Q314" i="3"/>
  <c r="P319" i="3"/>
  <c r="O324" i="3"/>
  <c r="N329" i="3"/>
  <c r="M334" i="3"/>
  <c r="L339" i="3"/>
  <c r="K344" i="3"/>
  <c r="T173" i="3"/>
  <c r="P208" i="3"/>
  <c r="L228" i="3"/>
  <c r="S246" i="3"/>
  <c r="U257" i="3"/>
  <c r="T264" i="3"/>
  <c r="N271" i="3"/>
  <c r="X271" i="3" s="1"/>
  <c r="T277" i="3"/>
  <c r="S282" i="3"/>
  <c r="R287" i="3"/>
  <c r="Q292" i="3"/>
  <c r="P297" i="3"/>
  <c r="O302" i="3"/>
  <c r="N307" i="3"/>
  <c r="M312" i="3"/>
  <c r="L317" i="3"/>
  <c r="K322" i="3"/>
  <c r="J327" i="3"/>
  <c r="I332" i="3"/>
  <c r="U336" i="3"/>
  <c r="T341" i="3"/>
  <c r="O153" i="3"/>
  <c r="O200" i="3"/>
  <c r="U220" i="3"/>
  <c r="Q240" i="3"/>
  <c r="Q254" i="3"/>
  <c r="P262" i="3"/>
  <c r="I269" i="3"/>
  <c r="Q275" i="3"/>
  <c r="I281" i="3"/>
  <c r="U285" i="3"/>
  <c r="T290" i="3"/>
  <c r="S295" i="3"/>
  <c r="R300" i="3"/>
  <c r="Q305" i="3"/>
  <c r="P310" i="3"/>
  <c r="O315" i="3"/>
  <c r="N320" i="3"/>
  <c r="M325" i="3"/>
  <c r="L330" i="3"/>
  <c r="K335" i="3"/>
  <c r="J340" i="3"/>
  <c r="I134" i="3"/>
  <c r="J194" i="3"/>
  <c r="P216" i="3"/>
  <c r="L236" i="3"/>
  <c r="L252" i="3"/>
  <c r="U260" i="3"/>
  <c r="P267" i="3"/>
  <c r="J274" i="3"/>
  <c r="T279" i="3"/>
  <c r="S284" i="3"/>
  <c r="R289" i="3"/>
  <c r="Q294" i="3"/>
  <c r="P299" i="3"/>
  <c r="O304" i="3"/>
  <c r="N309" i="3"/>
  <c r="X309" i="3" s="1"/>
  <c r="M314" i="3"/>
  <c r="L319" i="3"/>
  <c r="K324" i="3"/>
  <c r="J329" i="3"/>
  <c r="I334" i="3"/>
  <c r="R175" i="3"/>
  <c r="L209" i="3"/>
  <c r="U228" i="3"/>
  <c r="N247" i="3"/>
  <c r="X247" i="3" s="1"/>
  <c r="O258" i="3"/>
  <c r="K265" i="3"/>
  <c r="S271" i="3"/>
  <c r="J278" i="3"/>
  <c r="I283" i="3"/>
  <c r="U287" i="3"/>
  <c r="T292" i="3"/>
  <c r="S297" i="3"/>
  <c r="J69" i="3"/>
  <c r="P121" i="3"/>
  <c r="M170" i="3"/>
  <c r="P176" i="3"/>
  <c r="M156" i="3"/>
  <c r="P120" i="3"/>
  <c r="J122" i="3"/>
  <c r="M182" i="3"/>
  <c r="M117" i="3"/>
  <c r="J154" i="3"/>
  <c r="O198" i="3"/>
  <c r="Q218" i="3"/>
  <c r="I234" i="3"/>
  <c r="T251" i="3"/>
  <c r="I266" i="3"/>
  <c r="I42" i="3"/>
  <c r="L168" i="3"/>
  <c r="I200" i="3"/>
  <c r="P212" i="3"/>
  <c r="J226" i="3"/>
  <c r="L240" i="3"/>
  <c r="U251" i="3"/>
  <c r="O144" i="3"/>
  <c r="P186" i="3"/>
  <c r="I205" i="3"/>
  <c r="S218" i="3"/>
  <c r="U232" i="3"/>
  <c r="Q244" i="3"/>
  <c r="K258" i="3"/>
  <c r="M272" i="3"/>
  <c r="P144" i="3"/>
  <c r="U184" i="3"/>
  <c r="R203" i="3"/>
  <c r="Q209" i="3"/>
  <c r="P214" i="3"/>
  <c r="O219" i="3"/>
  <c r="N224" i="3"/>
  <c r="X224" i="3" s="1"/>
  <c r="M229" i="3"/>
  <c r="L234" i="3"/>
  <c r="K239" i="3"/>
  <c r="J244" i="3"/>
  <c r="I249" i="3"/>
  <c r="U253" i="3"/>
  <c r="Q63" i="3"/>
  <c r="P139" i="3"/>
  <c r="I159" i="3"/>
  <c r="I172" i="3"/>
  <c r="M185" i="3"/>
  <c r="O196" i="3"/>
  <c r="N202" i="3"/>
  <c r="X202" i="3" s="1"/>
  <c r="T207" i="3"/>
  <c r="S212" i="3"/>
  <c r="R217" i="3"/>
  <c r="Q222" i="3"/>
  <c r="P227" i="3"/>
  <c r="O232" i="3"/>
  <c r="N237" i="3"/>
  <c r="X237" i="3" s="1"/>
  <c r="M242" i="3"/>
  <c r="R113" i="3"/>
  <c r="Q148" i="3"/>
  <c r="P164" i="3"/>
  <c r="P177" i="3"/>
  <c r="T190" i="3"/>
  <c r="J199" i="3"/>
  <c r="S204" i="3"/>
  <c r="U209" i="3"/>
  <c r="T214" i="3"/>
  <c r="S219" i="3"/>
  <c r="R224" i="3"/>
  <c r="Q229" i="3"/>
  <c r="P234" i="3"/>
  <c r="O239" i="3"/>
  <c r="N244" i="3"/>
  <c r="X244" i="3" s="1"/>
  <c r="M249" i="3"/>
  <c r="O150" i="3"/>
  <c r="Q199" i="3"/>
  <c r="L220" i="3"/>
  <c r="U239" i="3"/>
  <c r="J254" i="3"/>
  <c r="K262" i="3"/>
  <c r="S268" i="3"/>
  <c r="M275" i="3"/>
  <c r="S280" i="3"/>
  <c r="R285" i="3"/>
  <c r="Q290" i="3"/>
  <c r="P295" i="3"/>
  <c r="O300" i="3"/>
  <c r="N305" i="3"/>
  <c r="M310" i="3"/>
  <c r="L315" i="3"/>
  <c r="K320" i="3"/>
  <c r="J325" i="3"/>
  <c r="I330" i="3"/>
  <c r="U334" i="3"/>
  <c r="T339" i="3"/>
  <c r="S344" i="3"/>
  <c r="P180" i="3"/>
  <c r="I211" i="3"/>
  <c r="R230" i="3"/>
  <c r="P248" i="3"/>
  <c r="J259" i="3"/>
  <c r="R265" i="3"/>
  <c r="L272" i="3"/>
  <c r="O278" i="3"/>
  <c r="N283" i="3"/>
  <c r="X283" i="3" s="1"/>
  <c r="M288" i="3"/>
  <c r="L293" i="3"/>
  <c r="K298" i="3"/>
  <c r="J303" i="3"/>
  <c r="I308" i="3"/>
  <c r="U312" i="3"/>
  <c r="T317" i="3"/>
  <c r="S322" i="3"/>
  <c r="R327" i="3"/>
  <c r="Q332" i="3"/>
  <c r="P337" i="3"/>
  <c r="O342" i="3"/>
  <c r="U160" i="3"/>
  <c r="L203" i="3"/>
  <c r="N223" i="3"/>
  <c r="J243" i="3"/>
  <c r="T255" i="3"/>
  <c r="M263" i="3"/>
  <c r="U269" i="3"/>
  <c r="N276" i="3"/>
  <c r="X276" i="3" s="1"/>
  <c r="Q281" i="3"/>
  <c r="P286" i="3"/>
  <c r="O291" i="3"/>
  <c r="N296" i="3"/>
  <c r="X296" i="3" s="1"/>
  <c r="M301" i="3"/>
  <c r="L306" i="3"/>
  <c r="K311" i="3"/>
  <c r="J316" i="3"/>
  <c r="I321" i="3"/>
  <c r="U325" i="3"/>
  <c r="T330" i="3"/>
  <c r="S335" i="3"/>
  <c r="R340" i="3"/>
  <c r="M145" i="3"/>
  <c r="L198" i="3"/>
  <c r="I219" i="3"/>
  <c r="R238" i="3"/>
  <c r="O253" i="3"/>
  <c r="S261" i="3"/>
  <c r="M268" i="3"/>
  <c r="U274" i="3"/>
  <c r="O280" i="3"/>
  <c r="N285" i="3"/>
  <c r="M290" i="3"/>
  <c r="L295" i="3"/>
  <c r="K300" i="3"/>
  <c r="J305" i="3"/>
  <c r="I310" i="3"/>
  <c r="U314" i="3"/>
  <c r="T319" i="3"/>
  <c r="S324" i="3"/>
  <c r="R329" i="3"/>
  <c r="Q334" i="3"/>
  <c r="N182" i="3"/>
  <c r="X182" i="3" s="1"/>
  <c r="R211" i="3"/>
  <c r="N231" i="3"/>
  <c r="X231" i="3" s="1"/>
  <c r="K249" i="3"/>
  <c r="O259" i="3"/>
  <c r="U265" i="3"/>
  <c r="P272" i="3"/>
  <c r="R278" i="3"/>
  <c r="Q283" i="3"/>
  <c r="L35" i="3"/>
  <c r="T108" i="3"/>
  <c r="N181" i="3"/>
  <c r="X181" i="3" s="1"/>
  <c r="J190" i="3"/>
  <c r="J163" i="3"/>
  <c r="R129" i="3"/>
  <c r="N137" i="3"/>
  <c r="X137" i="3" s="1"/>
  <c r="L187" i="3"/>
  <c r="P118" i="3"/>
  <c r="Q164" i="3"/>
  <c r="Q200" i="3"/>
  <c r="L219" i="3"/>
  <c r="M238" i="3"/>
  <c r="J253" i="3"/>
  <c r="Q266" i="3"/>
  <c r="I126" i="3"/>
  <c r="N171" i="3"/>
  <c r="X171" i="3" s="1"/>
  <c r="R200" i="3"/>
  <c r="Q215" i="3"/>
  <c r="M227" i="3"/>
  <c r="T240" i="3"/>
  <c r="I255" i="3"/>
  <c r="S149" i="3"/>
  <c r="I188" i="3"/>
  <c r="M208" i="3"/>
  <c r="I220" i="3"/>
  <c r="P233" i="3"/>
  <c r="R247" i="3"/>
  <c r="N259" i="3"/>
  <c r="U272" i="3"/>
  <c r="K157" i="3"/>
  <c r="N188" i="3"/>
  <c r="X188" i="3" s="1"/>
  <c r="J205" i="3"/>
  <c r="L210" i="3"/>
  <c r="K215" i="3"/>
  <c r="J220" i="3"/>
  <c r="I225" i="3"/>
  <c r="U229" i="3"/>
  <c r="T234" i="3"/>
  <c r="S239" i="3"/>
  <c r="R244" i="3"/>
  <c r="Q249" i="3"/>
  <c r="P254" i="3"/>
  <c r="S85" i="3"/>
  <c r="N142" i="3"/>
  <c r="R160" i="3"/>
  <c r="S173" i="3"/>
  <c r="S186" i="3"/>
  <c r="O197" i="3"/>
  <c r="J203" i="3"/>
  <c r="O208" i="3"/>
  <c r="N213" i="3"/>
  <c r="M218" i="3"/>
  <c r="L223" i="3"/>
  <c r="K228" i="3"/>
  <c r="J233" i="3"/>
  <c r="I238" i="3"/>
  <c r="U242" i="3"/>
  <c r="P123" i="3"/>
  <c r="J151" i="3"/>
  <c r="L166" i="3"/>
  <c r="M179" i="3"/>
  <c r="J192" i="3"/>
  <c r="T199" i="3"/>
  <c r="O205" i="3"/>
  <c r="P210" i="3"/>
  <c r="O215" i="3"/>
  <c r="N220" i="3"/>
  <c r="M225" i="3"/>
  <c r="L230" i="3"/>
  <c r="K235" i="3"/>
  <c r="J240" i="3"/>
  <c r="I245" i="3"/>
  <c r="U249" i="3"/>
  <c r="J159" i="3"/>
  <c r="O202" i="3"/>
  <c r="R222" i="3"/>
  <c r="N242" i="3"/>
  <c r="X242" i="3" s="1"/>
  <c r="M255" i="3"/>
  <c r="I263" i="3"/>
  <c r="P269" i="3"/>
  <c r="K276" i="3"/>
  <c r="N281" i="3"/>
  <c r="X281" i="3" s="1"/>
  <c r="M286" i="3"/>
  <c r="L291" i="3"/>
  <c r="K296" i="3"/>
  <c r="J301" i="3"/>
  <c r="I306" i="3"/>
  <c r="U310" i="3"/>
  <c r="T315" i="3"/>
  <c r="S320" i="3"/>
  <c r="R325" i="3"/>
  <c r="Q330" i="3"/>
  <c r="P335" i="3"/>
  <c r="O340" i="3"/>
  <c r="R87" i="3"/>
  <c r="K187" i="3"/>
  <c r="O213" i="3"/>
  <c r="K233" i="3"/>
  <c r="M250" i="3"/>
  <c r="U259" i="3"/>
  <c r="O266" i="3"/>
  <c r="J273" i="3"/>
  <c r="J279" i="3"/>
  <c r="I284" i="3"/>
  <c r="U288" i="3"/>
  <c r="T293" i="3"/>
  <c r="S298" i="3"/>
  <c r="R303" i="3"/>
  <c r="Q308" i="3"/>
  <c r="P313" i="3"/>
  <c r="O318" i="3"/>
  <c r="N323" i="3"/>
  <c r="X323" i="3" s="1"/>
  <c r="M328" i="3"/>
  <c r="L333" i="3"/>
  <c r="K338" i="3"/>
  <c r="J343" i="3"/>
  <c r="Q167" i="3"/>
  <c r="J206" i="3"/>
  <c r="T225" i="3"/>
  <c r="O245" i="3"/>
  <c r="J257" i="3"/>
  <c r="J264" i="3"/>
  <c r="R270" i="3"/>
  <c r="M277" i="3"/>
  <c r="L282" i="3"/>
  <c r="K287" i="3"/>
  <c r="J292" i="3"/>
  <c r="I297" i="3"/>
  <c r="U301" i="3"/>
  <c r="T306" i="3"/>
  <c r="S311" i="3"/>
  <c r="R316" i="3"/>
  <c r="Q321" i="3"/>
  <c r="P326" i="3"/>
  <c r="O331" i="3"/>
  <c r="N336" i="3"/>
  <c r="X336" i="3" s="1"/>
  <c r="M341" i="3"/>
  <c r="N155" i="3"/>
  <c r="X155" i="3" s="1"/>
  <c r="J201" i="3"/>
  <c r="O221" i="3"/>
  <c r="K241" i="3"/>
  <c r="R254" i="3"/>
  <c r="Q262" i="3"/>
  <c r="K269" i="3"/>
  <c r="R275" i="3"/>
  <c r="J281" i="3"/>
  <c r="I286" i="3"/>
  <c r="U290" i="3"/>
  <c r="T295" i="3"/>
  <c r="S300" i="3"/>
  <c r="R305" i="3"/>
  <c r="Q310" i="3"/>
  <c r="P315" i="3"/>
  <c r="O320" i="3"/>
  <c r="N325" i="3"/>
  <c r="M330" i="3"/>
  <c r="Q102" i="3"/>
  <c r="I189" i="3"/>
  <c r="K214" i="3"/>
  <c r="T233" i="3"/>
  <c r="U250" i="3"/>
  <c r="L260" i="3"/>
  <c r="T266" i="3"/>
  <c r="M273" i="3"/>
  <c r="M279" i="3"/>
  <c r="L284" i="3"/>
  <c r="K289" i="3"/>
  <c r="J294" i="3"/>
  <c r="I299" i="3"/>
  <c r="S92" i="3"/>
  <c r="N160" i="3"/>
  <c r="U194" i="3"/>
  <c r="L196" i="3"/>
  <c r="N175" i="3"/>
  <c r="X175" i="3" s="1"/>
  <c r="P136" i="3"/>
  <c r="M142" i="3"/>
  <c r="U59" i="3"/>
  <c r="L122" i="3"/>
  <c r="J168" i="3"/>
  <c r="T204" i="3"/>
  <c r="J221" i="3"/>
  <c r="U238" i="3"/>
  <c r="K256" i="3"/>
  <c r="T267" i="3"/>
  <c r="Q132" i="3"/>
  <c r="S179" i="3"/>
  <c r="J202" i="3"/>
  <c r="L216" i="3"/>
  <c r="N230" i="3"/>
  <c r="X230" i="3" s="1"/>
  <c r="J242" i="3"/>
  <c r="Q255" i="3"/>
  <c r="L160" i="3"/>
  <c r="J191" i="3"/>
  <c r="U208" i="3"/>
  <c r="J223" i="3"/>
  <c r="S234" i="3"/>
  <c r="M248" i="3"/>
  <c r="O262" i="3"/>
  <c r="K274" i="3"/>
  <c r="T158" i="3"/>
  <c r="K195" i="3"/>
  <c r="S205" i="3"/>
  <c r="T210" i="3"/>
  <c r="S215" i="3"/>
  <c r="R220" i="3"/>
  <c r="Q225" i="3"/>
  <c r="P230" i="3"/>
  <c r="O235" i="3"/>
  <c r="N240" i="3"/>
  <c r="X240" i="3" s="1"/>
  <c r="M245" i="3"/>
  <c r="L250" i="3"/>
  <c r="K255" i="3"/>
  <c r="U99" i="3"/>
  <c r="K145" i="3"/>
  <c r="K162" i="3"/>
  <c r="O175" i="3"/>
  <c r="P188" i="3"/>
  <c r="K198" i="3"/>
  <c r="S203" i="3"/>
  <c r="J209" i="3"/>
  <c r="I214" i="3"/>
  <c r="U218" i="3"/>
  <c r="T223" i="3"/>
  <c r="S228" i="3"/>
  <c r="R233" i="3"/>
  <c r="Q238" i="3"/>
  <c r="P243" i="3"/>
  <c r="U131" i="3"/>
  <c r="P153" i="3"/>
  <c r="R167" i="3"/>
  <c r="I181" i="3"/>
  <c r="M193" i="3"/>
  <c r="P200" i="3"/>
  <c r="K206" i="3"/>
  <c r="K211" i="3"/>
  <c r="J216" i="3"/>
  <c r="I221" i="3"/>
  <c r="U225" i="3"/>
  <c r="T230" i="3"/>
  <c r="S235" i="3"/>
  <c r="R240" i="3"/>
  <c r="Q245" i="3"/>
  <c r="P250" i="3"/>
  <c r="S165" i="3"/>
  <c r="L205" i="3"/>
  <c r="K225" i="3"/>
  <c r="T244" i="3"/>
  <c r="P256" i="3"/>
  <c r="T263" i="3"/>
  <c r="N270" i="3"/>
  <c r="X270" i="3" s="1"/>
  <c r="U276" i="3"/>
  <c r="I282" i="3"/>
  <c r="U286" i="3"/>
  <c r="T291" i="3"/>
  <c r="S296" i="3"/>
  <c r="R301" i="3"/>
  <c r="Q306" i="3"/>
  <c r="P311" i="3"/>
  <c r="O316" i="3"/>
  <c r="N321" i="3"/>
  <c r="M326" i="3"/>
  <c r="L331" i="3"/>
  <c r="K336" i="3"/>
  <c r="J341" i="3"/>
  <c r="K130" i="3"/>
  <c r="T192" i="3"/>
  <c r="U215" i="3"/>
  <c r="Q235" i="3"/>
  <c r="R251" i="3"/>
  <c r="S260" i="3"/>
  <c r="M267" i="3"/>
  <c r="T273" i="3"/>
  <c r="R279" i="3"/>
  <c r="Q284" i="3"/>
  <c r="P289" i="3"/>
  <c r="O294" i="3"/>
  <c r="N299" i="3"/>
  <c r="X299" i="3" s="1"/>
  <c r="M304" i="3"/>
  <c r="L309" i="3"/>
  <c r="K314" i="3"/>
  <c r="J319" i="3"/>
  <c r="I324" i="3"/>
  <c r="U328" i="3"/>
  <c r="T333" i="3"/>
  <c r="S338" i="3"/>
  <c r="R343" i="3"/>
  <c r="L174" i="3"/>
  <c r="Q208" i="3"/>
  <c r="M228" i="3"/>
  <c r="L247" i="3"/>
  <c r="M258" i="3"/>
  <c r="I265" i="3"/>
  <c r="O271" i="3"/>
  <c r="U277" i="3"/>
  <c r="T282" i="3"/>
  <c r="S287" i="3"/>
  <c r="R292" i="3"/>
  <c r="Q297" i="3"/>
  <c r="P302" i="3"/>
  <c r="O307" i="3"/>
  <c r="N312" i="3"/>
  <c r="X312" i="3" s="1"/>
  <c r="M317" i="3"/>
  <c r="L322" i="3"/>
  <c r="K327" i="3"/>
  <c r="J332" i="3"/>
  <c r="I337" i="3"/>
  <c r="U341" i="3"/>
  <c r="P162" i="3"/>
  <c r="T203" i="3"/>
  <c r="U223" i="3"/>
  <c r="Q243" i="3"/>
  <c r="U255" i="3"/>
  <c r="N263" i="3"/>
  <c r="X263" i="3" s="1"/>
  <c r="I270" i="3"/>
  <c r="P276" i="3"/>
  <c r="R281" i="3"/>
  <c r="Q286" i="3"/>
  <c r="P291" i="3"/>
  <c r="O296" i="3"/>
  <c r="N301" i="3"/>
  <c r="X301" i="3" s="1"/>
  <c r="M306" i="3"/>
  <c r="L311" i="3"/>
  <c r="K316" i="3"/>
  <c r="J321" i="3"/>
  <c r="I326" i="3"/>
  <c r="U330" i="3"/>
  <c r="Q134" i="3"/>
  <c r="K194" i="3"/>
  <c r="Q216" i="3"/>
  <c r="M236" i="3"/>
  <c r="M252" i="3"/>
  <c r="I261" i="3"/>
  <c r="Q267" i="3"/>
  <c r="L274" i="3"/>
  <c r="U279" i="3"/>
  <c r="T284" i="3"/>
  <c r="S289" i="3"/>
  <c r="R294" i="3"/>
  <c r="Q299" i="3"/>
  <c r="J123" i="3"/>
  <c r="I177" i="3"/>
  <c r="T122" i="3"/>
  <c r="I78" i="3"/>
  <c r="M180" i="3"/>
  <c r="Q149" i="3"/>
  <c r="T147" i="3"/>
  <c r="L63" i="3"/>
  <c r="U130" i="3"/>
  <c r="I173" i="3"/>
  <c r="L206" i="3"/>
  <c r="S224" i="3"/>
  <c r="S240" i="3"/>
  <c r="S256" i="3"/>
  <c r="U270" i="3"/>
  <c r="L138" i="3"/>
  <c r="L181" i="3"/>
  <c r="Q205" i="3"/>
  <c r="O217" i="3"/>
  <c r="I231" i="3"/>
  <c r="K245" i="3"/>
  <c r="T256" i="3"/>
  <c r="U161" i="3"/>
  <c r="K197" i="3"/>
  <c r="K210" i="3"/>
  <c r="R223" i="3"/>
  <c r="T237" i="3"/>
  <c r="P249" i="3"/>
  <c r="J263" i="3"/>
  <c r="L277" i="3"/>
  <c r="J162" i="3"/>
  <c r="N196" i="3"/>
  <c r="O206" i="3"/>
  <c r="O211" i="3"/>
  <c r="N216" i="3"/>
  <c r="X216" i="3" s="1"/>
  <c r="M221" i="3"/>
  <c r="L226" i="3"/>
  <c r="K231" i="3"/>
  <c r="J236" i="3"/>
  <c r="I241" i="3"/>
  <c r="U245" i="3"/>
  <c r="T250" i="3"/>
  <c r="S255" i="3"/>
  <c r="I110" i="3"/>
  <c r="U147" i="3"/>
  <c r="U163" i="3"/>
  <c r="U176" i="3"/>
  <c r="L190" i="3"/>
  <c r="T198" i="3"/>
  <c r="O204" i="3"/>
  <c r="R209" i="3"/>
  <c r="Q214" i="3"/>
  <c r="P219" i="3"/>
  <c r="O224" i="3"/>
  <c r="N229" i="3"/>
  <c r="X229" i="3" s="1"/>
  <c r="M234" i="3"/>
  <c r="L239" i="3"/>
  <c r="K244" i="3"/>
  <c r="R134" i="3"/>
  <c r="I156" i="3"/>
  <c r="O169" i="3"/>
  <c r="O182" i="3"/>
  <c r="P194" i="3"/>
  <c r="L201" i="3"/>
  <c r="T206" i="3"/>
  <c r="S211" i="3"/>
  <c r="R216" i="3"/>
  <c r="Q221" i="3"/>
  <c r="P226" i="3"/>
  <c r="O231" i="3"/>
  <c r="N236" i="3"/>
  <c r="X236" i="3" s="1"/>
  <c r="M241" i="3"/>
  <c r="L246" i="3"/>
  <c r="K251" i="3"/>
  <c r="N172" i="3"/>
  <c r="X172" i="3" s="1"/>
  <c r="U207" i="3"/>
  <c r="Q227" i="3"/>
  <c r="Q246" i="3"/>
  <c r="S257" i="3"/>
  <c r="Q264" i="3"/>
  <c r="L271" i="3"/>
  <c r="R277" i="3"/>
  <c r="Q282" i="3"/>
  <c r="P287" i="3"/>
  <c r="O292" i="3"/>
  <c r="N297" i="3"/>
  <c r="X297" i="3" s="1"/>
  <c r="M302" i="3"/>
  <c r="L307" i="3"/>
  <c r="K312" i="3"/>
  <c r="J317" i="3"/>
  <c r="I322" i="3"/>
  <c r="U326" i="3"/>
  <c r="T331" i="3"/>
  <c r="S336" i="3"/>
  <c r="R341" i="3"/>
  <c r="O142" i="3"/>
  <c r="P197" i="3"/>
  <c r="N218" i="3"/>
  <c r="X218" i="3" s="1"/>
  <c r="J238" i="3"/>
  <c r="I253" i="3"/>
  <c r="P261" i="3"/>
  <c r="K268" i="3"/>
  <c r="R274" i="3"/>
  <c r="M280" i="3"/>
  <c r="L285" i="3"/>
  <c r="K290" i="3"/>
  <c r="J295" i="3"/>
  <c r="I300" i="3"/>
  <c r="U304" i="3"/>
  <c r="T309" i="3"/>
  <c r="S314" i="3"/>
  <c r="R319" i="3"/>
  <c r="Q324" i="3"/>
  <c r="P329" i="3"/>
  <c r="O334" i="3"/>
  <c r="N339" i="3"/>
  <c r="X339" i="3" s="1"/>
  <c r="S107" i="3"/>
  <c r="R76" i="3"/>
  <c r="R184" i="3"/>
  <c r="L213" i="3"/>
  <c r="K207" i="3"/>
  <c r="P246" i="3"/>
  <c r="P199" i="3"/>
  <c r="T239" i="3"/>
  <c r="O207" i="3"/>
  <c r="T246" i="3"/>
  <c r="I272" i="3"/>
  <c r="S312" i="3"/>
  <c r="M200" i="3"/>
  <c r="T285" i="3"/>
  <c r="L325" i="3"/>
  <c r="J211" i="3"/>
  <c r="S265" i="3"/>
  <c r="N288" i="3"/>
  <c r="X288" i="3" s="1"/>
  <c r="J308" i="3"/>
  <c r="S327" i="3"/>
  <c r="U168" i="3"/>
  <c r="K257" i="3"/>
  <c r="M282" i="3"/>
  <c r="I302" i="3"/>
  <c r="R321" i="3"/>
  <c r="M198" i="3"/>
  <c r="U261" i="3"/>
  <c r="O285" i="3"/>
  <c r="N298" i="3"/>
  <c r="P304" i="3"/>
  <c r="O309" i="3"/>
  <c r="N314" i="3"/>
  <c r="X314" i="3" s="1"/>
  <c r="M319" i="3"/>
  <c r="L324" i="3"/>
  <c r="K329" i="3"/>
  <c r="J334" i="3"/>
  <c r="I339" i="3"/>
  <c r="U343" i="3"/>
  <c r="R219" i="3"/>
  <c r="S259" i="3"/>
  <c r="P277" i="3"/>
  <c r="P290" i="3"/>
  <c r="Q303" i="3"/>
  <c r="U316" i="3"/>
  <c r="U329" i="3"/>
  <c r="I341" i="3"/>
  <c r="R347" i="3"/>
  <c r="Q352" i="3"/>
  <c r="P357" i="3"/>
  <c r="O362" i="3"/>
  <c r="R199" i="3"/>
  <c r="I251" i="3"/>
  <c r="K271" i="3"/>
  <c r="S285" i="3"/>
  <c r="J299" i="3"/>
  <c r="J312" i="3"/>
  <c r="K325" i="3"/>
  <c r="O337" i="3"/>
  <c r="U345" i="3"/>
  <c r="T350" i="3"/>
  <c r="S355" i="3"/>
  <c r="O190" i="3"/>
  <c r="R246" i="3"/>
  <c r="N269" i="3"/>
  <c r="X269" i="3" s="1"/>
  <c r="N284" i="3"/>
  <c r="X284" i="3" s="1"/>
  <c r="O297" i="3"/>
  <c r="S310" i="3"/>
  <c r="S323" i="3"/>
  <c r="O336" i="3"/>
  <c r="N345" i="3"/>
  <c r="X345" i="3" s="1"/>
  <c r="M350" i="3"/>
  <c r="L355" i="3"/>
  <c r="K360" i="3"/>
  <c r="J365" i="3"/>
  <c r="K222" i="3"/>
  <c r="R260" i="3"/>
  <c r="K278" i="3"/>
  <c r="K291" i="3"/>
  <c r="L304" i="3"/>
  <c r="P317" i="3"/>
  <c r="P330" i="3"/>
  <c r="P341" i="3"/>
  <c r="U347" i="3"/>
  <c r="T352" i="3"/>
  <c r="S357" i="3"/>
  <c r="K217" i="3"/>
  <c r="T258" i="3"/>
  <c r="L276" i="3"/>
  <c r="T289" i="3"/>
  <c r="T302" i="3"/>
  <c r="U315" i="3"/>
  <c r="L329" i="3"/>
  <c r="K179" i="3"/>
  <c r="L244" i="3"/>
  <c r="S267" i="3"/>
  <c r="M283" i="3"/>
  <c r="Q296" i="3"/>
  <c r="Q309" i="3"/>
  <c r="R322" i="3"/>
  <c r="Q335" i="3"/>
  <c r="I345" i="3"/>
  <c r="U349" i="3"/>
  <c r="T354" i="3"/>
  <c r="R183" i="3"/>
  <c r="M244" i="3"/>
  <c r="J268" i="3"/>
  <c r="R283" i="3"/>
  <c r="R296" i="3"/>
  <c r="S309" i="3"/>
  <c r="J323" i="3"/>
  <c r="T335" i="3"/>
  <c r="J345" i="3"/>
  <c r="I350" i="3"/>
  <c r="U354" i="3"/>
  <c r="R306" i="3"/>
  <c r="S354" i="3"/>
  <c r="O363" i="3"/>
  <c r="S368" i="3"/>
  <c r="R373" i="3"/>
  <c r="Q378" i="3"/>
  <c r="P383" i="3"/>
  <c r="O388" i="3"/>
  <c r="N393" i="3"/>
  <c r="X393" i="3" s="1"/>
  <c r="M398" i="3"/>
  <c r="L403" i="3"/>
  <c r="K408" i="3"/>
  <c r="J413" i="3"/>
  <c r="I418" i="3"/>
  <c r="U422" i="3"/>
  <c r="T427" i="3"/>
  <c r="S432" i="3"/>
  <c r="R437" i="3"/>
  <c r="Q442" i="3"/>
  <c r="P447" i="3"/>
  <c r="O452" i="3"/>
  <c r="N457" i="3"/>
  <c r="X457" i="3" s="1"/>
  <c r="I336" i="3"/>
  <c r="R358" i="3"/>
  <c r="L365" i="3"/>
  <c r="K370" i="3"/>
  <c r="J375" i="3"/>
  <c r="I380" i="3"/>
  <c r="U384" i="3"/>
  <c r="T389" i="3"/>
  <c r="S394" i="3"/>
  <c r="R399" i="3"/>
  <c r="Q404" i="3"/>
  <c r="P409" i="3"/>
  <c r="O414" i="3"/>
  <c r="N419" i="3"/>
  <c r="X419" i="3" s="1"/>
  <c r="M424" i="3"/>
  <c r="L429" i="3"/>
  <c r="K434" i="3"/>
  <c r="J439" i="3"/>
  <c r="I444" i="3"/>
  <c r="U448" i="3"/>
  <c r="T453" i="3"/>
  <c r="R249" i="3"/>
  <c r="S345" i="3"/>
  <c r="O360" i="3"/>
  <c r="P366" i="3"/>
  <c r="O371" i="3"/>
  <c r="N376" i="3"/>
  <c r="X376" i="3" s="1"/>
  <c r="M381" i="3"/>
  <c r="L386" i="3"/>
  <c r="K391" i="3"/>
  <c r="J396" i="3"/>
  <c r="I401" i="3"/>
  <c r="U405" i="3"/>
  <c r="T410" i="3"/>
  <c r="S415" i="3"/>
  <c r="R420" i="3"/>
  <c r="Q425" i="3"/>
  <c r="S191" i="3"/>
  <c r="M184" i="3"/>
  <c r="M206" i="3"/>
  <c r="U224" i="3"/>
  <c r="J212" i="3"/>
  <c r="O251" i="3"/>
  <c r="K205" i="3"/>
  <c r="S244" i="3"/>
  <c r="N212" i="3"/>
  <c r="X212" i="3" s="1"/>
  <c r="S251" i="3"/>
  <c r="M278" i="3"/>
  <c r="R317" i="3"/>
  <c r="T220" i="3"/>
  <c r="S290" i="3"/>
  <c r="K330" i="3"/>
  <c r="P213" i="3"/>
  <c r="P266" i="3"/>
  <c r="I289" i="3"/>
  <c r="R308" i="3"/>
  <c r="N328" i="3"/>
  <c r="X328" i="3" s="1"/>
  <c r="Q175" i="3"/>
  <c r="N258" i="3"/>
  <c r="X258" i="3" s="1"/>
  <c r="U282" i="3"/>
  <c r="Q302" i="3"/>
  <c r="M322" i="3"/>
  <c r="K201" i="3"/>
  <c r="R262" i="3"/>
  <c r="J286" i="3"/>
  <c r="L300" i="3"/>
  <c r="K305" i="3"/>
  <c r="J310" i="3"/>
  <c r="I315" i="3"/>
  <c r="U319" i="3"/>
  <c r="T324" i="3"/>
  <c r="S329" i="3"/>
  <c r="R334" i="3"/>
  <c r="Q339" i="3"/>
  <c r="I70" i="3"/>
  <c r="I227" i="3"/>
  <c r="J262" i="3"/>
  <c r="I279" i="3"/>
  <c r="M292" i="3"/>
  <c r="M305" i="3"/>
  <c r="N318" i="3"/>
  <c r="X318" i="3" s="1"/>
  <c r="R331" i="3"/>
  <c r="L342" i="3"/>
  <c r="M348" i="3"/>
  <c r="L353" i="3"/>
  <c r="K358" i="3"/>
  <c r="J363" i="3"/>
  <c r="N207" i="3"/>
  <c r="X207" i="3" s="1"/>
  <c r="U139" i="3"/>
  <c r="K208" i="3"/>
  <c r="P220" i="3"/>
  <c r="O238" i="3"/>
  <c r="I217" i="3"/>
  <c r="N256" i="3"/>
  <c r="X256" i="3" s="1"/>
  <c r="M210" i="3"/>
  <c r="P137" i="3"/>
  <c r="M217" i="3"/>
  <c r="S178" i="3"/>
  <c r="L283" i="3"/>
  <c r="Q322" i="3"/>
  <c r="P240" i="3"/>
  <c r="R295" i="3"/>
  <c r="J335" i="3"/>
  <c r="S230" i="3"/>
  <c r="N272" i="3"/>
  <c r="X272" i="3" s="1"/>
  <c r="M293" i="3"/>
  <c r="I313" i="3"/>
  <c r="R332" i="3"/>
  <c r="R206" i="3"/>
  <c r="L264" i="3"/>
  <c r="L287" i="3"/>
  <c r="U306" i="3"/>
  <c r="Q326" i="3"/>
  <c r="J219" i="3"/>
  <c r="N268" i="3"/>
  <c r="X268" i="3" s="1"/>
  <c r="P288" i="3"/>
  <c r="T300" i="3"/>
  <c r="S305" i="3"/>
  <c r="R310" i="3"/>
  <c r="Q315" i="3"/>
  <c r="P320" i="3"/>
  <c r="O325" i="3"/>
  <c r="N330" i="3"/>
  <c r="X330" i="3" s="1"/>
  <c r="M335" i="3"/>
  <c r="L340" i="3"/>
  <c r="P148" i="3"/>
  <c r="Q232" i="3"/>
  <c r="O264" i="3"/>
  <c r="R280" i="3"/>
  <c r="S293" i="3"/>
  <c r="J307" i="3"/>
  <c r="J320" i="3"/>
  <c r="K333" i="3"/>
  <c r="O343" i="3"/>
  <c r="U348" i="3"/>
  <c r="T353" i="3"/>
  <c r="S358" i="3"/>
  <c r="R363" i="3"/>
  <c r="R214" i="3"/>
  <c r="R257" i="3"/>
  <c r="O275" i="3"/>
  <c r="L289" i="3"/>
  <c r="L302" i="3"/>
  <c r="M315" i="3"/>
  <c r="Q328" i="3"/>
  <c r="U339" i="3"/>
  <c r="K347" i="3"/>
  <c r="J352" i="3"/>
  <c r="I357" i="3"/>
  <c r="I208" i="3"/>
  <c r="T254" i="3"/>
  <c r="Q273" i="3"/>
  <c r="Q287" i="3"/>
  <c r="U300" i="3"/>
  <c r="U313" i="3"/>
  <c r="I327" i="3"/>
  <c r="U338" i="3"/>
  <c r="Q346" i="3"/>
  <c r="P351" i="3"/>
  <c r="O356" i="3"/>
  <c r="N361" i="3"/>
  <c r="X361" i="3" s="1"/>
  <c r="S157" i="3"/>
  <c r="J235" i="3"/>
  <c r="L265" i="3"/>
  <c r="M281" i="3"/>
  <c r="N294" i="3"/>
  <c r="X294" i="3" s="1"/>
  <c r="R307" i="3"/>
  <c r="R320" i="3"/>
  <c r="S333" i="3"/>
  <c r="I344" i="3"/>
  <c r="K349" i="3"/>
  <c r="J354" i="3"/>
  <c r="T136" i="3"/>
  <c r="P229" i="3"/>
  <c r="K263" i="3"/>
  <c r="I280" i="3"/>
  <c r="I293" i="3"/>
  <c r="J306" i="3"/>
  <c r="N319" i="3"/>
  <c r="X319" i="3" s="1"/>
  <c r="N332" i="3"/>
  <c r="P204" i="3"/>
  <c r="S252" i="3"/>
  <c r="J272" i="3"/>
  <c r="S286" i="3"/>
  <c r="S299" i="3"/>
  <c r="T312" i="3"/>
  <c r="K326" i="3"/>
  <c r="J338" i="3"/>
  <c r="L346" i="3"/>
  <c r="K351" i="3"/>
  <c r="J356" i="3"/>
  <c r="Q204" i="3"/>
  <c r="U252" i="3"/>
  <c r="Q272" i="3"/>
  <c r="T286" i="3"/>
  <c r="U299" i="3"/>
  <c r="L313" i="3"/>
  <c r="L326" i="3"/>
  <c r="M338" i="3"/>
  <c r="M346" i="3"/>
  <c r="L351" i="3"/>
  <c r="K356" i="3"/>
  <c r="I333" i="3"/>
  <c r="P358" i="3"/>
  <c r="I365" i="3"/>
  <c r="I370" i="3"/>
  <c r="U374" i="3"/>
  <c r="T379" i="3"/>
  <c r="S384" i="3"/>
  <c r="R389" i="3"/>
  <c r="Q394" i="3"/>
  <c r="P399" i="3"/>
  <c r="O404" i="3"/>
  <c r="N409" i="3"/>
  <c r="X409" i="3" s="1"/>
  <c r="M414" i="3"/>
  <c r="L419" i="3"/>
  <c r="K424" i="3"/>
  <c r="J429" i="3"/>
  <c r="I434" i="3"/>
  <c r="U438" i="3"/>
  <c r="T443" i="3"/>
  <c r="S448" i="3"/>
  <c r="R453" i="3"/>
  <c r="U244" i="3"/>
  <c r="P345" i="3"/>
  <c r="N360" i="3"/>
  <c r="O366" i="3"/>
  <c r="N371" i="3"/>
  <c r="M376" i="3"/>
  <c r="L381" i="3"/>
  <c r="K386" i="3"/>
  <c r="J391" i="3"/>
  <c r="I396" i="3"/>
  <c r="U400" i="3"/>
  <c r="T405" i="3"/>
  <c r="S410" i="3"/>
  <c r="R415" i="3"/>
  <c r="Q420" i="3"/>
  <c r="P425" i="3"/>
  <c r="O430" i="3"/>
  <c r="N435" i="3"/>
  <c r="M440" i="3"/>
  <c r="L445" i="3"/>
  <c r="K450" i="3"/>
  <c r="J455" i="3"/>
  <c r="P285" i="3"/>
  <c r="R350" i="3"/>
  <c r="K362" i="3"/>
  <c r="S367" i="3"/>
  <c r="R372" i="3"/>
  <c r="Q377" i="3"/>
  <c r="P382" i="3"/>
  <c r="O387" i="3"/>
  <c r="N392" i="3"/>
  <c r="X392" i="3" s="1"/>
  <c r="M397" i="3"/>
  <c r="L402" i="3"/>
  <c r="K407" i="3"/>
  <c r="J412" i="3"/>
  <c r="I417" i="3"/>
  <c r="U421" i="3"/>
  <c r="T426" i="3"/>
  <c r="M114" i="3"/>
  <c r="I226" i="3"/>
  <c r="L232" i="3"/>
  <c r="Q252" i="3"/>
  <c r="U221" i="3"/>
  <c r="T119" i="3"/>
  <c r="L215" i="3"/>
  <c r="T157" i="3"/>
  <c r="L222" i="3"/>
  <c r="N210" i="3"/>
  <c r="X210" i="3" s="1"/>
  <c r="K288" i="3"/>
  <c r="P327" i="3"/>
  <c r="L254" i="3"/>
  <c r="Q300" i="3"/>
  <c r="I340" i="3"/>
  <c r="L233" i="3"/>
  <c r="K273" i="3"/>
  <c r="U293" i="3"/>
  <c r="Q313" i="3"/>
  <c r="M333" i="3"/>
  <c r="K209" i="3"/>
  <c r="J265" i="3"/>
  <c r="T287" i="3"/>
  <c r="P307" i="3"/>
  <c r="L327" i="3"/>
  <c r="P221" i="3"/>
  <c r="M269" i="3"/>
  <c r="N290" i="3"/>
  <c r="X290" i="3" s="1"/>
  <c r="O301" i="3"/>
  <c r="N306" i="3"/>
  <c r="X306" i="3" s="1"/>
  <c r="M311" i="3"/>
  <c r="L316" i="3"/>
  <c r="K321" i="3"/>
  <c r="J326" i="3"/>
  <c r="I331" i="3"/>
  <c r="U335" i="3"/>
  <c r="T340" i="3"/>
  <c r="R170" i="3"/>
  <c r="N239" i="3"/>
  <c r="X239" i="3" s="1"/>
  <c r="N266" i="3"/>
  <c r="O282" i="3"/>
  <c r="O295" i="3"/>
  <c r="P308" i="3"/>
  <c r="T321" i="3"/>
  <c r="T334" i="3"/>
  <c r="P344" i="3"/>
  <c r="P349" i="3"/>
  <c r="O354" i="3"/>
  <c r="N359" i="3"/>
  <c r="X359" i="3" s="1"/>
  <c r="M364" i="3"/>
  <c r="M220" i="3"/>
  <c r="M260" i="3"/>
  <c r="Q277" i="3"/>
  <c r="R290" i="3"/>
  <c r="I304" i="3"/>
  <c r="I317" i="3"/>
  <c r="J330" i="3"/>
  <c r="K341" i="3"/>
  <c r="S347" i="3"/>
  <c r="R352" i="3"/>
  <c r="Q357" i="3"/>
  <c r="S214" i="3"/>
  <c r="T257" i="3"/>
  <c r="U275" i="3"/>
  <c r="M289" i="3"/>
  <c r="N302" i="3"/>
  <c r="X302" i="3" s="1"/>
  <c r="R315" i="3"/>
  <c r="R328" i="3"/>
  <c r="K340" i="3"/>
  <c r="L347" i="3"/>
  <c r="K352" i="3"/>
  <c r="J357" i="3"/>
  <c r="I362" i="3"/>
  <c r="M177" i="3"/>
  <c r="T241" i="3"/>
  <c r="K267" i="3"/>
  <c r="J283" i="3"/>
  <c r="J296" i="3"/>
  <c r="K309" i="3"/>
  <c r="O322" i="3"/>
  <c r="N335" i="3"/>
  <c r="X335" i="3" s="1"/>
  <c r="T344" i="3"/>
  <c r="S349" i="3"/>
  <c r="R354" i="3"/>
  <c r="O159" i="3"/>
  <c r="T236" i="3"/>
  <c r="M265" i="3"/>
  <c r="O281" i="3"/>
  <c r="S294" i="3"/>
  <c r="S307" i="3"/>
  <c r="T320" i="3"/>
  <c r="K334" i="3"/>
  <c r="O210" i="3"/>
  <c r="J256" i="3"/>
  <c r="N274" i="3"/>
  <c r="L288" i="3"/>
  <c r="P301" i="3"/>
  <c r="P314" i="3"/>
  <c r="Q327" i="3"/>
  <c r="M339" i="3"/>
  <c r="T346" i="3"/>
  <c r="S351" i="3"/>
  <c r="R356" i="3"/>
  <c r="L212" i="3"/>
  <c r="O256" i="3"/>
  <c r="P274" i="3"/>
  <c r="Q288" i="3"/>
  <c r="Q301" i="3"/>
  <c r="R314" i="3"/>
  <c r="I328" i="3"/>
  <c r="P339" i="3"/>
  <c r="U346" i="3"/>
  <c r="T351" i="3"/>
  <c r="I148" i="3"/>
  <c r="N340" i="3"/>
  <c r="X340" i="3" s="1"/>
  <c r="M359" i="3"/>
  <c r="R365" i="3"/>
  <c r="Q370" i="3"/>
  <c r="P375" i="3"/>
  <c r="O380" i="3"/>
  <c r="N385" i="3"/>
  <c r="X385" i="3" s="1"/>
  <c r="M390" i="3"/>
  <c r="L395" i="3"/>
  <c r="K400" i="3"/>
  <c r="J405" i="3"/>
  <c r="I410" i="3"/>
  <c r="U414" i="3"/>
  <c r="T419" i="3"/>
  <c r="S424" i="3"/>
  <c r="R429" i="3"/>
  <c r="Q434" i="3"/>
  <c r="P439" i="3"/>
  <c r="O444" i="3"/>
  <c r="N449" i="3"/>
  <c r="X449" i="3" s="1"/>
  <c r="M454" i="3"/>
  <c r="P268" i="3"/>
  <c r="I348" i="3"/>
  <c r="K361" i="3"/>
  <c r="J367" i="3"/>
  <c r="I372" i="3"/>
  <c r="U376" i="3"/>
  <c r="T381" i="3"/>
  <c r="S386" i="3"/>
  <c r="R391" i="3"/>
  <c r="Q396" i="3"/>
  <c r="P401" i="3"/>
  <c r="O406" i="3"/>
  <c r="N411" i="3"/>
  <c r="X411" i="3" s="1"/>
  <c r="M416" i="3"/>
  <c r="L421" i="3"/>
  <c r="K426" i="3"/>
  <c r="J431" i="3"/>
  <c r="I436" i="3"/>
  <c r="U440" i="3"/>
  <c r="T445" i="3"/>
  <c r="S450" i="3"/>
  <c r="R455" i="3"/>
  <c r="P298" i="3"/>
  <c r="K353" i="3"/>
  <c r="U362" i="3"/>
  <c r="N368" i="3"/>
  <c r="X368" i="3" s="1"/>
  <c r="M373" i="3"/>
  <c r="L378" i="3"/>
  <c r="K383" i="3"/>
  <c r="J388" i="3"/>
  <c r="I393" i="3"/>
  <c r="U397" i="3"/>
  <c r="T402" i="3"/>
  <c r="S407" i="3"/>
  <c r="R412" i="3"/>
  <c r="T185" i="3"/>
  <c r="O244" i="3"/>
  <c r="S245" i="3"/>
  <c r="M264" i="3"/>
  <c r="T226" i="3"/>
  <c r="N150" i="3"/>
  <c r="K220" i="3"/>
  <c r="K171" i="3"/>
  <c r="K227" i="3"/>
  <c r="J230" i="3"/>
  <c r="J293" i="3"/>
  <c r="O332" i="3"/>
  <c r="N262" i="3"/>
  <c r="P305" i="3"/>
  <c r="M344" i="3"/>
  <c r="Q248" i="3"/>
  <c r="P278" i="3"/>
  <c r="L298" i="3"/>
  <c r="U317" i="3"/>
  <c r="Q337" i="3"/>
  <c r="N226" i="3"/>
  <c r="S270" i="3"/>
  <c r="K292" i="3"/>
  <c r="T311" i="3"/>
  <c r="P331" i="3"/>
  <c r="S238" i="3"/>
  <c r="I275" i="3"/>
  <c r="I291" i="3"/>
  <c r="J302" i="3"/>
  <c r="I307" i="3"/>
  <c r="U311" i="3"/>
  <c r="T316" i="3"/>
  <c r="S321" i="3"/>
  <c r="R326" i="3"/>
  <c r="Q331" i="3"/>
  <c r="P336" i="3"/>
  <c r="O341" i="3"/>
  <c r="P185" i="3"/>
  <c r="J246" i="3"/>
  <c r="R268" i="3"/>
  <c r="U283" i="3"/>
  <c r="L297" i="3"/>
  <c r="L310" i="3"/>
  <c r="M323" i="3"/>
  <c r="J336" i="3"/>
  <c r="L345" i="3"/>
  <c r="K350" i="3"/>
  <c r="J355" i="3"/>
  <c r="I360" i="3"/>
  <c r="L111" i="3"/>
  <c r="J227" i="3"/>
  <c r="L262" i="3"/>
  <c r="N279" i="3"/>
  <c r="N292" i="3"/>
  <c r="O305" i="3"/>
  <c r="S318" i="3"/>
  <c r="S331" i="3"/>
  <c r="N342" i="3"/>
  <c r="X342" i="3" s="1"/>
  <c r="N348" i="3"/>
  <c r="X348" i="3" s="1"/>
  <c r="M353" i="3"/>
  <c r="L358" i="3"/>
  <c r="J222" i="3"/>
  <c r="N260" i="3"/>
  <c r="X260" i="3" s="1"/>
  <c r="S277" i="3"/>
  <c r="J291" i="3"/>
  <c r="J304" i="3"/>
  <c r="K317" i="3"/>
  <c r="O330" i="3"/>
  <c r="N341" i="3"/>
  <c r="T347" i="3"/>
  <c r="S352" i="3"/>
  <c r="R357" i="3"/>
  <c r="Q362" i="3"/>
  <c r="R191" i="3"/>
  <c r="T247" i="3"/>
  <c r="O269" i="3"/>
  <c r="P284" i="3"/>
  <c r="T297" i="3"/>
  <c r="T310" i="3"/>
  <c r="U323" i="3"/>
  <c r="Q336" i="3"/>
  <c r="O345" i="3"/>
  <c r="N350" i="3"/>
  <c r="X350" i="3" s="1"/>
  <c r="M355" i="3"/>
  <c r="O177" i="3"/>
  <c r="O242" i="3"/>
  <c r="R267" i="3"/>
  <c r="K283" i="3"/>
  <c r="L296" i="3"/>
  <c r="P309" i="3"/>
  <c r="P322" i="3"/>
  <c r="O335" i="3"/>
  <c r="L217" i="3"/>
  <c r="I259" i="3"/>
  <c r="S276" i="3"/>
  <c r="U289" i="3"/>
  <c r="I303" i="3"/>
  <c r="M316" i="3"/>
  <c r="M329" i="3"/>
  <c r="P340" i="3"/>
  <c r="O347" i="3"/>
  <c r="N352" i="3"/>
  <c r="M357" i="3"/>
  <c r="T217" i="3"/>
  <c r="P259" i="3"/>
  <c r="T276" i="3"/>
  <c r="J290" i="3"/>
  <c r="N303" i="3"/>
  <c r="X303" i="3" s="1"/>
  <c r="N316" i="3"/>
  <c r="O329" i="3"/>
  <c r="S340" i="3"/>
  <c r="P347" i="3"/>
  <c r="O352" i="3"/>
  <c r="I232" i="3"/>
  <c r="U344" i="3"/>
  <c r="L360" i="3"/>
  <c r="M366" i="3"/>
  <c r="L371" i="3"/>
  <c r="K376" i="3"/>
  <c r="J381" i="3"/>
  <c r="I386" i="3"/>
  <c r="U390" i="3"/>
  <c r="T395" i="3"/>
  <c r="S400" i="3"/>
  <c r="R405" i="3"/>
  <c r="Q410" i="3"/>
  <c r="P415" i="3"/>
  <c r="O420" i="3"/>
  <c r="N425" i="3"/>
  <c r="X425" i="3" s="1"/>
  <c r="M430" i="3"/>
  <c r="L435" i="3"/>
  <c r="K440" i="3"/>
  <c r="J445" i="3"/>
  <c r="I450" i="3"/>
  <c r="U454" i="3"/>
  <c r="S283" i="3"/>
  <c r="O350" i="3"/>
  <c r="J362" i="3"/>
  <c r="R367" i="3"/>
  <c r="Q372" i="3"/>
  <c r="P377" i="3"/>
  <c r="O382" i="3"/>
  <c r="N387" i="3"/>
  <c r="X387" i="3" s="1"/>
  <c r="M392" i="3"/>
  <c r="L397" i="3"/>
  <c r="K402" i="3"/>
  <c r="J407" i="3"/>
  <c r="I412" i="3"/>
  <c r="U416" i="3"/>
  <c r="T421" i="3"/>
  <c r="S426" i="3"/>
  <c r="R431" i="3"/>
  <c r="Q436" i="3"/>
  <c r="P441" i="3"/>
  <c r="O446" i="3"/>
  <c r="N451" i="3"/>
  <c r="X451" i="3" s="1"/>
  <c r="M456" i="3"/>
  <c r="Q311" i="3"/>
  <c r="Q355" i="3"/>
  <c r="S363" i="3"/>
  <c r="I369" i="3"/>
  <c r="U373" i="3"/>
  <c r="T378" i="3"/>
  <c r="S383" i="3"/>
  <c r="R388" i="3"/>
  <c r="Q393" i="3"/>
  <c r="P398" i="3"/>
  <c r="O403" i="3"/>
  <c r="N408" i="3"/>
  <c r="M413" i="3"/>
  <c r="L418" i="3"/>
  <c r="K423" i="3"/>
  <c r="Q81" i="3"/>
  <c r="R151" i="3"/>
  <c r="I198" i="3"/>
  <c r="J198" i="3"/>
  <c r="Q241" i="3"/>
  <c r="P191" i="3"/>
  <c r="U234" i="3"/>
  <c r="U201" i="3"/>
  <c r="U241" i="3"/>
  <c r="O265" i="3"/>
  <c r="T307" i="3"/>
  <c r="U152" i="3"/>
  <c r="U280" i="3"/>
  <c r="M320" i="3"/>
  <c r="M187" i="3"/>
  <c r="J260" i="3"/>
  <c r="J284" i="3"/>
  <c r="S303" i="3"/>
  <c r="O323" i="3"/>
  <c r="K343" i="3"/>
  <c r="M247" i="3"/>
  <c r="I278" i="3"/>
  <c r="R297" i="3"/>
  <c r="N317" i="3"/>
  <c r="X317" i="3" s="1"/>
  <c r="U155" i="3"/>
  <c r="S254" i="3"/>
  <c r="K281" i="3"/>
  <c r="U295" i="3"/>
  <c r="U303" i="3"/>
  <c r="T308" i="3"/>
  <c r="S313" i="3"/>
  <c r="R318" i="3"/>
  <c r="Q323" i="3"/>
  <c r="P328" i="3"/>
  <c r="O333" i="3"/>
  <c r="N338" i="3"/>
  <c r="X338" i="3" s="1"/>
  <c r="M343" i="3"/>
  <c r="U212" i="3"/>
  <c r="M257" i="3"/>
  <c r="K275" i="3"/>
  <c r="T288" i="3"/>
  <c r="K302" i="3"/>
  <c r="K315" i="3"/>
  <c r="L328" i="3"/>
  <c r="S339" i="3"/>
  <c r="J347" i="3"/>
  <c r="I352" i="3"/>
  <c r="U356" i="3"/>
  <c r="T361" i="3"/>
  <c r="N190" i="3"/>
  <c r="K246" i="3"/>
  <c r="T268" i="3"/>
  <c r="M284" i="3"/>
  <c r="M297" i="3"/>
  <c r="N310" i="3"/>
  <c r="R323" i="3"/>
  <c r="L336" i="3"/>
  <c r="M345" i="3"/>
  <c r="L350" i="3"/>
  <c r="K355" i="3"/>
  <c r="P172" i="3"/>
  <c r="S241" i="3"/>
  <c r="I267" i="3"/>
  <c r="R282" i="3"/>
  <c r="I296" i="3"/>
  <c r="I309" i="3"/>
  <c r="J322" i="3"/>
  <c r="L335" i="3"/>
  <c r="R344" i="3"/>
  <c r="R349" i="3"/>
  <c r="Q354" i="3"/>
  <c r="P359" i="3"/>
  <c r="O364" i="3"/>
  <c r="N215" i="3"/>
  <c r="P258" i="3"/>
  <c r="J276" i="3"/>
  <c r="O289" i="3"/>
  <c r="S302" i="3"/>
  <c r="S315" i="3"/>
  <c r="T328" i="3"/>
  <c r="M340" i="3"/>
  <c r="M347" i="3"/>
  <c r="L352" i="3"/>
  <c r="K357" i="3"/>
  <c r="T209" i="3"/>
  <c r="N255" i="3"/>
  <c r="X255" i="3" s="1"/>
  <c r="M274" i="3"/>
  <c r="J288" i="3"/>
  <c r="K301" i="3"/>
  <c r="O314" i="3"/>
  <c r="O327" i="3"/>
  <c r="I164" i="3"/>
  <c r="U236" i="3"/>
  <c r="Q265" i="3"/>
  <c r="T281" i="3"/>
  <c r="T294" i="3"/>
  <c r="U307" i="3"/>
  <c r="L321" i="3"/>
  <c r="L334" i="3"/>
  <c r="L344" i="3"/>
  <c r="M349" i="3"/>
  <c r="L354" i="3"/>
  <c r="N164" i="3"/>
  <c r="X164" i="3" s="1"/>
  <c r="P237" i="3"/>
  <c r="J266" i="3"/>
  <c r="U281" i="3"/>
  <c r="I295" i="3"/>
  <c r="M308" i="3"/>
  <c r="M321" i="3"/>
  <c r="N334" i="3"/>
  <c r="X334" i="3" s="1"/>
  <c r="N344" i="3"/>
  <c r="X344" i="3" s="1"/>
  <c r="N349" i="3"/>
  <c r="X349" i="3" s="1"/>
  <c r="M354" i="3"/>
  <c r="Q293" i="3"/>
  <c r="M352" i="3"/>
  <c r="R362" i="3"/>
  <c r="K368" i="3"/>
  <c r="J373" i="3"/>
  <c r="I378" i="3"/>
  <c r="U382" i="3"/>
  <c r="T387" i="3"/>
  <c r="S392" i="3"/>
  <c r="R397" i="3"/>
  <c r="Q402" i="3"/>
  <c r="P407" i="3"/>
  <c r="O412" i="3"/>
  <c r="N417" i="3"/>
  <c r="X417" i="3" s="1"/>
  <c r="M422" i="3"/>
  <c r="L427" i="3"/>
  <c r="K432" i="3"/>
  <c r="J437" i="3"/>
  <c r="I442" i="3"/>
  <c r="U446" i="3"/>
  <c r="T451" i="3"/>
  <c r="S456" i="3"/>
  <c r="K323" i="3"/>
  <c r="N357" i="3"/>
  <c r="P364" i="3"/>
  <c r="P369" i="3"/>
  <c r="O374" i="3"/>
  <c r="N379" i="3"/>
  <c r="X379" i="3" s="1"/>
  <c r="M384" i="3"/>
  <c r="L389" i="3"/>
  <c r="K394" i="3"/>
  <c r="J399" i="3"/>
  <c r="I404" i="3"/>
  <c r="U408" i="3"/>
  <c r="T413" i="3"/>
  <c r="S418" i="3"/>
  <c r="R423" i="3"/>
  <c r="Q428" i="3"/>
  <c r="P433" i="3"/>
  <c r="O438" i="3"/>
  <c r="N443" i="3"/>
  <c r="M448" i="3"/>
  <c r="L453" i="3"/>
  <c r="U198" i="3"/>
  <c r="K342" i="3"/>
  <c r="R359" i="3"/>
  <c r="U365" i="3"/>
  <c r="T370" i="3"/>
  <c r="S375" i="3"/>
  <c r="R380" i="3"/>
  <c r="Q385" i="3"/>
  <c r="P390" i="3"/>
  <c r="O395" i="3"/>
  <c r="N400" i="3"/>
  <c r="X400" i="3" s="1"/>
  <c r="M405" i="3"/>
  <c r="L410" i="3"/>
  <c r="K415" i="3"/>
  <c r="P154" i="3"/>
  <c r="S231" i="3"/>
  <c r="J232" i="3"/>
  <c r="U268" i="3"/>
  <c r="K279" i="3"/>
  <c r="T228" i="3"/>
  <c r="K332" i="3"/>
  <c r="R302" i="3"/>
  <c r="N322" i="3"/>
  <c r="X322" i="3" s="1"/>
  <c r="J342" i="3"/>
  <c r="Q285" i="3"/>
  <c r="M337" i="3"/>
  <c r="Q360" i="3"/>
  <c r="U266" i="3"/>
  <c r="K307" i="3"/>
  <c r="R338" i="3"/>
  <c r="P354" i="3"/>
  <c r="S262" i="3"/>
  <c r="K299" i="3"/>
  <c r="Q333" i="3"/>
  <c r="N353" i="3"/>
  <c r="X353" i="3" s="1"/>
  <c r="M122" i="3"/>
  <c r="S273" i="3"/>
  <c r="Q312" i="3"/>
  <c r="S342" i="3"/>
  <c r="P356" i="3"/>
  <c r="Q269" i="3"/>
  <c r="Q304" i="3"/>
  <c r="O137" i="3"/>
  <c r="N278" i="3"/>
  <c r="X278" i="3" s="1"/>
  <c r="N311" i="3"/>
  <c r="I343" i="3"/>
  <c r="U357" i="3"/>
  <c r="L270" i="3"/>
  <c r="P306" i="3"/>
  <c r="I342" i="3"/>
  <c r="P355" i="3"/>
  <c r="S361" i="3"/>
  <c r="S376" i="3"/>
  <c r="J389" i="3"/>
  <c r="I402" i="3"/>
  <c r="K416" i="3"/>
  <c r="O428" i="3"/>
  <c r="N441" i="3"/>
  <c r="X441" i="3" s="1"/>
  <c r="P455" i="3"/>
  <c r="Q359" i="3"/>
  <c r="T373" i="3"/>
  <c r="I388" i="3"/>
  <c r="M400" i="3"/>
  <c r="L413" i="3"/>
  <c r="N427" i="3"/>
  <c r="X427" i="3" s="1"/>
  <c r="R439" i="3"/>
  <c r="Q452" i="3"/>
  <c r="O357" i="3"/>
  <c r="J372" i="3"/>
  <c r="I385" i="3"/>
  <c r="K399" i="3"/>
  <c r="O411" i="3"/>
  <c r="M421" i="3"/>
  <c r="R428" i="3"/>
  <c r="Q433" i="3"/>
  <c r="P438" i="3"/>
  <c r="O443" i="3"/>
  <c r="N448" i="3"/>
  <c r="M453" i="3"/>
  <c r="R272" i="3"/>
  <c r="Q348" i="3"/>
  <c r="O361" i="3"/>
  <c r="L367" i="3"/>
  <c r="K372" i="3"/>
  <c r="J377" i="3"/>
  <c r="I382" i="3"/>
  <c r="U386" i="3"/>
  <c r="T391" i="3"/>
  <c r="S396" i="3"/>
  <c r="R401" i="3"/>
  <c r="Q406" i="3"/>
  <c r="P411" i="3"/>
  <c r="O416" i="3"/>
  <c r="N421" i="3"/>
  <c r="M426" i="3"/>
  <c r="L431" i="3"/>
  <c r="K436" i="3"/>
  <c r="J441" i="3"/>
  <c r="R339" i="3"/>
  <c r="L359" i="3"/>
  <c r="Q365" i="3"/>
  <c r="P370" i="3"/>
  <c r="O375" i="3"/>
  <c r="N380" i="3"/>
  <c r="X380" i="3" s="1"/>
  <c r="M385" i="3"/>
  <c r="L390" i="3"/>
  <c r="K395" i="3"/>
  <c r="J400" i="3"/>
  <c r="I405" i="3"/>
  <c r="U409" i="3"/>
  <c r="T414" i="3"/>
  <c r="S419" i="3"/>
  <c r="R424" i="3"/>
  <c r="Q429" i="3"/>
  <c r="P434" i="3"/>
  <c r="O439" i="3"/>
  <c r="N444" i="3"/>
  <c r="M449" i="3"/>
  <c r="L454" i="3"/>
  <c r="L356" i="3"/>
  <c r="M372" i="3"/>
  <c r="O385" i="3"/>
  <c r="R398" i="3"/>
  <c r="R411" i="3"/>
  <c r="T424" i="3"/>
  <c r="J438" i="3"/>
  <c r="Q448" i="3"/>
  <c r="S457" i="3"/>
  <c r="R462" i="3"/>
  <c r="Q467" i="3"/>
  <c r="P472" i="3"/>
  <c r="O477" i="3"/>
  <c r="N482" i="3"/>
  <c r="M487" i="3"/>
  <c r="L492" i="3"/>
  <c r="K497" i="3"/>
  <c r="J502" i="3"/>
  <c r="I507" i="3"/>
  <c r="U511" i="3"/>
  <c r="T516" i="3"/>
  <c r="S521" i="3"/>
  <c r="R526" i="3"/>
  <c r="Q356" i="3"/>
  <c r="P372" i="3"/>
  <c r="S385" i="3"/>
  <c r="S398" i="3"/>
  <c r="U411" i="3"/>
  <c r="K425" i="3"/>
  <c r="K438" i="3"/>
  <c r="T448" i="3"/>
  <c r="T457" i="3"/>
  <c r="S462" i="3"/>
  <c r="R467" i="3"/>
  <c r="Q472" i="3"/>
  <c r="P477" i="3"/>
  <c r="O482" i="3"/>
  <c r="N487" i="3"/>
  <c r="M492" i="3"/>
  <c r="L497" i="3"/>
  <c r="K502" i="3"/>
  <c r="J507" i="3"/>
  <c r="I512" i="3"/>
  <c r="U516" i="3"/>
  <c r="J344" i="3"/>
  <c r="O369" i="3"/>
  <c r="R382" i="3"/>
  <c r="R395" i="3"/>
  <c r="T408" i="3"/>
  <c r="J422" i="3"/>
  <c r="J435" i="3"/>
  <c r="Q446" i="3"/>
  <c r="L456" i="3"/>
  <c r="Q461" i="3"/>
  <c r="P466" i="3"/>
  <c r="O471" i="3"/>
  <c r="N476" i="3"/>
  <c r="X476" i="3" s="1"/>
  <c r="M481" i="3"/>
  <c r="L486" i="3"/>
  <c r="K491" i="3"/>
  <c r="J496" i="3"/>
  <c r="I501" i="3"/>
  <c r="U505" i="3"/>
  <c r="T510" i="3"/>
  <c r="S515" i="3"/>
  <c r="M158" i="3"/>
  <c r="R236" i="3"/>
  <c r="I237" i="3"/>
  <c r="P275" i="3"/>
  <c r="O283" i="3"/>
  <c r="P245" i="3"/>
  <c r="U145" i="3"/>
  <c r="M303" i="3"/>
  <c r="I323" i="3"/>
  <c r="R342" i="3"/>
  <c r="N287" i="3"/>
  <c r="X287" i="3" s="1"/>
  <c r="P338" i="3"/>
  <c r="L361" i="3"/>
  <c r="O273" i="3"/>
  <c r="U308" i="3"/>
  <c r="Q343" i="3"/>
  <c r="N356" i="3"/>
  <c r="X356" i="3" s="1"/>
  <c r="R264" i="3"/>
  <c r="T305" i="3"/>
  <c r="R337" i="3"/>
  <c r="I354" i="3"/>
  <c r="T201" i="3"/>
  <c r="Q279" i="3"/>
  <c r="J314" i="3"/>
  <c r="J346" i="3"/>
  <c r="N358" i="3"/>
  <c r="X358" i="3" s="1"/>
  <c r="U271" i="3"/>
  <c r="I311" i="3"/>
  <c r="N195" i="3"/>
  <c r="J280" i="3"/>
  <c r="S317" i="3"/>
  <c r="Q345" i="3"/>
  <c r="L140" i="3"/>
  <c r="S278" i="3"/>
  <c r="O311" i="3"/>
  <c r="L343" i="3"/>
  <c r="U263" i="3"/>
  <c r="L364" i="3"/>
  <c r="N377" i="3"/>
  <c r="X377" i="3" s="1"/>
  <c r="P391" i="3"/>
  <c r="T403" i="3"/>
  <c r="S416" i="3"/>
  <c r="U430" i="3"/>
  <c r="L443" i="3"/>
  <c r="K456" i="3"/>
  <c r="T362" i="3"/>
  <c r="R375" i="3"/>
  <c r="Q388" i="3"/>
  <c r="S402" i="3"/>
  <c r="J415" i="3"/>
  <c r="I428" i="3"/>
  <c r="K442" i="3"/>
  <c r="O454" i="3"/>
  <c r="T358" i="3"/>
  <c r="P374" i="3"/>
  <c r="T386" i="3"/>
  <c r="S399" i="3"/>
  <c r="U413" i="3"/>
  <c r="P422" i="3"/>
  <c r="M429" i="3"/>
  <c r="L434" i="3"/>
  <c r="K439" i="3"/>
  <c r="J444" i="3"/>
  <c r="I449" i="3"/>
  <c r="U453" i="3"/>
  <c r="I287" i="3"/>
  <c r="J351" i="3"/>
  <c r="L362" i="3"/>
  <c r="T367" i="3"/>
  <c r="S372" i="3"/>
  <c r="R377" i="3"/>
  <c r="Q382" i="3"/>
  <c r="P387" i="3"/>
  <c r="O392" i="3"/>
  <c r="N397" i="3"/>
  <c r="X397" i="3" s="1"/>
  <c r="M402" i="3"/>
  <c r="L407" i="3"/>
  <c r="K412" i="3"/>
  <c r="J417" i="3"/>
  <c r="I422" i="3"/>
  <c r="U426" i="3"/>
  <c r="T431" i="3"/>
  <c r="S436" i="3"/>
  <c r="L225" i="3"/>
  <c r="O344" i="3"/>
  <c r="J360" i="3"/>
  <c r="L366" i="3"/>
  <c r="K371" i="3"/>
  <c r="J376" i="3"/>
  <c r="I381" i="3"/>
  <c r="U385" i="3"/>
  <c r="T390" i="3"/>
  <c r="S395" i="3"/>
  <c r="R400" i="3"/>
  <c r="Q405" i="3"/>
  <c r="P410" i="3"/>
  <c r="O415" i="3"/>
  <c r="N420" i="3"/>
  <c r="X420" i="3" s="1"/>
  <c r="M425" i="3"/>
  <c r="L430" i="3"/>
  <c r="K435" i="3"/>
  <c r="J440" i="3"/>
  <c r="I445" i="3"/>
  <c r="U449" i="3"/>
  <c r="T454" i="3"/>
  <c r="O359" i="3"/>
  <c r="J374" i="3"/>
  <c r="J387" i="3"/>
  <c r="L400" i="3"/>
  <c r="O413" i="3"/>
  <c r="O426" i="3"/>
  <c r="Q439" i="3"/>
  <c r="T449" i="3"/>
  <c r="N458" i="3"/>
  <c r="X458" i="3" s="1"/>
  <c r="M463" i="3"/>
  <c r="L468" i="3"/>
  <c r="K473" i="3"/>
  <c r="J478" i="3"/>
  <c r="I483" i="3"/>
  <c r="U487" i="3"/>
  <c r="T492" i="3"/>
  <c r="S497" i="3"/>
  <c r="R502" i="3"/>
  <c r="Q507" i="3"/>
  <c r="P512" i="3"/>
  <c r="O517" i="3"/>
  <c r="N522" i="3"/>
  <c r="X522" i="3" s="1"/>
  <c r="M527" i="3"/>
  <c r="T359" i="3"/>
  <c r="K374" i="3"/>
  <c r="M387" i="3"/>
  <c r="P400" i="3"/>
  <c r="P413" i="3"/>
  <c r="R426" i="3"/>
  <c r="U439" i="3"/>
  <c r="J450" i="3"/>
  <c r="O458" i="3"/>
  <c r="N463" i="3"/>
  <c r="X463" i="3" s="1"/>
  <c r="M468" i="3"/>
  <c r="L473" i="3"/>
  <c r="K478" i="3"/>
  <c r="J483" i="3"/>
  <c r="I488" i="3"/>
  <c r="U492" i="3"/>
  <c r="T497" i="3"/>
  <c r="S502" i="3"/>
  <c r="R507" i="3"/>
  <c r="Q512" i="3"/>
  <c r="P517" i="3"/>
  <c r="M351" i="3"/>
  <c r="J371" i="3"/>
  <c r="L384" i="3"/>
  <c r="O397" i="3"/>
  <c r="O410" i="3"/>
  <c r="Q423" i="3"/>
  <c r="T436" i="3"/>
  <c r="T447" i="3"/>
  <c r="K457" i="3"/>
  <c r="L462" i="3"/>
  <c r="K467" i="3"/>
  <c r="J472" i="3"/>
  <c r="I477" i="3"/>
  <c r="U481" i="3"/>
  <c r="T486" i="3"/>
  <c r="S491" i="3"/>
  <c r="R496" i="3"/>
  <c r="Q501" i="3"/>
  <c r="P506" i="3"/>
  <c r="I258" i="3"/>
  <c r="Q165" i="3"/>
  <c r="I248" i="3"/>
  <c r="O310" i="3"/>
  <c r="T298" i="3"/>
  <c r="Q271" i="3"/>
  <c r="L241" i="3"/>
  <c r="Q307" i="3"/>
  <c r="M327" i="3"/>
  <c r="I199" i="3"/>
  <c r="R298" i="3"/>
  <c r="T345" i="3"/>
  <c r="I151" i="3"/>
  <c r="T280" i="3"/>
  <c r="T313" i="3"/>
  <c r="Q344" i="3"/>
  <c r="O112" i="3"/>
  <c r="M271" i="3"/>
  <c r="M307" i="3"/>
  <c r="Q342" i="3"/>
  <c r="T355" i="3"/>
  <c r="S209" i="3"/>
  <c r="L286" i="3"/>
  <c r="I319" i="3"/>
  <c r="R346" i="3"/>
  <c r="M195" i="3"/>
  <c r="L278" i="3"/>
  <c r="R312" i="3"/>
  <c r="P224" i="3"/>
  <c r="I285" i="3"/>
  <c r="O319" i="3"/>
  <c r="J348" i="3"/>
  <c r="Q196" i="3"/>
  <c r="L280" i="3"/>
  <c r="K318" i="3"/>
  <c r="R345" i="3"/>
  <c r="Q280" i="3"/>
  <c r="U366" i="3"/>
  <c r="L379" i="3"/>
  <c r="K392" i="3"/>
  <c r="M406" i="3"/>
  <c r="Q418" i="3"/>
  <c r="P431" i="3"/>
  <c r="R445" i="3"/>
  <c r="J184" i="3"/>
  <c r="Q363" i="3"/>
  <c r="K378" i="3"/>
  <c r="O390" i="3"/>
  <c r="N403" i="3"/>
  <c r="X403" i="3" s="1"/>
  <c r="P417" i="3"/>
  <c r="T429" i="3"/>
  <c r="S442" i="3"/>
  <c r="U456" i="3"/>
  <c r="M361" i="3"/>
  <c r="K375" i="3"/>
  <c r="M389" i="3"/>
  <c r="Q401" i="3"/>
  <c r="P414" i="3"/>
  <c r="S423" i="3"/>
  <c r="U429" i="3"/>
  <c r="T434" i="3"/>
  <c r="S439" i="3"/>
  <c r="R444" i="3"/>
  <c r="Q449" i="3"/>
  <c r="P454" i="3"/>
  <c r="M300" i="3"/>
  <c r="P353" i="3"/>
  <c r="I363" i="3"/>
  <c r="O368" i="3"/>
  <c r="N373" i="3"/>
  <c r="M378" i="3"/>
  <c r="L383" i="3"/>
  <c r="K388" i="3"/>
  <c r="J393" i="3"/>
  <c r="I398" i="3"/>
  <c r="U402" i="3"/>
  <c r="T407" i="3"/>
  <c r="S412" i="3"/>
  <c r="R417" i="3"/>
  <c r="Q422" i="3"/>
  <c r="P427" i="3"/>
  <c r="O432" i="3"/>
  <c r="N437" i="3"/>
  <c r="X437" i="3" s="1"/>
  <c r="I262" i="3"/>
  <c r="I347" i="3"/>
  <c r="U360" i="3"/>
  <c r="T366" i="3"/>
  <c r="S371" i="3"/>
  <c r="R376" i="3"/>
  <c r="Q381" i="3"/>
  <c r="P386" i="3"/>
  <c r="O391" i="3"/>
  <c r="N396" i="3"/>
  <c r="M401" i="3"/>
  <c r="L406" i="3"/>
  <c r="K411" i="3"/>
  <c r="J416" i="3"/>
  <c r="I421" i="3"/>
  <c r="U425" i="3"/>
  <c r="T430" i="3"/>
  <c r="S435" i="3"/>
  <c r="R440" i="3"/>
  <c r="Q445" i="3"/>
  <c r="P450" i="3"/>
  <c r="O455" i="3"/>
  <c r="Q361" i="3"/>
  <c r="Q375" i="3"/>
  <c r="T388" i="3"/>
  <c r="T401" i="3"/>
  <c r="I415" i="3"/>
  <c r="L428" i="3"/>
  <c r="L441" i="3"/>
  <c r="J451" i="3"/>
  <c r="I459" i="3"/>
  <c r="U463" i="3"/>
  <c r="T468" i="3"/>
  <c r="S473" i="3"/>
  <c r="R478" i="3"/>
  <c r="Q483" i="3"/>
  <c r="P488" i="3"/>
  <c r="O493" i="3"/>
  <c r="N498" i="3"/>
  <c r="M503" i="3"/>
  <c r="L508" i="3"/>
  <c r="K513" i="3"/>
  <c r="J518" i="3"/>
  <c r="I523" i="3"/>
  <c r="U527" i="3"/>
  <c r="U361" i="3"/>
  <c r="U375" i="3"/>
  <c r="U388" i="3"/>
  <c r="J402" i="3"/>
  <c r="M415" i="3"/>
  <c r="M428" i="3"/>
  <c r="O441" i="3"/>
  <c r="M451" i="3"/>
  <c r="J459" i="3"/>
  <c r="I464" i="3"/>
  <c r="U468" i="3"/>
  <c r="T473" i="3"/>
  <c r="S478" i="3"/>
  <c r="R483" i="3"/>
  <c r="Q488" i="3"/>
  <c r="P493" i="3"/>
  <c r="O498" i="3"/>
  <c r="N503" i="3"/>
  <c r="M508" i="3"/>
  <c r="L513" i="3"/>
  <c r="K518" i="3"/>
  <c r="L357" i="3"/>
  <c r="T372" i="3"/>
  <c r="T385" i="3"/>
  <c r="I399" i="3"/>
  <c r="L412" i="3"/>
  <c r="L425" i="3"/>
  <c r="N438" i="3"/>
  <c r="X438" i="3" s="1"/>
  <c r="J449" i="3"/>
  <c r="U457" i="3"/>
  <c r="T462" i="3"/>
  <c r="S467" i="3"/>
  <c r="R472" i="3"/>
  <c r="Q477" i="3"/>
  <c r="P482" i="3"/>
  <c r="O487" i="3"/>
  <c r="N492" i="3"/>
  <c r="M497" i="3"/>
  <c r="L502" i="3"/>
  <c r="K507" i="3"/>
  <c r="J512" i="3"/>
  <c r="I517" i="3"/>
  <c r="M239" i="3"/>
  <c r="S364" i="3"/>
  <c r="P271" i="3"/>
  <c r="R178" i="3"/>
  <c r="U258" i="3"/>
  <c r="N315" i="3"/>
  <c r="X315" i="3" s="1"/>
  <c r="K303" i="3"/>
  <c r="N277" i="3"/>
  <c r="X277" i="3" s="1"/>
  <c r="P253" i="3"/>
  <c r="L308" i="3"/>
  <c r="U327" i="3"/>
  <c r="M207" i="3"/>
  <c r="N300" i="3"/>
  <c r="X300" i="3" s="1"/>
  <c r="O346" i="3"/>
  <c r="S170" i="3"/>
  <c r="P282" i="3"/>
  <c r="L320" i="3"/>
  <c r="P346" i="3"/>
  <c r="Q157" i="3"/>
  <c r="O279" i="3"/>
  <c r="L312" i="3"/>
  <c r="T343" i="3"/>
  <c r="M358" i="3"/>
  <c r="O229" i="3"/>
  <c r="I288" i="3"/>
  <c r="Q325" i="3"/>
  <c r="P348" i="3"/>
  <c r="P202" i="3"/>
  <c r="U284" i="3"/>
  <c r="Q317" i="3"/>
  <c r="K230" i="3"/>
  <c r="R291" i="3"/>
  <c r="N324" i="3"/>
  <c r="X324" i="3" s="1"/>
  <c r="R348" i="3"/>
  <c r="Q224" i="3"/>
  <c r="K285" i="3"/>
  <c r="Q319" i="3"/>
  <c r="K348" i="3"/>
  <c r="I320" i="3"/>
  <c r="P367" i="3"/>
  <c r="R381" i="3"/>
  <c r="I394" i="3"/>
  <c r="U406" i="3"/>
  <c r="J421" i="3"/>
  <c r="N433" i="3"/>
  <c r="X433" i="3" s="1"/>
  <c r="M446" i="3"/>
  <c r="T296" i="3"/>
  <c r="T365" i="3"/>
  <c r="S378" i="3"/>
  <c r="U392" i="3"/>
  <c r="L405" i="3"/>
  <c r="K418" i="3"/>
  <c r="M432" i="3"/>
  <c r="Q444" i="3"/>
  <c r="P457" i="3"/>
  <c r="Q364" i="3"/>
  <c r="I377" i="3"/>
  <c r="U389" i="3"/>
  <c r="J404" i="3"/>
  <c r="N416" i="3"/>
  <c r="N424" i="3"/>
  <c r="X424" i="3" s="1"/>
  <c r="P430" i="3"/>
  <c r="O435" i="3"/>
  <c r="N440" i="3"/>
  <c r="X440" i="3" s="1"/>
  <c r="M445" i="3"/>
  <c r="L450" i="3"/>
  <c r="K455" i="3"/>
  <c r="M313" i="3"/>
  <c r="I356" i="3"/>
  <c r="U363" i="3"/>
  <c r="J369" i="3"/>
  <c r="I374" i="3"/>
  <c r="U378" i="3"/>
  <c r="T383" i="3"/>
  <c r="S388" i="3"/>
  <c r="R393" i="3"/>
  <c r="Q398" i="3"/>
  <c r="P403" i="3"/>
  <c r="O408" i="3"/>
  <c r="N413" i="3"/>
  <c r="X413" i="3" s="1"/>
  <c r="M418" i="3"/>
  <c r="L423" i="3"/>
  <c r="K428" i="3"/>
  <c r="J433" i="3"/>
  <c r="I438" i="3"/>
  <c r="T278" i="3"/>
  <c r="O349" i="3"/>
  <c r="R361" i="3"/>
  <c r="O367" i="3"/>
  <c r="N372" i="3"/>
  <c r="X372" i="3" s="1"/>
  <c r="M377" i="3"/>
  <c r="L382" i="3"/>
  <c r="K387" i="3"/>
  <c r="J392" i="3"/>
  <c r="I397" i="3"/>
  <c r="U401" i="3"/>
  <c r="T406" i="3"/>
  <c r="S411" i="3"/>
  <c r="R416" i="3"/>
  <c r="Q421" i="3"/>
  <c r="P426" i="3"/>
  <c r="O431" i="3"/>
  <c r="N436" i="3"/>
  <c r="X436" i="3" s="1"/>
  <c r="M441" i="3"/>
  <c r="L446" i="3"/>
  <c r="K451" i="3"/>
  <c r="T165" i="3"/>
  <c r="I364" i="3"/>
  <c r="L377" i="3"/>
  <c r="N390" i="3"/>
  <c r="X390" i="3" s="1"/>
  <c r="Q403" i="3"/>
  <c r="Q416" i="3"/>
  <c r="S429" i="3"/>
  <c r="O442" i="3"/>
  <c r="M452" i="3"/>
  <c r="Q459" i="3"/>
  <c r="P464" i="3"/>
  <c r="O469" i="3"/>
  <c r="N474" i="3"/>
  <c r="X474" i="3" s="1"/>
  <c r="M479" i="3"/>
  <c r="L484" i="3"/>
  <c r="K489" i="3"/>
  <c r="J494" i="3"/>
  <c r="I499" i="3"/>
  <c r="U503" i="3"/>
  <c r="T508" i="3"/>
  <c r="S513" i="3"/>
  <c r="R518" i="3"/>
  <c r="Q523" i="3"/>
  <c r="M212" i="3"/>
  <c r="J364" i="3"/>
  <c r="O377" i="3"/>
  <c r="R390" i="3"/>
  <c r="R403" i="3"/>
  <c r="T416" i="3"/>
  <c r="J430" i="3"/>
  <c r="R442" i="3"/>
  <c r="P452" i="3"/>
  <c r="R459" i="3"/>
  <c r="Q464" i="3"/>
  <c r="P469" i="3"/>
  <c r="O474" i="3"/>
  <c r="N479" i="3"/>
  <c r="X479" i="3" s="1"/>
  <c r="M484" i="3"/>
  <c r="L489" i="3"/>
  <c r="K494" i="3"/>
  <c r="J499" i="3"/>
  <c r="I504" i="3"/>
  <c r="U508" i="3"/>
  <c r="T513" i="3"/>
  <c r="S518" i="3"/>
  <c r="U359" i="3"/>
  <c r="N374" i="3"/>
  <c r="X374" i="3" s="1"/>
  <c r="Q387" i="3"/>
  <c r="Q400" i="3"/>
  <c r="S413" i="3"/>
  <c r="I427" i="3"/>
  <c r="I440" i="3"/>
  <c r="M450" i="3"/>
  <c r="P458" i="3"/>
  <c r="O463" i="3"/>
  <c r="N468" i="3"/>
  <c r="X468" i="3" s="1"/>
  <c r="M473" i="3"/>
  <c r="L478" i="3"/>
  <c r="K483" i="3"/>
  <c r="J488" i="3"/>
  <c r="I493" i="3"/>
  <c r="U497" i="3"/>
  <c r="R81" i="3"/>
  <c r="J225" i="3"/>
  <c r="I298" i="3"/>
  <c r="Q89" i="3"/>
  <c r="P318" i="3"/>
  <c r="S292" i="3"/>
  <c r="S275" i="3"/>
  <c r="P312" i="3"/>
  <c r="L332" i="3"/>
  <c r="T249" i="3"/>
  <c r="I312" i="3"/>
  <c r="S350" i="3"/>
  <c r="N234" i="3"/>
  <c r="X234" i="3" s="1"/>
  <c r="O287" i="3"/>
  <c r="U321" i="3"/>
  <c r="I349" i="3"/>
  <c r="S201" i="3"/>
  <c r="L281" i="3"/>
  <c r="T318" i="3"/>
  <c r="I346" i="3"/>
  <c r="U358" i="3"/>
  <c r="Q251" i="3"/>
  <c r="U292" i="3"/>
  <c r="N327" i="3"/>
  <c r="X327" i="3" s="1"/>
  <c r="I351" i="3"/>
  <c r="S222" i="3"/>
  <c r="N286" i="3"/>
  <c r="M324" i="3"/>
  <c r="O248" i="3"/>
  <c r="K293" i="3"/>
  <c r="J331" i="3"/>
  <c r="P350" i="3"/>
  <c r="U231" i="3"/>
  <c r="S291" i="3"/>
  <c r="P324" i="3"/>
  <c r="S348" i="3"/>
  <c r="N347" i="3"/>
  <c r="X347" i="3" s="1"/>
  <c r="N369" i="3"/>
  <c r="X369" i="3" s="1"/>
  <c r="M382" i="3"/>
  <c r="O396" i="3"/>
  <c r="S408" i="3"/>
  <c r="R421" i="3"/>
  <c r="T435" i="3"/>
  <c r="K448" i="3"/>
  <c r="K310" i="3"/>
  <c r="M368" i="3"/>
  <c r="Q380" i="3"/>
  <c r="P393" i="3"/>
  <c r="R407" i="3"/>
  <c r="I420" i="3"/>
  <c r="U432" i="3"/>
  <c r="J447" i="3"/>
  <c r="P270" i="3"/>
  <c r="M365" i="3"/>
  <c r="O379" i="3"/>
  <c r="S391" i="3"/>
  <c r="R404" i="3"/>
  <c r="Q417" i="3"/>
  <c r="I425" i="3"/>
  <c r="K431" i="3"/>
  <c r="J436" i="3"/>
  <c r="I441" i="3"/>
  <c r="U445" i="3"/>
  <c r="T450" i="3"/>
  <c r="S455" i="3"/>
  <c r="N326" i="3"/>
  <c r="X326" i="3" s="1"/>
  <c r="T357" i="3"/>
  <c r="R364" i="3"/>
  <c r="R369" i="3"/>
  <c r="Q374" i="3"/>
  <c r="P379" i="3"/>
  <c r="O384" i="3"/>
  <c r="N389" i="3"/>
  <c r="X389" i="3" s="1"/>
  <c r="M394" i="3"/>
  <c r="L399" i="3"/>
  <c r="K404" i="3"/>
  <c r="J409" i="3"/>
  <c r="I414" i="3"/>
  <c r="U418" i="3"/>
  <c r="T423" i="3"/>
  <c r="S428" i="3"/>
  <c r="R433" i="3"/>
  <c r="Q438" i="3"/>
  <c r="U291" i="3"/>
  <c r="U351" i="3"/>
  <c r="P362" i="3"/>
  <c r="J368" i="3"/>
  <c r="I373" i="3"/>
  <c r="U377" i="3"/>
  <c r="T382" i="3"/>
  <c r="S387" i="3"/>
  <c r="R392" i="3"/>
  <c r="Q397" i="3"/>
  <c r="P402" i="3"/>
  <c r="O407" i="3"/>
  <c r="N412" i="3"/>
  <c r="X412" i="3" s="1"/>
  <c r="M417" i="3"/>
  <c r="L422" i="3"/>
  <c r="K427" i="3"/>
  <c r="J432" i="3"/>
  <c r="I437" i="3"/>
  <c r="U441" i="3"/>
  <c r="T446" i="3"/>
  <c r="S451" i="3"/>
  <c r="I277" i="3"/>
  <c r="S365" i="3"/>
  <c r="I379" i="3"/>
  <c r="I392" i="3"/>
  <c r="K405" i="3"/>
  <c r="N418" i="3"/>
  <c r="X418" i="3" s="1"/>
  <c r="N431" i="3"/>
  <c r="X431" i="3" s="1"/>
  <c r="R443" i="3"/>
  <c r="P453" i="3"/>
  <c r="L460" i="3"/>
  <c r="K465" i="3"/>
  <c r="J470" i="3"/>
  <c r="I475" i="3"/>
  <c r="U479" i="3"/>
  <c r="T484" i="3"/>
  <c r="S489" i="3"/>
  <c r="R494" i="3"/>
  <c r="Q499" i="3"/>
  <c r="P504" i="3"/>
  <c r="O509" i="3"/>
  <c r="N514" i="3"/>
  <c r="X514" i="3" s="1"/>
  <c r="M519" i="3"/>
  <c r="L524" i="3"/>
  <c r="J282" i="3"/>
  <c r="J366" i="3"/>
  <c r="J379" i="3"/>
  <c r="L392" i="3"/>
  <c r="O405" i="3"/>
  <c r="O418" i="3"/>
  <c r="Q431" i="3"/>
  <c r="U443" i="3"/>
  <c r="S453" i="3"/>
  <c r="M460" i="3"/>
  <c r="L465" i="3"/>
  <c r="K470" i="3"/>
  <c r="J475" i="3"/>
  <c r="I480" i="3"/>
  <c r="U484" i="3"/>
  <c r="T489" i="3"/>
  <c r="S494" i="3"/>
  <c r="R499" i="3"/>
  <c r="Q504" i="3"/>
  <c r="P509" i="3"/>
  <c r="O514" i="3"/>
  <c r="N519" i="3"/>
  <c r="X519" i="3" s="1"/>
  <c r="M362" i="3"/>
  <c r="I376" i="3"/>
  <c r="K389" i="3"/>
  <c r="N402" i="3"/>
  <c r="X402" i="3" s="1"/>
  <c r="N415" i="3"/>
  <c r="X415" i="3" s="1"/>
  <c r="P428" i="3"/>
  <c r="R441" i="3"/>
  <c r="P451" i="3"/>
  <c r="K459" i="3"/>
  <c r="J464" i="3"/>
  <c r="I469" i="3"/>
  <c r="U473" i="3"/>
  <c r="T478" i="3"/>
  <c r="S483" i="3"/>
  <c r="R488" i="3"/>
  <c r="Q493" i="3"/>
  <c r="P498" i="3"/>
  <c r="O503" i="3"/>
  <c r="N508" i="3"/>
  <c r="X508" i="3" s="1"/>
  <c r="K165" i="3"/>
  <c r="I230" i="3"/>
  <c r="U302" i="3"/>
  <c r="Q180" i="3"/>
  <c r="T322" i="3"/>
  <c r="J297" i="3"/>
  <c r="P280" i="3"/>
  <c r="K313" i="3"/>
  <c r="T332" i="3"/>
  <c r="I254" i="3"/>
  <c r="O313" i="3"/>
  <c r="N351" i="3"/>
  <c r="I240" i="3"/>
  <c r="K294" i="3"/>
  <c r="T326" i="3"/>
  <c r="Q349" i="3"/>
  <c r="R227" i="3"/>
  <c r="K286" i="3"/>
  <c r="Q320" i="3"/>
  <c r="O348" i="3"/>
  <c r="S360" i="3"/>
  <c r="L255" i="3"/>
  <c r="M299" i="3"/>
  <c r="M332" i="3"/>
  <c r="Q351" i="3"/>
  <c r="U247" i="3"/>
  <c r="M291" i="3"/>
  <c r="S325" i="3"/>
  <c r="M261" i="3"/>
  <c r="J298" i="3"/>
  <c r="P332" i="3"/>
  <c r="I353" i="3"/>
  <c r="L249" i="3"/>
  <c r="P293" i="3"/>
  <c r="K331" i="3"/>
  <c r="Q350" i="3"/>
  <c r="T349" i="3"/>
  <c r="T371" i="3"/>
  <c r="K384" i="3"/>
  <c r="J397" i="3"/>
  <c r="L411" i="3"/>
  <c r="P423" i="3"/>
  <c r="O436" i="3"/>
  <c r="Q450" i="3"/>
  <c r="Q341" i="3"/>
  <c r="U368" i="3"/>
  <c r="J383" i="3"/>
  <c r="N395" i="3"/>
  <c r="X395" i="3" s="1"/>
  <c r="M408" i="3"/>
  <c r="O422" i="3"/>
  <c r="S434" i="3"/>
  <c r="R447" i="3"/>
  <c r="U324" i="3"/>
  <c r="K367" i="3"/>
  <c r="J380" i="3"/>
  <c r="L394" i="3"/>
  <c r="P406" i="3"/>
  <c r="T418" i="3"/>
  <c r="L426" i="3"/>
  <c r="S431" i="3"/>
  <c r="R436" i="3"/>
  <c r="Q441" i="3"/>
  <c r="P446" i="3"/>
  <c r="O451" i="3"/>
  <c r="N456" i="3"/>
  <c r="X456" i="3" s="1"/>
  <c r="U337" i="3"/>
  <c r="I359" i="3"/>
  <c r="N365" i="3"/>
  <c r="M370" i="3"/>
  <c r="L375" i="3"/>
  <c r="K380" i="3"/>
  <c r="J385" i="3"/>
  <c r="I390" i="3"/>
  <c r="U394" i="3"/>
  <c r="T399" i="3"/>
  <c r="S404" i="3"/>
  <c r="R409" i="3"/>
  <c r="Q414" i="3"/>
  <c r="P419" i="3"/>
  <c r="O424" i="3"/>
  <c r="N429" i="3"/>
  <c r="X429" i="3" s="1"/>
  <c r="M434" i="3"/>
  <c r="L439" i="3"/>
  <c r="L305" i="3"/>
  <c r="N354" i="3"/>
  <c r="X354" i="3" s="1"/>
  <c r="N363" i="3"/>
  <c r="X363" i="3" s="1"/>
  <c r="R368" i="3"/>
  <c r="Q373" i="3"/>
  <c r="P378" i="3"/>
  <c r="O383" i="3"/>
  <c r="N388" i="3"/>
  <c r="M393" i="3"/>
  <c r="L398" i="3"/>
  <c r="K403" i="3"/>
  <c r="J408" i="3"/>
  <c r="I413" i="3"/>
  <c r="U417" i="3"/>
  <c r="T422" i="3"/>
  <c r="S427" i="3"/>
  <c r="R432" i="3"/>
  <c r="Q437" i="3"/>
  <c r="P442" i="3"/>
  <c r="O447" i="3"/>
  <c r="N452" i="3"/>
  <c r="X452" i="3" s="1"/>
  <c r="J315" i="3"/>
  <c r="N367" i="3"/>
  <c r="X367" i="3" s="1"/>
  <c r="P380" i="3"/>
  <c r="S393" i="3"/>
  <c r="S406" i="3"/>
  <c r="U419" i="3"/>
  <c r="K433" i="3"/>
  <c r="U444" i="3"/>
  <c r="S454" i="3"/>
  <c r="T460" i="3"/>
  <c r="S465" i="3"/>
  <c r="R470" i="3"/>
  <c r="Q475" i="3"/>
  <c r="P480" i="3"/>
  <c r="O485" i="3"/>
  <c r="N490" i="3"/>
  <c r="X490" i="3" s="1"/>
  <c r="M495" i="3"/>
  <c r="L500" i="3"/>
  <c r="K505" i="3"/>
  <c r="J510" i="3"/>
  <c r="I515" i="3"/>
  <c r="U519" i="3"/>
  <c r="T524" i="3"/>
  <c r="P316" i="3"/>
  <c r="Q367" i="3"/>
  <c r="T380" i="3"/>
  <c r="T393" i="3"/>
  <c r="I407" i="3"/>
  <c r="L420" i="3"/>
  <c r="L433" i="3"/>
  <c r="K445" i="3"/>
  <c r="I455" i="3"/>
  <c r="U460" i="3"/>
  <c r="T465" i="3"/>
  <c r="S470" i="3"/>
  <c r="R475" i="3"/>
  <c r="Q480" i="3"/>
  <c r="P485" i="3"/>
  <c r="O490" i="3"/>
  <c r="N495" i="3"/>
  <c r="X495" i="3" s="1"/>
  <c r="M500" i="3"/>
  <c r="L505" i="3"/>
  <c r="K510" i="3"/>
  <c r="J515" i="3"/>
  <c r="Q219" i="3"/>
  <c r="N364" i="3"/>
  <c r="X364" i="3" s="1"/>
  <c r="S377" i="3"/>
  <c r="S390" i="3"/>
  <c r="U403" i="3"/>
  <c r="K417" i="3"/>
  <c r="K430" i="3"/>
  <c r="U442" i="3"/>
  <c r="K60" i="3"/>
  <c r="L184" i="3"/>
  <c r="N337" i="3"/>
  <c r="X337" i="3" s="1"/>
  <c r="N250" i="3"/>
  <c r="X250" i="3" s="1"/>
  <c r="L338" i="3"/>
  <c r="O312" i="3"/>
  <c r="O293" i="3"/>
  <c r="O317" i="3"/>
  <c r="K337" i="3"/>
  <c r="I271" i="3"/>
  <c r="I325" i="3"/>
  <c r="R355" i="3"/>
  <c r="K254" i="3"/>
  <c r="Q295" i="3"/>
  <c r="P333" i="3"/>
  <c r="O351" i="3"/>
  <c r="O234" i="3"/>
  <c r="P292" i="3"/>
  <c r="P325" i="3"/>
  <c r="J349" i="3"/>
  <c r="L363" i="3"/>
  <c r="T262" i="3"/>
  <c r="I301" i="3"/>
  <c r="T337" i="3"/>
  <c r="O353" i="3"/>
  <c r="N252" i="3"/>
  <c r="X252" i="3" s="1"/>
  <c r="U297" i="3"/>
  <c r="R330" i="3"/>
  <c r="Q263" i="3"/>
  <c r="R304" i="3"/>
  <c r="T336" i="3"/>
  <c r="Q353" i="3"/>
  <c r="O261" i="3"/>
  <c r="O298" i="3"/>
  <c r="U332" i="3"/>
  <c r="J353" i="3"/>
  <c r="T356" i="3"/>
  <c r="O372" i="3"/>
  <c r="Q386" i="3"/>
  <c r="U398" i="3"/>
  <c r="T411" i="3"/>
  <c r="I426" i="3"/>
  <c r="M438" i="3"/>
  <c r="L451" i="3"/>
  <c r="U352" i="3"/>
  <c r="S370" i="3"/>
  <c r="R383" i="3"/>
  <c r="T397" i="3"/>
  <c r="K410" i="3"/>
  <c r="J423" i="3"/>
  <c r="L437" i="3"/>
  <c r="P449" i="3"/>
  <c r="L337" i="3"/>
  <c r="Q369" i="3"/>
  <c r="U381" i="3"/>
  <c r="T394" i="3"/>
  <c r="I409" i="3"/>
  <c r="O419" i="3"/>
  <c r="O427" i="3"/>
  <c r="N432" i="3"/>
  <c r="X432" i="3" s="1"/>
  <c r="M437" i="3"/>
  <c r="L442" i="3"/>
  <c r="K447" i="3"/>
  <c r="J452" i="3"/>
  <c r="N205" i="3"/>
  <c r="X205" i="3" s="1"/>
  <c r="T342" i="3"/>
  <c r="S359" i="3"/>
  <c r="I366" i="3"/>
  <c r="U370" i="3"/>
  <c r="T375" i="3"/>
  <c r="S380" i="3"/>
  <c r="R385" i="3"/>
  <c r="Q390" i="3"/>
  <c r="P395" i="3"/>
  <c r="O400" i="3"/>
  <c r="N405" i="3"/>
  <c r="M410" i="3"/>
  <c r="L415" i="3"/>
  <c r="K420" i="3"/>
  <c r="J425" i="3"/>
  <c r="I430" i="3"/>
  <c r="U434" i="3"/>
  <c r="T439" i="3"/>
  <c r="L318" i="3"/>
  <c r="S356" i="3"/>
  <c r="K364" i="3"/>
  <c r="M369" i="3"/>
  <c r="L374" i="3"/>
  <c r="K379" i="3"/>
  <c r="J384" i="3"/>
  <c r="I389" i="3"/>
  <c r="U393" i="3"/>
  <c r="T398" i="3"/>
  <c r="S403" i="3"/>
  <c r="R408" i="3"/>
  <c r="Q413" i="3"/>
  <c r="P418" i="3"/>
  <c r="O423" i="3"/>
  <c r="N428" i="3"/>
  <c r="X428" i="3" s="1"/>
  <c r="M433" i="3"/>
  <c r="L438" i="3"/>
  <c r="K443" i="3"/>
  <c r="J448" i="3"/>
  <c r="I453" i="3"/>
  <c r="U340" i="3"/>
  <c r="K369" i="3"/>
  <c r="K382" i="3"/>
  <c r="M395" i="3"/>
  <c r="P408" i="3"/>
  <c r="P421" i="3"/>
  <c r="R434" i="3"/>
  <c r="K446" i="3"/>
  <c r="I456" i="3"/>
  <c r="O461" i="3"/>
  <c r="N466" i="3"/>
  <c r="X466" i="3" s="1"/>
  <c r="M471" i="3"/>
  <c r="L476" i="3"/>
  <c r="K481" i="3"/>
  <c r="J486" i="3"/>
  <c r="I491" i="3"/>
  <c r="U495" i="3"/>
  <c r="T500" i="3"/>
  <c r="S505" i="3"/>
  <c r="R510" i="3"/>
  <c r="Q515" i="3"/>
  <c r="P520" i="3"/>
  <c r="O525" i="3"/>
  <c r="N343" i="3"/>
  <c r="L369" i="3"/>
  <c r="N382" i="3"/>
  <c r="X382" i="3" s="1"/>
  <c r="Q395" i="3"/>
  <c r="Q408" i="3"/>
  <c r="S421" i="3"/>
  <c r="I435" i="3"/>
  <c r="N446" i="3"/>
  <c r="J456" i="3"/>
  <c r="P461" i="3"/>
  <c r="O466" i="3"/>
  <c r="N471" i="3"/>
  <c r="X471" i="3" s="1"/>
  <c r="M476" i="3"/>
  <c r="L481" i="3"/>
  <c r="K486" i="3"/>
  <c r="J491" i="3"/>
  <c r="I496" i="3"/>
  <c r="U500" i="3"/>
  <c r="T505" i="3"/>
  <c r="S510" i="3"/>
  <c r="R515" i="3"/>
  <c r="R288" i="3"/>
  <c r="K366" i="3"/>
  <c r="M379" i="3"/>
  <c r="P392" i="3"/>
  <c r="P405" i="3"/>
  <c r="R418" i="3"/>
  <c r="U431" i="3"/>
  <c r="K444" i="3"/>
  <c r="I454" i="3"/>
  <c r="N460" i="3"/>
  <c r="X460" i="3" s="1"/>
  <c r="M465" i="3"/>
  <c r="L470" i="3"/>
  <c r="K475" i="3"/>
  <c r="J480" i="3"/>
  <c r="I485" i="3"/>
  <c r="U489" i="3"/>
  <c r="T494" i="3"/>
  <c r="S499" i="3"/>
  <c r="R504" i="3"/>
  <c r="Q509" i="3"/>
  <c r="P514" i="3"/>
  <c r="O519" i="3"/>
  <c r="S195" i="3"/>
  <c r="I273" i="3"/>
  <c r="L294" i="3"/>
  <c r="K261" i="3"/>
  <c r="T304" i="3"/>
  <c r="Q426" i="3"/>
  <c r="U424" i="3"/>
  <c r="J420" i="3"/>
  <c r="K346" i="3"/>
  <c r="K396" i="3"/>
  <c r="P435" i="3"/>
  <c r="R384" i="3"/>
  <c r="J424" i="3"/>
  <c r="R370" i="3"/>
  <c r="J462" i="3"/>
  <c r="O501" i="3"/>
  <c r="I384" i="3"/>
  <c r="J467" i="3"/>
  <c r="O506" i="3"/>
  <c r="M420" i="3"/>
  <c r="U465" i="3"/>
  <c r="Q485" i="3"/>
  <c r="J504" i="3"/>
  <c r="U513" i="3"/>
  <c r="M521" i="3"/>
  <c r="N366" i="3"/>
  <c r="X366" i="3" s="1"/>
  <c r="Q379" i="3"/>
  <c r="Q392" i="3"/>
  <c r="S405" i="3"/>
  <c r="I419" i="3"/>
  <c r="I432" i="3"/>
  <c r="L444" i="3"/>
  <c r="J454" i="3"/>
  <c r="O460" i="3"/>
  <c r="N465" i="3"/>
  <c r="X465" i="3" s="1"/>
  <c r="M470" i="3"/>
  <c r="L475" i="3"/>
  <c r="K480" i="3"/>
  <c r="J485" i="3"/>
  <c r="I490" i="3"/>
  <c r="U494" i="3"/>
  <c r="T499" i="3"/>
  <c r="S504" i="3"/>
  <c r="R509" i="3"/>
  <c r="Q514" i="3"/>
  <c r="T329" i="3"/>
  <c r="L368" i="3"/>
  <c r="O381" i="3"/>
  <c r="O394" i="3"/>
  <c r="Q407" i="3"/>
  <c r="T420" i="3"/>
  <c r="T433" i="3"/>
  <c r="P445" i="3"/>
  <c r="N455" i="3"/>
  <c r="K461" i="3"/>
  <c r="J466" i="3"/>
  <c r="I471" i="3"/>
  <c r="U475" i="3"/>
  <c r="T480" i="3"/>
  <c r="S485" i="3"/>
  <c r="R490" i="3"/>
  <c r="Q495" i="3"/>
  <c r="S346" i="3"/>
  <c r="J370" i="3"/>
  <c r="M383" i="3"/>
  <c r="M396" i="3"/>
  <c r="O409" i="3"/>
  <c r="R422" i="3"/>
  <c r="R435" i="3"/>
  <c r="I447" i="3"/>
  <c r="Q456" i="3"/>
  <c r="T461" i="3"/>
  <c r="S466" i="3"/>
  <c r="R471" i="3"/>
  <c r="Q476" i="3"/>
  <c r="P481" i="3"/>
  <c r="O486" i="3"/>
  <c r="N491" i="3"/>
  <c r="M496" i="3"/>
  <c r="L501" i="3"/>
  <c r="K506" i="3"/>
  <c r="K354" i="3"/>
  <c r="U371" i="3"/>
  <c r="K385" i="3"/>
  <c r="K398" i="3"/>
  <c r="M411" i="3"/>
  <c r="P424" i="3"/>
  <c r="P437" i="3"/>
  <c r="O448" i="3"/>
  <c r="Q457" i="3"/>
  <c r="M431" i="3"/>
  <c r="S471" i="3"/>
  <c r="O491" i="3"/>
  <c r="T506" i="3"/>
  <c r="K517" i="3"/>
  <c r="T523" i="3"/>
  <c r="M529" i="3"/>
  <c r="L534" i="3"/>
  <c r="K539" i="3"/>
  <c r="J544" i="3"/>
  <c r="I549" i="3"/>
  <c r="U553" i="3"/>
  <c r="T558" i="3"/>
  <c r="S563" i="3"/>
  <c r="R568" i="3"/>
  <c r="Q573" i="3"/>
  <c r="P578" i="3"/>
  <c r="O583" i="3"/>
  <c r="N588" i="3"/>
  <c r="M593" i="3"/>
  <c r="L598" i="3"/>
  <c r="K603" i="3"/>
  <c r="J608" i="3"/>
  <c r="I613" i="3"/>
  <c r="U617" i="3"/>
  <c r="M367" i="3"/>
  <c r="P459" i="3"/>
  <c r="L479" i="3"/>
  <c r="T498" i="3"/>
  <c r="J511" i="3"/>
  <c r="J382" i="3"/>
  <c r="P462" i="3"/>
  <c r="L482" i="3"/>
  <c r="R500" i="3"/>
  <c r="N512" i="3"/>
  <c r="J521" i="3"/>
  <c r="T526" i="3"/>
  <c r="U531" i="3"/>
  <c r="T536" i="3"/>
  <c r="S541" i="3"/>
  <c r="R546" i="3"/>
  <c r="Q551" i="3"/>
  <c r="P556" i="3"/>
  <c r="O561" i="3"/>
  <c r="N566" i="3"/>
  <c r="X566" i="3" s="1"/>
  <c r="M571" i="3"/>
  <c r="L576" i="3"/>
  <c r="K581" i="3"/>
  <c r="J586" i="3"/>
  <c r="I591" i="3"/>
  <c r="U595" i="3"/>
  <c r="T600" i="3"/>
  <c r="S605" i="3"/>
  <c r="R610" i="3"/>
  <c r="Q615" i="3"/>
  <c r="P620" i="3"/>
  <c r="T409" i="3"/>
  <c r="P467" i="3"/>
  <c r="L487" i="3"/>
  <c r="L504" i="3"/>
  <c r="U514" i="3"/>
  <c r="R522" i="3"/>
  <c r="M528" i="3"/>
  <c r="L533" i="3"/>
  <c r="K538" i="3"/>
  <c r="J543" i="3"/>
  <c r="I548" i="3"/>
  <c r="U552" i="3"/>
  <c r="T557" i="3"/>
  <c r="S562" i="3"/>
  <c r="R567" i="3"/>
  <c r="Q572" i="3"/>
  <c r="P577" i="3"/>
  <c r="O582" i="3"/>
  <c r="N587" i="3"/>
  <c r="M592" i="3"/>
  <c r="L597" i="3"/>
  <c r="K602" i="3"/>
  <c r="J607" i="3"/>
  <c r="I612" i="3"/>
  <c r="U616" i="3"/>
  <c r="T621" i="3"/>
  <c r="Q424" i="3"/>
  <c r="P470" i="3"/>
  <c r="L490" i="3"/>
  <c r="J506" i="3"/>
  <c r="P516" i="3"/>
  <c r="O523" i="3"/>
  <c r="I529" i="3"/>
  <c r="U533" i="3"/>
  <c r="T538" i="3"/>
  <c r="S543" i="3"/>
  <c r="R548" i="3"/>
  <c r="Q553" i="3"/>
  <c r="P558" i="3"/>
  <c r="O563" i="3"/>
  <c r="N568" i="3"/>
  <c r="X568" i="3" s="1"/>
  <c r="M573" i="3"/>
  <c r="L578" i="3"/>
  <c r="K583" i="3"/>
  <c r="J588" i="3"/>
  <c r="I593" i="3"/>
  <c r="U597" i="3"/>
  <c r="M403" i="3"/>
  <c r="M466" i="3"/>
  <c r="I486" i="3"/>
  <c r="L503" i="3"/>
  <c r="M514" i="3"/>
  <c r="M522" i="3"/>
  <c r="I528" i="3"/>
  <c r="U532" i="3"/>
  <c r="T537" i="3"/>
  <c r="S542" i="3"/>
  <c r="R547" i="3"/>
  <c r="Q552" i="3"/>
  <c r="P557" i="3"/>
  <c r="O562" i="3"/>
  <c r="N567" i="3"/>
  <c r="X567" i="3" s="1"/>
  <c r="M572" i="3"/>
  <c r="L577" i="3"/>
  <c r="K582" i="3"/>
  <c r="J587" i="3"/>
  <c r="I592" i="3"/>
  <c r="U596" i="3"/>
  <c r="T601" i="3"/>
  <c r="S606" i="3"/>
  <c r="R611" i="3"/>
  <c r="Q616" i="3"/>
  <c r="P621" i="3"/>
  <c r="I478" i="3"/>
  <c r="L523" i="3"/>
  <c r="J537" i="3"/>
  <c r="J550" i="3"/>
  <c r="L563" i="3"/>
  <c r="O576" i="3"/>
  <c r="O589" i="3"/>
  <c r="L602" i="3"/>
  <c r="J612" i="3"/>
  <c r="U621" i="3"/>
  <c r="M627" i="3"/>
  <c r="L632" i="3"/>
  <c r="K637" i="3"/>
  <c r="J642" i="3"/>
  <c r="I647" i="3"/>
  <c r="U651" i="3"/>
  <c r="T656" i="3"/>
  <c r="M342" i="3"/>
  <c r="S326" i="3"/>
  <c r="U331" i="3"/>
  <c r="R299" i="3"/>
  <c r="J337" i="3"/>
  <c r="S440" i="3"/>
  <c r="T437" i="3"/>
  <c r="J428" i="3"/>
  <c r="P360" i="3"/>
  <c r="J401" i="3"/>
  <c r="O440" i="3"/>
  <c r="Q389" i="3"/>
  <c r="I429" i="3"/>
  <c r="U383" i="3"/>
  <c r="I467" i="3"/>
  <c r="N506" i="3"/>
  <c r="X506" i="3" s="1"/>
  <c r="K397" i="3"/>
  <c r="I472" i="3"/>
  <c r="N511" i="3"/>
  <c r="X511" i="3" s="1"/>
  <c r="O433" i="3"/>
  <c r="Q469" i="3"/>
  <c r="M489" i="3"/>
  <c r="M505" i="3"/>
  <c r="K515" i="3"/>
  <c r="O290" i="3"/>
  <c r="I368" i="3"/>
  <c r="K381" i="3"/>
  <c r="N394" i="3"/>
  <c r="X394" i="3" s="1"/>
  <c r="N407" i="3"/>
  <c r="X407" i="3" s="1"/>
  <c r="P420" i="3"/>
  <c r="S433" i="3"/>
  <c r="O445" i="3"/>
  <c r="M455" i="3"/>
  <c r="J461" i="3"/>
  <c r="I466" i="3"/>
  <c r="U470" i="3"/>
  <c r="T475" i="3"/>
  <c r="S480" i="3"/>
  <c r="R485" i="3"/>
  <c r="Q490" i="3"/>
  <c r="P495" i="3"/>
  <c r="O500" i="3"/>
  <c r="N505" i="3"/>
  <c r="X505" i="3" s="1"/>
  <c r="M510" i="3"/>
  <c r="L515" i="3"/>
  <c r="N346" i="3"/>
  <c r="T369" i="3"/>
  <c r="I383" i="3"/>
  <c r="L396" i="3"/>
  <c r="L409" i="3"/>
  <c r="N422" i="3"/>
  <c r="X422" i="3" s="1"/>
  <c r="Q435" i="3"/>
  <c r="S446" i="3"/>
  <c r="P456" i="3"/>
  <c r="S461" i="3"/>
  <c r="R466" i="3"/>
  <c r="Q471" i="3"/>
  <c r="P476" i="3"/>
  <c r="O481" i="3"/>
  <c r="N486" i="3"/>
  <c r="X486" i="3" s="1"/>
  <c r="M491" i="3"/>
  <c r="L496" i="3"/>
  <c r="S353" i="3"/>
  <c r="R371" i="3"/>
  <c r="T384" i="3"/>
  <c r="J398" i="3"/>
  <c r="J411" i="3"/>
  <c r="L424" i="3"/>
  <c r="O437" i="3"/>
  <c r="L448" i="3"/>
  <c r="O457" i="3"/>
  <c r="O462" i="3"/>
  <c r="N467" i="3"/>
  <c r="M472" i="3"/>
  <c r="L477" i="3"/>
  <c r="K482" i="3"/>
  <c r="J487" i="3"/>
  <c r="I492" i="3"/>
  <c r="U496" i="3"/>
  <c r="T501" i="3"/>
  <c r="S506" i="3"/>
  <c r="J359" i="3"/>
  <c r="P373" i="3"/>
  <c r="R386" i="3"/>
  <c r="U399" i="3"/>
  <c r="U412" i="3"/>
  <c r="J426" i="3"/>
  <c r="M439" i="3"/>
  <c r="R449" i="3"/>
  <c r="L458" i="3"/>
  <c r="Q443" i="3"/>
  <c r="L474" i="3"/>
  <c r="U493" i="3"/>
  <c r="P508" i="3"/>
  <c r="M518" i="3"/>
  <c r="P524" i="3"/>
  <c r="U529" i="3"/>
  <c r="T534" i="3"/>
  <c r="S539" i="3"/>
  <c r="R544" i="3"/>
  <c r="Q549" i="3"/>
  <c r="P554" i="3"/>
  <c r="O559" i="3"/>
  <c r="N564" i="3"/>
  <c r="X564" i="3" s="1"/>
  <c r="M569" i="3"/>
  <c r="L574" i="3"/>
  <c r="K579" i="3"/>
  <c r="J584" i="3"/>
  <c r="I589" i="3"/>
  <c r="U593" i="3"/>
  <c r="T598" i="3"/>
  <c r="S603" i="3"/>
  <c r="R608" i="3"/>
  <c r="Q613" i="3"/>
  <c r="P618" i="3"/>
  <c r="M380" i="3"/>
  <c r="I462" i="3"/>
  <c r="R481" i="3"/>
  <c r="P500" i="3"/>
  <c r="M512" i="3"/>
  <c r="J395" i="3"/>
  <c r="I465" i="3"/>
  <c r="R484" i="3"/>
  <c r="N502" i="3"/>
  <c r="X502" i="3" s="1"/>
  <c r="Q513" i="3"/>
  <c r="U521" i="3"/>
  <c r="P527" i="3"/>
  <c r="P532" i="3"/>
  <c r="O537" i="3"/>
  <c r="N542" i="3"/>
  <c r="M547" i="3"/>
  <c r="L552" i="3"/>
  <c r="K557" i="3"/>
  <c r="J562" i="3"/>
  <c r="I567" i="3"/>
  <c r="U571" i="3"/>
  <c r="T576" i="3"/>
  <c r="S581" i="3"/>
  <c r="R586" i="3"/>
  <c r="Q591" i="3"/>
  <c r="P596" i="3"/>
  <c r="O601" i="3"/>
  <c r="N606" i="3"/>
  <c r="X606" i="3" s="1"/>
  <c r="M611" i="3"/>
  <c r="L616" i="3"/>
  <c r="K621" i="3"/>
  <c r="I423" i="3"/>
  <c r="I470" i="3"/>
  <c r="R489" i="3"/>
  <c r="R505" i="3"/>
  <c r="K516" i="3"/>
  <c r="N523" i="3"/>
  <c r="X523" i="3" s="1"/>
  <c r="U528" i="3"/>
  <c r="T533" i="3"/>
  <c r="S538" i="3"/>
  <c r="R543" i="3"/>
  <c r="Q548" i="3"/>
  <c r="P553" i="3"/>
  <c r="O558" i="3"/>
  <c r="N563" i="3"/>
  <c r="X563" i="3" s="1"/>
  <c r="M568" i="3"/>
  <c r="L573" i="3"/>
  <c r="K578" i="3"/>
  <c r="J583" i="3"/>
  <c r="I588" i="3"/>
  <c r="U592" i="3"/>
  <c r="T597" i="3"/>
  <c r="S602" i="3"/>
  <c r="R607" i="3"/>
  <c r="Q612" i="3"/>
  <c r="P617" i="3"/>
  <c r="O622" i="3"/>
  <c r="S437" i="3"/>
  <c r="I473" i="3"/>
  <c r="R492" i="3"/>
  <c r="P507" i="3"/>
  <c r="S517" i="3"/>
  <c r="K524" i="3"/>
  <c r="Q529" i="3"/>
  <c r="P534" i="3"/>
  <c r="O539" i="3"/>
  <c r="N544" i="3"/>
  <c r="X544" i="3" s="1"/>
  <c r="M549" i="3"/>
  <c r="L554" i="3"/>
  <c r="K559" i="3"/>
  <c r="J564" i="3"/>
  <c r="I569" i="3"/>
  <c r="U573" i="3"/>
  <c r="T578" i="3"/>
  <c r="S583" i="3"/>
  <c r="R588" i="3"/>
  <c r="Q593" i="3"/>
  <c r="P598" i="3"/>
  <c r="P416" i="3"/>
  <c r="S468" i="3"/>
  <c r="O488" i="3"/>
  <c r="I505" i="3"/>
  <c r="P515" i="3"/>
  <c r="J523" i="3"/>
  <c r="Q528" i="3"/>
  <c r="P533" i="3"/>
  <c r="O538" i="3"/>
  <c r="N543" i="3"/>
  <c r="X543" i="3" s="1"/>
  <c r="M548" i="3"/>
  <c r="L553" i="3"/>
  <c r="K558" i="3"/>
  <c r="J563" i="3"/>
  <c r="I568" i="3"/>
  <c r="U572" i="3"/>
  <c r="T577" i="3"/>
  <c r="S582" i="3"/>
  <c r="R587" i="3"/>
  <c r="Q592" i="3"/>
  <c r="P597" i="3"/>
  <c r="O602" i="3"/>
  <c r="N607" i="3"/>
  <c r="X607" i="3" s="1"/>
  <c r="M612" i="3"/>
  <c r="L617" i="3"/>
  <c r="K622" i="3"/>
  <c r="T487" i="3"/>
  <c r="J525" i="3"/>
  <c r="Q538" i="3"/>
  <c r="T551" i="3"/>
  <c r="T564" i="3"/>
  <c r="I578" i="3"/>
  <c r="L591" i="3"/>
  <c r="O603" i="3"/>
  <c r="M613" i="3"/>
  <c r="T622" i="3"/>
  <c r="U627" i="3"/>
  <c r="T632" i="3"/>
  <c r="S637" i="3"/>
  <c r="R642" i="3"/>
  <c r="Q647" i="3"/>
  <c r="P652" i="3"/>
  <c r="O657" i="3"/>
  <c r="N662" i="3"/>
  <c r="X662" i="3" s="1"/>
  <c r="M667" i="3"/>
  <c r="L672" i="3"/>
  <c r="K677" i="3"/>
  <c r="J682" i="3"/>
  <c r="I687" i="3"/>
  <c r="U691" i="3"/>
  <c r="T696" i="3"/>
  <c r="S701" i="3"/>
  <c r="R706" i="3"/>
  <c r="T504" i="3"/>
  <c r="J529" i="3"/>
  <c r="J542" i="3"/>
  <c r="L555" i="3"/>
  <c r="O568" i="3"/>
  <c r="O581" i="3"/>
  <c r="Q594" i="3"/>
  <c r="I606" i="3"/>
  <c r="T615" i="3"/>
  <c r="M624" i="3"/>
  <c r="L629" i="3"/>
  <c r="K634" i="3"/>
  <c r="J639" i="3"/>
  <c r="I644" i="3"/>
  <c r="U648" i="3"/>
  <c r="T653" i="3"/>
  <c r="S658" i="3"/>
  <c r="R663" i="3"/>
  <c r="Q668" i="3"/>
  <c r="P673" i="3"/>
  <c r="O678" i="3"/>
  <c r="N683" i="3"/>
  <c r="X683" i="3" s="1"/>
  <c r="M688" i="3"/>
  <c r="L693" i="3"/>
  <c r="K698" i="3"/>
  <c r="J703" i="3"/>
  <c r="S460" i="3"/>
  <c r="S519" i="3"/>
  <c r="J534" i="3"/>
  <c r="L547" i="3"/>
  <c r="O560" i="3"/>
  <c r="O573" i="3"/>
  <c r="Q586" i="3"/>
  <c r="T599" i="3"/>
  <c r="S609" i="3"/>
  <c r="Q619" i="3"/>
  <c r="L626" i="3"/>
  <c r="K631" i="3"/>
  <c r="J636" i="3"/>
  <c r="I641" i="3"/>
  <c r="U645" i="3"/>
  <c r="T650" i="3"/>
  <c r="S655" i="3"/>
  <c r="R660" i="3"/>
  <c r="Q665" i="3"/>
  <c r="P670" i="3"/>
  <c r="O675" i="3"/>
  <c r="N680" i="3"/>
  <c r="X680" i="3" s="1"/>
  <c r="M685" i="3"/>
  <c r="L690" i="3"/>
  <c r="K695" i="3"/>
  <c r="J700" i="3"/>
  <c r="I705" i="3"/>
  <c r="U499" i="3"/>
  <c r="S527" i="3"/>
  <c r="T540" i="3"/>
  <c r="I554" i="3"/>
  <c r="L567" i="3"/>
  <c r="L580" i="3"/>
  <c r="N593" i="3"/>
  <c r="J605" i="3"/>
  <c r="U614" i="3"/>
  <c r="T623" i="3"/>
  <c r="S628" i="3"/>
  <c r="R633" i="3"/>
  <c r="Q638" i="3"/>
  <c r="P643" i="3"/>
  <c r="O648" i="3"/>
  <c r="N653" i="3"/>
  <c r="X653" i="3" s="1"/>
  <c r="M658" i="3"/>
  <c r="L663" i="3"/>
  <c r="K668" i="3"/>
  <c r="J673" i="3"/>
  <c r="I678" i="3"/>
  <c r="U682" i="3"/>
  <c r="T687" i="3"/>
  <c r="S692" i="3"/>
  <c r="R697" i="3"/>
  <c r="Q702" i="3"/>
  <c r="N439" i="3"/>
  <c r="X439" i="3" s="1"/>
  <c r="T517" i="3"/>
  <c r="T532" i="3"/>
  <c r="I546" i="3"/>
  <c r="L559" i="3"/>
  <c r="L572" i="3"/>
  <c r="N585" i="3"/>
  <c r="X585" i="3" s="1"/>
  <c r="Q598" i="3"/>
  <c r="I609" i="3"/>
  <c r="T618" i="3"/>
  <c r="S625" i="3"/>
  <c r="R630" i="3"/>
  <c r="Q635" i="3"/>
  <c r="P640" i="3"/>
  <c r="O645" i="3"/>
  <c r="N650" i="3"/>
  <c r="X650" i="3" s="1"/>
  <c r="K259" i="3"/>
  <c r="M356" i="3"/>
  <c r="U350" i="3"/>
  <c r="R336" i="3"/>
  <c r="R353" i="3"/>
  <c r="J453" i="3"/>
  <c r="I452" i="3"/>
  <c r="I433" i="3"/>
  <c r="Q366" i="3"/>
  <c r="I406" i="3"/>
  <c r="M331" i="3"/>
  <c r="P394" i="3"/>
  <c r="U433" i="3"/>
  <c r="U396" i="3"/>
  <c r="U471" i="3"/>
  <c r="M511" i="3"/>
  <c r="N410" i="3"/>
  <c r="X410" i="3" s="1"/>
  <c r="U476" i="3"/>
  <c r="M516" i="3"/>
  <c r="N445" i="3"/>
  <c r="X445" i="3" s="1"/>
  <c r="T470" i="3"/>
  <c r="P490" i="3"/>
  <c r="S507" i="3"/>
  <c r="N516" i="3"/>
  <c r="X516" i="3" s="1"/>
  <c r="J328" i="3"/>
  <c r="S369" i="3"/>
  <c r="S382" i="3"/>
  <c r="U395" i="3"/>
  <c r="K409" i="3"/>
  <c r="K422" i="3"/>
  <c r="M435" i="3"/>
  <c r="R446" i="3"/>
  <c r="O456" i="3"/>
  <c r="R461" i="3"/>
  <c r="Q466" i="3"/>
  <c r="P471" i="3"/>
  <c r="O476" i="3"/>
  <c r="N481" i="3"/>
  <c r="X481" i="3" s="1"/>
  <c r="M486" i="3"/>
  <c r="L491" i="3"/>
  <c r="K496" i="3"/>
  <c r="J501" i="3"/>
  <c r="I506" i="3"/>
  <c r="U510" i="3"/>
  <c r="T515" i="3"/>
  <c r="P352" i="3"/>
  <c r="Q371" i="3"/>
  <c r="Q384" i="3"/>
  <c r="S397" i="3"/>
  <c r="I411" i="3"/>
  <c r="I424" i="3"/>
  <c r="K437" i="3"/>
  <c r="I448" i="3"/>
  <c r="M457" i="3"/>
  <c r="N462" i="3"/>
  <c r="X462" i="3" s="1"/>
  <c r="M467" i="3"/>
  <c r="L472" i="3"/>
  <c r="K477" i="3"/>
  <c r="J482" i="3"/>
  <c r="I487" i="3"/>
  <c r="U491" i="3"/>
  <c r="T496" i="3"/>
  <c r="Q358" i="3"/>
  <c r="O373" i="3"/>
  <c r="O386" i="3"/>
  <c r="Q399" i="3"/>
  <c r="T412" i="3"/>
  <c r="T425" i="3"/>
  <c r="I439" i="3"/>
  <c r="O449" i="3"/>
  <c r="K458" i="3"/>
  <c r="J463" i="3"/>
  <c r="I468" i="3"/>
  <c r="U472" i="3"/>
  <c r="T477" i="3"/>
  <c r="S482" i="3"/>
  <c r="R487" i="3"/>
  <c r="Q492" i="3"/>
  <c r="P497" i="3"/>
  <c r="O502" i="3"/>
  <c r="N507" i="3"/>
  <c r="X507" i="3" s="1"/>
  <c r="J361" i="3"/>
  <c r="M375" i="3"/>
  <c r="M388" i="3"/>
  <c r="O401" i="3"/>
  <c r="R414" i="3"/>
  <c r="R427" i="3"/>
  <c r="T440" i="3"/>
  <c r="U450" i="3"/>
  <c r="J275" i="3"/>
  <c r="O453" i="3"/>
  <c r="R476" i="3"/>
  <c r="N496" i="3"/>
  <c r="S509" i="3"/>
  <c r="K519" i="3"/>
  <c r="L525" i="3"/>
  <c r="P530" i="3"/>
  <c r="O535" i="3"/>
  <c r="N540" i="3"/>
  <c r="X540" i="3" s="1"/>
  <c r="M545" i="3"/>
  <c r="L550" i="3"/>
  <c r="K555" i="3"/>
  <c r="J560" i="3"/>
  <c r="I565" i="3"/>
  <c r="U569" i="3"/>
  <c r="T574" i="3"/>
  <c r="S579" i="3"/>
  <c r="R584" i="3"/>
  <c r="Q589" i="3"/>
  <c r="P594" i="3"/>
  <c r="O599" i="3"/>
  <c r="N604" i="3"/>
  <c r="X604" i="3" s="1"/>
  <c r="M609" i="3"/>
  <c r="L614" i="3"/>
  <c r="K619" i="3"/>
  <c r="O393" i="3"/>
  <c r="O464" i="3"/>
  <c r="K484" i="3"/>
  <c r="I502" i="3"/>
  <c r="P513" i="3"/>
  <c r="L408" i="3"/>
  <c r="O467" i="3"/>
  <c r="K487" i="3"/>
  <c r="T503" i="3"/>
  <c r="T514" i="3"/>
  <c r="Q522" i="3"/>
  <c r="L528" i="3"/>
  <c r="K533" i="3"/>
  <c r="J538" i="3"/>
  <c r="I543" i="3"/>
  <c r="U547" i="3"/>
  <c r="T552" i="3"/>
  <c r="S557" i="3"/>
  <c r="R562" i="3"/>
  <c r="Q567" i="3"/>
  <c r="P572" i="3"/>
  <c r="O577" i="3"/>
  <c r="N582" i="3"/>
  <c r="X582" i="3" s="1"/>
  <c r="M587" i="3"/>
  <c r="L592" i="3"/>
  <c r="K597" i="3"/>
  <c r="J602" i="3"/>
  <c r="I607" i="3"/>
  <c r="U611" i="3"/>
  <c r="T616" i="3"/>
  <c r="S621" i="3"/>
  <c r="L436" i="3"/>
  <c r="O472" i="3"/>
  <c r="K492" i="3"/>
  <c r="O507" i="3"/>
  <c r="N517" i="3"/>
  <c r="X517" i="3" s="1"/>
  <c r="J524" i="3"/>
  <c r="P529" i="3"/>
  <c r="O534" i="3"/>
  <c r="N539" i="3"/>
  <c r="X539" i="3" s="1"/>
  <c r="M544" i="3"/>
  <c r="L549" i="3"/>
  <c r="K554" i="3"/>
  <c r="J559" i="3"/>
  <c r="I564" i="3"/>
  <c r="U568" i="3"/>
  <c r="T573" i="3"/>
  <c r="S578" i="3"/>
  <c r="R583" i="3"/>
  <c r="Q588" i="3"/>
  <c r="P593" i="3"/>
  <c r="O598" i="3"/>
  <c r="N603" i="3"/>
  <c r="X603" i="3" s="1"/>
  <c r="M608" i="3"/>
  <c r="L613" i="3"/>
  <c r="K618" i="3"/>
  <c r="J623" i="3"/>
  <c r="P448" i="3"/>
  <c r="O475" i="3"/>
  <c r="K495" i="3"/>
  <c r="K509" i="3"/>
  <c r="Q518" i="3"/>
  <c r="U524" i="3"/>
  <c r="L530" i="3"/>
  <c r="K535" i="3"/>
  <c r="J540" i="3"/>
  <c r="I545" i="3"/>
  <c r="U549" i="3"/>
  <c r="T554" i="3"/>
  <c r="S559" i="3"/>
  <c r="R564" i="3"/>
  <c r="Q569" i="3"/>
  <c r="P574" i="3"/>
  <c r="O579" i="3"/>
  <c r="N584" i="3"/>
  <c r="X584" i="3" s="1"/>
  <c r="M589" i="3"/>
  <c r="L594" i="3"/>
  <c r="K599" i="3"/>
  <c r="P429" i="3"/>
  <c r="L471" i="3"/>
  <c r="U490" i="3"/>
  <c r="R506" i="3"/>
  <c r="S516" i="3"/>
  <c r="S523" i="3"/>
  <c r="L529" i="3"/>
  <c r="K534" i="3"/>
  <c r="J539" i="3"/>
  <c r="I544" i="3"/>
  <c r="U548" i="3"/>
  <c r="T553" i="3"/>
  <c r="S558" i="3"/>
  <c r="R563" i="3"/>
  <c r="Q568" i="3"/>
  <c r="P573" i="3"/>
  <c r="O578" i="3"/>
  <c r="N583" i="3"/>
  <c r="X583" i="3" s="1"/>
  <c r="M588" i="3"/>
  <c r="L593" i="3"/>
  <c r="K598" i="3"/>
  <c r="J603" i="3"/>
  <c r="I608" i="3"/>
  <c r="U612" i="3"/>
  <c r="T617" i="3"/>
  <c r="S622" i="3"/>
  <c r="R497" i="3"/>
  <c r="J527" i="3"/>
  <c r="L540" i="3"/>
  <c r="N553" i="3"/>
  <c r="X553" i="3" s="1"/>
  <c r="Q566" i="3"/>
  <c r="Q579" i="3"/>
  <c r="S592" i="3"/>
  <c r="R604" i="3"/>
  <c r="P614" i="3"/>
  <c r="Q623" i="3"/>
  <c r="P628" i="3"/>
  <c r="O633" i="3"/>
  <c r="N638" i="3"/>
  <c r="X638" i="3" s="1"/>
  <c r="M643" i="3"/>
  <c r="L648" i="3"/>
  <c r="K653" i="3"/>
  <c r="J658" i="3"/>
  <c r="I663" i="3"/>
  <c r="U667" i="3"/>
  <c r="T672" i="3"/>
  <c r="S677" i="3"/>
  <c r="R682" i="3"/>
  <c r="Q687" i="3"/>
  <c r="P692" i="3"/>
  <c r="O697" i="3"/>
  <c r="N702" i="3"/>
  <c r="P361" i="3"/>
  <c r="P510" i="3"/>
  <c r="Q530" i="3"/>
  <c r="T543" i="3"/>
  <c r="T556" i="3"/>
  <c r="I570" i="3"/>
  <c r="L583" i="3"/>
  <c r="L596" i="3"/>
  <c r="L607" i="3"/>
  <c r="J617" i="3"/>
  <c r="U624" i="3"/>
  <c r="T629" i="3"/>
  <c r="S634" i="3"/>
  <c r="R639" i="3"/>
  <c r="Q644" i="3"/>
  <c r="P649" i="3"/>
  <c r="O654" i="3"/>
  <c r="N659" i="3"/>
  <c r="X659" i="3" s="1"/>
  <c r="M664" i="3"/>
  <c r="L669" i="3"/>
  <c r="K674" i="3"/>
  <c r="J679" i="3"/>
  <c r="I684" i="3"/>
  <c r="U688" i="3"/>
  <c r="T693" i="3"/>
  <c r="S698" i="3"/>
  <c r="R703" i="3"/>
  <c r="Q470" i="3"/>
  <c r="T521" i="3"/>
  <c r="T535" i="3"/>
  <c r="T548" i="3"/>
  <c r="I562" i="3"/>
  <c r="L575" i="3"/>
  <c r="L588" i="3"/>
  <c r="K601" i="3"/>
  <c r="I611" i="3"/>
  <c r="T620" i="3"/>
  <c r="T626" i="3"/>
  <c r="S631" i="3"/>
  <c r="R636" i="3"/>
  <c r="Q641" i="3"/>
  <c r="P646" i="3"/>
  <c r="O651" i="3"/>
  <c r="N656" i="3"/>
  <c r="X656" i="3" s="1"/>
  <c r="M661" i="3"/>
  <c r="L666" i="3"/>
  <c r="K671" i="3"/>
  <c r="J676" i="3"/>
  <c r="I681" i="3"/>
  <c r="U685" i="3"/>
  <c r="T690" i="3"/>
  <c r="S695" i="3"/>
  <c r="R700" i="3"/>
  <c r="Q705" i="3"/>
  <c r="M506" i="3"/>
  <c r="N529" i="3"/>
  <c r="Q542" i="3"/>
  <c r="Q555" i="3"/>
  <c r="S568" i="3"/>
  <c r="I582" i="3"/>
  <c r="I595" i="3"/>
  <c r="M606" i="3"/>
  <c r="K616" i="3"/>
  <c r="O624" i="3"/>
  <c r="N629" i="3"/>
  <c r="X629" i="3" s="1"/>
  <c r="M634" i="3"/>
  <c r="L639" i="3"/>
  <c r="K644" i="3"/>
  <c r="J649" i="3"/>
  <c r="I654" i="3"/>
  <c r="U658" i="3"/>
  <c r="T663" i="3"/>
  <c r="S668" i="3"/>
  <c r="R673" i="3"/>
  <c r="Q678" i="3"/>
  <c r="P683" i="3"/>
  <c r="O688" i="3"/>
  <c r="N693" i="3"/>
  <c r="X693" i="3" s="1"/>
  <c r="M698" i="3"/>
  <c r="L703" i="3"/>
  <c r="L463" i="3"/>
  <c r="L520" i="3"/>
  <c r="Q534" i="3"/>
  <c r="Q547" i="3"/>
  <c r="S560" i="3"/>
  <c r="I574" i="3"/>
  <c r="I587" i="3"/>
  <c r="K600" i="3"/>
  <c r="L610" i="3"/>
  <c r="J620" i="3"/>
  <c r="N626" i="3"/>
  <c r="X626" i="3" s="1"/>
  <c r="M631" i="3"/>
  <c r="L636" i="3"/>
  <c r="K641" i="3"/>
  <c r="J646" i="3"/>
  <c r="I651" i="3"/>
  <c r="P342" i="3"/>
  <c r="P264" i="3"/>
  <c r="T363" i="3"/>
  <c r="K270" i="3"/>
  <c r="I361" i="3"/>
  <c r="N355" i="3"/>
  <c r="X355" i="3" s="1"/>
  <c r="L348" i="3"/>
  <c r="U437" i="3"/>
  <c r="P371" i="3"/>
  <c r="U410" i="3"/>
  <c r="O358" i="3"/>
  <c r="O399" i="3"/>
  <c r="T438" i="3"/>
  <c r="J410" i="3"/>
  <c r="T476" i="3"/>
  <c r="L516" i="3"/>
  <c r="N423" i="3"/>
  <c r="X423" i="3" s="1"/>
  <c r="T481" i="3"/>
  <c r="O321" i="3"/>
  <c r="S452" i="3"/>
  <c r="P474" i="3"/>
  <c r="L494" i="3"/>
  <c r="I509" i="3"/>
  <c r="Q517" i="3"/>
  <c r="K345" i="3"/>
  <c r="M371" i="3"/>
  <c r="P384" i="3"/>
  <c r="P397" i="3"/>
  <c r="R410" i="3"/>
  <c r="U423" i="3"/>
  <c r="U436" i="3"/>
  <c r="U447" i="3"/>
  <c r="L457" i="3"/>
  <c r="M462" i="3"/>
  <c r="L467" i="3"/>
  <c r="K472" i="3"/>
  <c r="J477" i="3"/>
  <c r="I482" i="3"/>
  <c r="U486" i="3"/>
  <c r="T491" i="3"/>
  <c r="S496" i="3"/>
  <c r="R501" i="3"/>
  <c r="Q506" i="3"/>
  <c r="P511" i="3"/>
  <c r="O516" i="3"/>
  <c r="J358" i="3"/>
  <c r="K373" i="3"/>
  <c r="N386" i="3"/>
  <c r="N399" i="3"/>
  <c r="X399" i="3" s="1"/>
  <c r="P412" i="3"/>
  <c r="S425" i="3"/>
  <c r="S438" i="3"/>
  <c r="L449" i="3"/>
  <c r="J458" i="3"/>
  <c r="I463" i="3"/>
  <c r="U467" i="3"/>
  <c r="T472" i="3"/>
  <c r="S477" i="3"/>
  <c r="R482" i="3"/>
  <c r="Q487" i="3"/>
  <c r="P492" i="3"/>
  <c r="O497" i="3"/>
  <c r="T360" i="3"/>
  <c r="I375" i="3"/>
  <c r="L388" i="3"/>
  <c r="L401" i="3"/>
  <c r="N414" i="3"/>
  <c r="X414" i="3" s="1"/>
  <c r="Q427" i="3"/>
  <c r="Q440" i="3"/>
  <c r="R450" i="3"/>
  <c r="S458" i="3"/>
  <c r="R463" i="3"/>
  <c r="Q468" i="3"/>
  <c r="P473" i="3"/>
  <c r="O478" i="3"/>
  <c r="N483" i="3"/>
  <c r="X483" i="3" s="1"/>
  <c r="M488" i="3"/>
  <c r="L493" i="3"/>
  <c r="K498" i="3"/>
  <c r="J503" i="3"/>
  <c r="I508" i="3"/>
  <c r="M363" i="3"/>
  <c r="T376" i="3"/>
  <c r="J390" i="3"/>
  <c r="J403" i="3"/>
  <c r="L416" i="3"/>
  <c r="O429" i="3"/>
  <c r="M442" i="3"/>
  <c r="K452" i="3"/>
  <c r="P365" i="3"/>
  <c r="O459" i="3"/>
  <c r="K479" i="3"/>
  <c r="R498" i="3"/>
  <c r="I511" i="3"/>
  <c r="K520" i="3"/>
  <c r="U525" i="3"/>
  <c r="K531" i="3"/>
  <c r="J536" i="3"/>
  <c r="I541" i="3"/>
  <c r="U545" i="3"/>
  <c r="T550" i="3"/>
  <c r="S555" i="3"/>
  <c r="R560" i="3"/>
  <c r="Q565" i="3"/>
  <c r="P570" i="3"/>
  <c r="O575" i="3"/>
  <c r="N580" i="3"/>
  <c r="X580" i="3" s="1"/>
  <c r="M585" i="3"/>
  <c r="L590" i="3"/>
  <c r="K595" i="3"/>
  <c r="J600" i="3"/>
  <c r="I605" i="3"/>
  <c r="U609" i="3"/>
  <c r="T614" i="3"/>
  <c r="S619" i="3"/>
  <c r="R406" i="3"/>
  <c r="U466" i="3"/>
  <c r="Q486" i="3"/>
  <c r="S503" i="3"/>
  <c r="S514" i="3"/>
  <c r="O421" i="3"/>
  <c r="U469" i="3"/>
  <c r="Q489" i="3"/>
  <c r="Q505" i="3"/>
  <c r="J516" i="3"/>
  <c r="M523" i="3"/>
  <c r="T528" i="3"/>
  <c r="S533" i="3"/>
  <c r="R538" i="3"/>
  <c r="Q543" i="3"/>
  <c r="P548" i="3"/>
  <c r="O553" i="3"/>
  <c r="N558" i="3"/>
  <c r="X558" i="3" s="1"/>
  <c r="M563" i="3"/>
  <c r="L568" i="3"/>
  <c r="K573" i="3"/>
  <c r="J578" i="3"/>
  <c r="I583" i="3"/>
  <c r="U587" i="3"/>
  <c r="T592" i="3"/>
  <c r="S597" i="3"/>
  <c r="R602" i="3"/>
  <c r="Q607" i="3"/>
  <c r="P612" i="3"/>
  <c r="O617" i="3"/>
  <c r="N622" i="3"/>
  <c r="X622" i="3" s="1"/>
  <c r="M447" i="3"/>
  <c r="U474" i="3"/>
  <c r="Q494" i="3"/>
  <c r="S508" i="3"/>
  <c r="P518" i="3"/>
  <c r="S524" i="3"/>
  <c r="K530" i="3"/>
  <c r="J535" i="3"/>
  <c r="I540" i="3"/>
  <c r="U544" i="3"/>
  <c r="T549" i="3"/>
  <c r="S554" i="3"/>
  <c r="R559" i="3"/>
  <c r="Q564" i="3"/>
  <c r="P569" i="3"/>
  <c r="O574" i="3"/>
  <c r="N579" i="3"/>
  <c r="X579" i="3" s="1"/>
  <c r="M584" i="3"/>
  <c r="L589" i="3"/>
  <c r="K594" i="3"/>
  <c r="J599" i="3"/>
  <c r="I604" i="3"/>
  <c r="U608" i="3"/>
  <c r="T613" i="3"/>
  <c r="S618" i="3"/>
  <c r="I355" i="3"/>
  <c r="R457" i="3"/>
  <c r="U477" i="3"/>
  <c r="Q497" i="3"/>
  <c r="N510" i="3"/>
  <c r="R519" i="3"/>
  <c r="Q525" i="3"/>
  <c r="T530" i="3"/>
  <c r="S535" i="3"/>
  <c r="R540" i="3"/>
  <c r="Q545" i="3"/>
  <c r="P550" i="3"/>
  <c r="O555" i="3"/>
  <c r="N560" i="3"/>
  <c r="X560" i="3" s="1"/>
  <c r="M565" i="3"/>
  <c r="L570" i="3"/>
  <c r="K575" i="3"/>
  <c r="J580" i="3"/>
  <c r="I585" i="3"/>
  <c r="U589" i="3"/>
  <c r="T594" i="3"/>
  <c r="S599" i="3"/>
  <c r="N442" i="3"/>
  <c r="X442" i="3" s="1"/>
  <c r="R473" i="3"/>
  <c r="N493" i="3"/>
  <c r="X493" i="3" s="1"/>
  <c r="K508" i="3"/>
  <c r="I518" i="3"/>
  <c r="O524" i="3"/>
  <c r="T529" i="3"/>
  <c r="S534" i="3"/>
  <c r="R539" i="3"/>
  <c r="Q544" i="3"/>
  <c r="P549" i="3"/>
  <c r="O554" i="3"/>
  <c r="N559" i="3"/>
  <c r="X559" i="3" s="1"/>
  <c r="M564" i="3"/>
  <c r="L569" i="3"/>
  <c r="K574" i="3"/>
  <c r="J579" i="3"/>
  <c r="I584" i="3"/>
  <c r="U588" i="3"/>
  <c r="T593" i="3"/>
  <c r="S598" i="3"/>
  <c r="R603" i="3"/>
  <c r="Q608" i="3"/>
  <c r="P613" i="3"/>
  <c r="O618" i="3"/>
  <c r="N623" i="3"/>
  <c r="X623" i="3" s="1"/>
  <c r="O504" i="3"/>
  <c r="S528" i="3"/>
  <c r="I542" i="3"/>
  <c r="I555" i="3"/>
  <c r="K568" i="3"/>
  <c r="N581" i="3"/>
  <c r="X581" i="3" s="1"/>
  <c r="N594" i="3"/>
  <c r="X594" i="3" s="1"/>
  <c r="U605" i="3"/>
  <c r="S615" i="3"/>
  <c r="L624" i="3"/>
  <c r="K629" i="3"/>
  <c r="J634" i="3"/>
  <c r="I639" i="3"/>
  <c r="U643" i="3"/>
  <c r="T648" i="3"/>
  <c r="S653" i="3"/>
  <c r="R658" i="3"/>
  <c r="Q663" i="3"/>
  <c r="P668" i="3"/>
  <c r="O673" i="3"/>
  <c r="N678" i="3"/>
  <c r="M683" i="3"/>
  <c r="L688" i="3"/>
  <c r="K693" i="3"/>
  <c r="J698" i="3"/>
  <c r="I703" i="3"/>
  <c r="S414" i="3"/>
  <c r="O515" i="3"/>
  <c r="L532" i="3"/>
  <c r="N545" i="3"/>
  <c r="X545" i="3" s="1"/>
  <c r="Q558" i="3"/>
  <c r="Q571" i="3"/>
  <c r="S584" i="3"/>
  <c r="I598" i="3"/>
  <c r="O608" i="3"/>
  <c r="M618" i="3"/>
  <c r="P625" i="3"/>
  <c r="O630" i="3"/>
  <c r="N635" i="3"/>
  <c r="X635" i="3" s="1"/>
  <c r="M640" i="3"/>
  <c r="L645" i="3"/>
  <c r="K650" i="3"/>
  <c r="J655" i="3"/>
  <c r="I660" i="3"/>
  <c r="U664" i="3"/>
  <c r="T669" i="3"/>
  <c r="S674" i="3"/>
  <c r="R679" i="3"/>
  <c r="Q684" i="3"/>
  <c r="P689" i="3"/>
  <c r="O694" i="3"/>
  <c r="N699" i="3"/>
  <c r="M704" i="3"/>
  <c r="O480" i="3"/>
  <c r="R523" i="3"/>
  <c r="N537" i="3"/>
  <c r="X537" i="3" s="1"/>
  <c r="Q550" i="3"/>
  <c r="Q563" i="3"/>
  <c r="S576" i="3"/>
  <c r="I590" i="3"/>
  <c r="N602" i="3"/>
  <c r="L612" i="3"/>
  <c r="J622" i="3"/>
  <c r="O627" i="3"/>
  <c r="N632" i="3"/>
  <c r="X632" i="3" s="1"/>
  <c r="M637" i="3"/>
  <c r="L642" i="3"/>
  <c r="K647" i="3"/>
  <c r="J652" i="3"/>
  <c r="I657" i="3"/>
  <c r="U661" i="3"/>
  <c r="T666" i="3"/>
  <c r="S671" i="3"/>
  <c r="R676" i="3"/>
  <c r="Q681" i="3"/>
  <c r="P686" i="3"/>
  <c r="O691" i="3"/>
  <c r="N696" i="3"/>
  <c r="X696" i="3" s="1"/>
  <c r="M701" i="3"/>
  <c r="N375" i="3"/>
  <c r="X375" i="3" s="1"/>
  <c r="S511" i="3"/>
  <c r="I531" i="3"/>
  <c r="K544" i="3"/>
  <c r="N557" i="3"/>
  <c r="X557" i="3" s="1"/>
  <c r="N570" i="3"/>
  <c r="X570" i="3" s="1"/>
  <c r="P583" i="3"/>
  <c r="S596" i="3"/>
  <c r="P607" i="3"/>
  <c r="N617" i="3"/>
  <c r="X617" i="3" s="1"/>
  <c r="J625" i="3"/>
  <c r="I630" i="3"/>
  <c r="U634" i="3"/>
  <c r="T639" i="3"/>
  <c r="S644" i="3"/>
  <c r="R649" i="3"/>
  <c r="Q654" i="3"/>
  <c r="P659" i="3"/>
  <c r="O664" i="3"/>
  <c r="N669" i="3"/>
  <c r="X669" i="3" s="1"/>
  <c r="M674" i="3"/>
  <c r="L679" i="3"/>
  <c r="K684" i="3"/>
  <c r="J689" i="3"/>
  <c r="I694" i="3"/>
  <c r="U698" i="3"/>
  <c r="T703" i="3"/>
  <c r="J473" i="3"/>
  <c r="L522" i="3"/>
  <c r="K536" i="3"/>
  <c r="N549" i="3"/>
  <c r="X549" i="3" s="1"/>
  <c r="N562" i="3"/>
  <c r="X562" i="3" s="1"/>
  <c r="P575" i="3"/>
  <c r="S588" i="3"/>
  <c r="Q601" i="3"/>
  <c r="O611" i="3"/>
  <c r="M621" i="3"/>
  <c r="I627" i="3"/>
  <c r="U631" i="3"/>
  <c r="T636" i="3"/>
  <c r="S641" i="3"/>
  <c r="R646" i="3"/>
  <c r="Q651" i="3"/>
  <c r="S316" i="3"/>
  <c r="P300" i="3"/>
  <c r="T271" i="3"/>
  <c r="O306" i="3"/>
  <c r="M374" i="3"/>
  <c r="L373" i="3"/>
  <c r="L370" i="3"/>
  <c r="T442" i="3"/>
  <c r="O376" i="3"/>
  <c r="T415" i="3"/>
  <c r="U364" i="3"/>
  <c r="N404" i="3"/>
  <c r="X404" i="3" s="1"/>
  <c r="S443" i="3"/>
  <c r="M423" i="3"/>
  <c r="S481" i="3"/>
  <c r="K521" i="3"/>
  <c r="P436" i="3"/>
  <c r="S486" i="3"/>
  <c r="U367" i="3"/>
  <c r="L455" i="3"/>
  <c r="S475" i="3"/>
  <c r="O495" i="3"/>
  <c r="L510" i="3"/>
  <c r="L518" i="3"/>
  <c r="R351" i="3"/>
  <c r="J318" i="3"/>
  <c r="U353" i="3"/>
  <c r="J339" i="3"/>
  <c r="O355" i="3"/>
  <c r="N401" i="3"/>
  <c r="X401" i="3" s="1"/>
  <c r="O398" i="3"/>
  <c r="R396" i="3"/>
  <c r="R452" i="3"/>
  <c r="M386" i="3"/>
  <c r="R425" i="3"/>
  <c r="T374" i="3"/>
  <c r="L414" i="3"/>
  <c r="Q453" i="3"/>
  <c r="N447" i="3"/>
  <c r="X447" i="3" s="1"/>
  <c r="Q491" i="3"/>
  <c r="J350" i="3"/>
  <c r="J457" i="3"/>
  <c r="Q496" i="3"/>
  <c r="J394" i="3"/>
  <c r="I461" i="3"/>
  <c r="R480" i="3"/>
  <c r="N500" i="3"/>
  <c r="X500" i="3" s="1"/>
  <c r="R512" i="3"/>
  <c r="J520" i="3"/>
  <c r="M360" i="3"/>
  <c r="L376" i="3"/>
  <c r="O389" i="3"/>
  <c r="O402" i="3"/>
  <c r="Q415" i="3"/>
  <c r="T428" i="3"/>
  <c r="S441" i="3"/>
  <c r="Q451" i="3"/>
  <c r="L459" i="3"/>
  <c r="K464" i="3"/>
  <c r="J469" i="3"/>
  <c r="I474" i="3"/>
  <c r="U478" i="3"/>
  <c r="T483" i="3"/>
  <c r="S488" i="3"/>
  <c r="R493" i="3"/>
  <c r="Q498" i="3"/>
  <c r="P503" i="3"/>
  <c r="O508" i="3"/>
  <c r="N513" i="3"/>
  <c r="X513" i="3" s="1"/>
  <c r="Q256" i="3"/>
  <c r="T364" i="3"/>
  <c r="J378" i="3"/>
  <c r="M391" i="3"/>
  <c r="M404" i="3"/>
  <c r="O417" i="3"/>
  <c r="R430" i="3"/>
  <c r="J443" i="3"/>
  <c r="U452" i="3"/>
  <c r="U459" i="3"/>
  <c r="T464" i="3"/>
  <c r="S469" i="3"/>
  <c r="R474" i="3"/>
  <c r="Q479" i="3"/>
  <c r="P484" i="3"/>
  <c r="O489" i="3"/>
  <c r="N494" i="3"/>
  <c r="X494" i="3" s="1"/>
  <c r="S301" i="3"/>
  <c r="S366" i="3"/>
  <c r="U379" i="3"/>
  <c r="K393" i="3"/>
  <c r="K406" i="3"/>
  <c r="M419" i="3"/>
  <c r="P432" i="3"/>
  <c r="P444" i="3"/>
  <c r="N454" i="3"/>
  <c r="X454" i="3" s="1"/>
  <c r="Q460" i="3"/>
  <c r="P465" i="3"/>
  <c r="O470" i="3"/>
  <c r="N475" i="3"/>
  <c r="M480" i="3"/>
  <c r="L485" i="3"/>
  <c r="K490" i="3"/>
  <c r="J495" i="3"/>
  <c r="I500" i="3"/>
  <c r="U504" i="3"/>
  <c r="O338" i="3"/>
  <c r="Q368" i="3"/>
  <c r="S381" i="3"/>
  <c r="I395" i="3"/>
  <c r="I408" i="3"/>
  <c r="K421" i="3"/>
  <c r="N434" i="3"/>
  <c r="X434" i="3" s="1"/>
  <c r="I446" i="3"/>
  <c r="T455" i="3"/>
  <c r="U404" i="3"/>
  <c r="T466" i="3"/>
  <c r="P486" i="3"/>
  <c r="Q503" i="3"/>
  <c r="R514" i="3"/>
  <c r="O522" i="3"/>
  <c r="J528" i="3"/>
  <c r="I533" i="3"/>
  <c r="U537" i="3"/>
  <c r="T542" i="3"/>
  <c r="S547" i="3"/>
  <c r="R552" i="3"/>
  <c r="Q557" i="3"/>
  <c r="P562" i="3"/>
  <c r="O567" i="3"/>
  <c r="N572" i="3"/>
  <c r="M577" i="3"/>
  <c r="L582" i="3"/>
  <c r="K587" i="3"/>
  <c r="J592" i="3"/>
  <c r="I597" i="3"/>
  <c r="U601" i="3"/>
  <c r="T606" i="3"/>
  <c r="S611" i="3"/>
  <c r="R616" i="3"/>
  <c r="Q621" i="3"/>
  <c r="T444" i="3"/>
  <c r="M474" i="3"/>
  <c r="I494" i="3"/>
  <c r="Q508" i="3"/>
  <c r="K339" i="3"/>
  <c r="U455" i="3"/>
  <c r="M477" i="3"/>
  <c r="I497" i="3"/>
  <c r="U509" i="3"/>
  <c r="P519" i="3"/>
  <c r="N525" i="3"/>
  <c r="X525" i="3" s="1"/>
  <c r="R530" i="3"/>
  <c r="Q535" i="3"/>
  <c r="P540" i="3"/>
  <c r="O545" i="3"/>
  <c r="N550" i="3"/>
  <c r="X550" i="3" s="1"/>
  <c r="M555" i="3"/>
  <c r="L560" i="3"/>
  <c r="K565" i="3"/>
  <c r="J570" i="3"/>
  <c r="I575" i="3"/>
  <c r="U579" i="3"/>
  <c r="T584" i="3"/>
  <c r="S589" i="3"/>
  <c r="R594" i="3"/>
  <c r="Q599" i="3"/>
  <c r="P604" i="3"/>
  <c r="O609" i="3"/>
  <c r="N614" i="3"/>
  <c r="X614" i="3" s="1"/>
  <c r="M619" i="3"/>
  <c r="Q383" i="3"/>
  <c r="Q462" i="3"/>
  <c r="M482" i="3"/>
  <c r="S500" i="3"/>
  <c r="O512" i="3"/>
  <c r="L521" i="3"/>
  <c r="U526" i="3"/>
  <c r="I532" i="3"/>
  <c r="U536" i="3"/>
  <c r="T541" i="3"/>
  <c r="S546" i="3"/>
  <c r="R551" i="3"/>
  <c r="Q556" i="3"/>
  <c r="P561" i="3"/>
  <c r="O566" i="3"/>
  <c r="N571" i="3"/>
  <c r="X571" i="3" s="1"/>
  <c r="M576" i="3"/>
  <c r="L581" i="3"/>
  <c r="K586" i="3"/>
  <c r="J591" i="3"/>
  <c r="I596" i="3"/>
  <c r="U600" i="3"/>
  <c r="T605" i="3"/>
  <c r="S610" i="3"/>
  <c r="R615" i="3"/>
  <c r="Q620" i="3"/>
  <c r="N398" i="3"/>
  <c r="X398" i="3" s="1"/>
  <c r="Q465" i="3"/>
  <c r="M485" i="3"/>
  <c r="Q502" i="3"/>
  <c r="J514" i="3"/>
  <c r="J522" i="3"/>
  <c r="R527" i="3"/>
  <c r="R532" i="3"/>
  <c r="Q537" i="3"/>
  <c r="P542" i="3"/>
  <c r="O547" i="3"/>
  <c r="N552" i="3"/>
  <c r="X552" i="3" s="1"/>
  <c r="M557" i="3"/>
  <c r="L562" i="3"/>
  <c r="K567" i="3"/>
  <c r="J572" i="3"/>
  <c r="I577" i="3"/>
  <c r="U581" i="3"/>
  <c r="T586" i="3"/>
  <c r="S591" i="3"/>
  <c r="R596" i="3"/>
  <c r="K377" i="3"/>
  <c r="N461" i="3"/>
  <c r="J481" i="3"/>
  <c r="J500" i="3"/>
  <c r="T511" i="3"/>
  <c r="T520" i="3"/>
  <c r="P526" i="3"/>
  <c r="R531" i="3"/>
  <c r="Q536" i="3"/>
  <c r="P541" i="3"/>
  <c r="O546" i="3"/>
  <c r="N551" i="3"/>
  <c r="X551" i="3" s="1"/>
  <c r="M556" i="3"/>
  <c r="L561" i="3"/>
  <c r="K566" i="3"/>
  <c r="J571" i="3"/>
  <c r="I576" i="3"/>
  <c r="U580" i="3"/>
  <c r="T585" i="3"/>
  <c r="S590" i="3"/>
  <c r="R595" i="3"/>
  <c r="Q600" i="3"/>
  <c r="P605" i="3"/>
  <c r="O610" i="3"/>
  <c r="N615" i="3"/>
  <c r="M620" i="3"/>
  <c r="M458" i="3"/>
  <c r="I519" i="3"/>
  <c r="R533" i="3"/>
  <c r="U546" i="3"/>
  <c r="U559" i="3"/>
  <c r="J573" i="3"/>
  <c r="M586" i="3"/>
  <c r="M599" i="3"/>
  <c r="Q609" i="3"/>
  <c r="O619" i="3"/>
  <c r="J626" i="3"/>
  <c r="I631" i="3"/>
  <c r="U635" i="3"/>
  <c r="T640" i="3"/>
  <c r="S645" i="3"/>
  <c r="R650" i="3"/>
  <c r="Q655" i="3"/>
  <c r="P660" i="3"/>
  <c r="O665" i="3"/>
  <c r="N670" i="3"/>
  <c r="X670" i="3" s="1"/>
  <c r="M675" i="3"/>
  <c r="L680" i="3"/>
  <c r="K685" i="3"/>
  <c r="J690" i="3"/>
  <c r="I695" i="3"/>
  <c r="U699" i="3"/>
  <c r="T704" i="3"/>
  <c r="P478" i="3"/>
  <c r="P523" i="3"/>
  <c r="K537" i="3"/>
  <c r="M550" i="3"/>
  <c r="P563" i="3"/>
  <c r="P576" i="3"/>
  <c r="R589" i="3"/>
  <c r="M602" i="3"/>
  <c r="K612" i="3"/>
  <c r="I622" i="3"/>
  <c r="N627" i="3"/>
  <c r="X627" i="3" s="1"/>
  <c r="M632" i="3"/>
  <c r="L637" i="3"/>
  <c r="K642" i="3"/>
  <c r="J647" i="3"/>
  <c r="I652" i="3"/>
  <c r="U656" i="3"/>
  <c r="T661" i="3"/>
  <c r="S666" i="3"/>
  <c r="R671" i="3"/>
  <c r="Q676" i="3"/>
  <c r="P681" i="3"/>
  <c r="O686" i="3"/>
  <c r="N691" i="3"/>
  <c r="X691" i="3" s="1"/>
  <c r="M696" i="3"/>
  <c r="L701" i="3"/>
  <c r="K706" i="3"/>
  <c r="L506" i="3"/>
  <c r="K529" i="3"/>
  <c r="M542" i="3"/>
  <c r="P555" i="3"/>
  <c r="P568" i="3"/>
  <c r="R581" i="3"/>
  <c r="U594" i="3"/>
  <c r="J606" i="3"/>
  <c r="U615" i="3"/>
  <c r="N624" i="3"/>
  <c r="M629" i="3"/>
  <c r="L634" i="3"/>
  <c r="K639" i="3"/>
  <c r="J644" i="3"/>
  <c r="I649" i="3"/>
  <c r="U653" i="3"/>
  <c r="T658" i="3"/>
  <c r="S663" i="3"/>
  <c r="R668" i="3"/>
  <c r="Q673" i="3"/>
  <c r="P678" i="3"/>
  <c r="O683" i="3"/>
  <c r="N688" i="3"/>
  <c r="X688" i="3" s="1"/>
  <c r="M693" i="3"/>
  <c r="L698" i="3"/>
  <c r="K703" i="3"/>
  <c r="K471" i="3"/>
  <c r="K522" i="3"/>
  <c r="U535" i="3"/>
  <c r="J549" i="3"/>
  <c r="M562" i="3"/>
  <c r="M575" i="3"/>
  <c r="O588" i="3"/>
  <c r="N601" i="3"/>
  <c r="L611" i="3"/>
  <c r="J621" i="3"/>
  <c r="U626" i="3"/>
  <c r="T631" i="3"/>
  <c r="S636" i="3"/>
  <c r="R641" i="3"/>
  <c r="Q646" i="3"/>
  <c r="P651" i="3"/>
  <c r="O656" i="3"/>
  <c r="N661" i="3"/>
  <c r="X661" i="3" s="1"/>
  <c r="M666" i="3"/>
  <c r="L671" i="3"/>
  <c r="K676" i="3"/>
  <c r="J681" i="3"/>
  <c r="I686" i="3"/>
  <c r="U690" i="3"/>
  <c r="T695" i="3"/>
  <c r="S700" i="3"/>
  <c r="R705" i="3"/>
  <c r="M501" i="3"/>
  <c r="T527" i="3"/>
  <c r="J541" i="3"/>
  <c r="M554" i="3"/>
  <c r="M567" i="3"/>
  <c r="O580" i="3"/>
  <c r="R593" i="3"/>
  <c r="M605" i="3"/>
  <c r="K615" i="3"/>
  <c r="U623" i="3"/>
  <c r="T628" i="3"/>
  <c r="S633" i="3"/>
  <c r="R638" i="3"/>
  <c r="Q643" i="3"/>
  <c r="P648" i="3"/>
  <c r="O653" i="3"/>
  <c r="K170" i="3"/>
  <c r="S263" i="3"/>
  <c r="Q253" i="3"/>
  <c r="K419" i="3"/>
  <c r="I371" i="3"/>
  <c r="R464" i="3"/>
  <c r="R520" i="3"/>
  <c r="I391" i="3"/>
  <c r="J427" i="3"/>
  <c r="I458" i="3"/>
  <c r="R469" i="3"/>
  <c r="L483" i="3"/>
  <c r="N497" i="3"/>
  <c r="J509" i="3"/>
  <c r="S362" i="3"/>
  <c r="K401" i="3"/>
  <c r="L432" i="3"/>
  <c r="M459" i="3"/>
  <c r="O473" i="3"/>
  <c r="K485" i="3"/>
  <c r="Q259" i="3"/>
  <c r="S389" i="3"/>
  <c r="U420" i="3"/>
  <c r="K453" i="3"/>
  <c r="L469" i="3"/>
  <c r="U480" i="3"/>
  <c r="O494" i="3"/>
  <c r="L266" i="3"/>
  <c r="N383" i="3"/>
  <c r="X383" i="3" s="1"/>
  <c r="Q419" i="3"/>
  <c r="N453" i="3"/>
  <c r="X453" i="3" s="1"/>
  <c r="M469" i="3"/>
  <c r="O513" i="3"/>
  <c r="S531" i="3"/>
  <c r="O543" i="3"/>
  <c r="I557" i="3"/>
  <c r="K571" i="3"/>
  <c r="T582" i="3"/>
  <c r="N596" i="3"/>
  <c r="X596" i="3" s="1"/>
  <c r="P610" i="3"/>
  <c r="N308" i="3"/>
  <c r="X308" i="3" s="1"/>
  <c r="P491" i="3"/>
  <c r="O434" i="3"/>
  <c r="U498" i="3"/>
  <c r="R524" i="3"/>
  <c r="M539" i="3"/>
  <c r="I551" i="3"/>
  <c r="P564" i="3"/>
  <c r="R578" i="3"/>
  <c r="N590" i="3"/>
  <c r="X590" i="3" s="1"/>
  <c r="U603" i="3"/>
  <c r="J618" i="3"/>
  <c r="J465" i="3"/>
  <c r="L511" i="3"/>
  <c r="S530" i="3"/>
  <c r="O542" i="3"/>
  <c r="I556" i="3"/>
  <c r="K570" i="3"/>
  <c r="T581" i="3"/>
  <c r="N595" i="3"/>
  <c r="P609" i="3"/>
  <c r="L621" i="3"/>
  <c r="T482" i="3"/>
  <c r="O520" i="3"/>
  <c r="M533" i="3"/>
  <c r="T546" i="3"/>
  <c r="I561" i="3"/>
  <c r="R572" i="3"/>
  <c r="L586" i="3"/>
  <c r="N600" i="3"/>
  <c r="X600" i="3" s="1"/>
  <c r="P483" i="3"/>
  <c r="I520" i="3"/>
  <c r="N535" i="3"/>
  <c r="X535" i="3" s="1"/>
  <c r="J547" i="3"/>
  <c r="Q560" i="3"/>
  <c r="S574" i="3"/>
  <c r="O586" i="3"/>
  <c r="I600" i="3"/>
  <c r="K614" i="3"/>
  <c r="K468" i="3"/>
  <c r="K545" i="3"/>
  <c r="U582" i="3"/>
  <c r="T610" i="3"/>
  <c r="N630" i="3"/>
  <c r="P644" i="3"/>
  <c r="L656" i="3"/>
  <c r="R666" i="3"/>
  <c r="P676" i="3"/>
  <c r="N686" i="3"/>
  <c r="X686" i="3" s="1"/>
  <c r="L696" i="3"/>
  <c r="J706" i="3"/>
  <c r="K527" i="3"/>
  <c r="R553" i="3"/>
  <c r="T579" i="3"/>
  <c r="S604" i="3"/>
  <c r="R623" i="3"/>
  <c r="P633" i="3"/>
  <c r="N643" i="3"/>
  <c r="X643" i="3" s="1"/>
  <c r="L653" i="3"/>
  <c r="J663" i="3"/>
  <c r="U672" i="3"/>
  <c r="S682" i="3"/>
  <c r="Q692" i="3"/>
  <c r="O702" i="3"/>
  <c r="Q516" i="3"/>
  <c r="R545" i="3"/>
  <c r="T571" i="3"/>
  <c r="J598" i="3"/>
  <c r="N618" i="3"/>
  <c r="P630" i="3"/>
  <c r="N640" i="3"/>
  <c r="X640" i="3" s="1"/>
  <c r="L650" i="3"/>
  <c r="J660" i="3"/>
  <c r="U669" i="3"/>
  <c r="S679" i="3"/>
  <c r="Q689" i="3"/>
  <c r="O699" i="3"/>
  <c r="T490" i="3"/>
  <c r="L539" i="3"/>
  <c r="O565" i="3"/>
  <c r="T591" i="3"/>
  <c r="R613" i="3"/>
  <c r="K628" i="3"/>
  <c r="I638" i="3"/>
  <c r="T647" i="3"/>
  <c r="R657" i="3"/>
  <c r="P667" i="3"/>
  <c r="N677" i="3"/>
  <c r="X677" i="3" s="1"/>
  <c r="L687" i="3"/>
  <c r="J697" i="3"/>
  <c r="I387" i="3"/>
  <c r="L531" i="3"/>
  <c r="O557" i="3"/>
  <c r="T583" i="3"/>
  <c r="S607" i="3"/>
  <c r="K625" i="3"/>
  <c r="I635" i="3"/>
  <c r="T644" i="3"/>
  <c r="R654" i="3"/>
  <c r="Q659" i="3"/>
  <c r="P664" i="3"/>
  <c r="M295" i="3"/>
  <c r="L387" i="3"/>
  <c r="N381" i="3"/>
  <c r="X381" i="3" s="1"/>
  <c r="R448" i="3"/>
  <c r="Q447" i="3"/>
  <c r="O479" i="3"/>
  <c r="I358" i="3"/>
  <c r="M399" i="3"/>
  <c r="N430" i="3"/>
  <c r="X430" i="3" s="1"/>
  <c r="Q458" i="3"/>
  <c r="S472" i="3"/>
  <c r="O484" i="3"/>
  <c r="I498" i="3"/>
  <c r="K512" i="3"/>
  <c r="R366" i="3"/>
  <c r="R402" i="3"/>
  <c r="P440" i="3"/>
  <c r="P460" i="3"/>
  <c r="J474" i="3"/>
  <c r="L488" i="3"/>
  <c r="S334" i="3"/>
  <c r="N391" i="3"/>
  <c r="X391" i="3" s="1"/>
  <c r="K429" i="3"/>
  <c r="Q455" i="3"/>
  <c r="T469" i="3"/>
  <c r="I484" i="3"/>
  <c r="R495" i="3"/>
  <c r="O303" i="3"/>
  <c r="Q391" i="3"/>
  <c r="S422" i="3"/>
  <c r="Q454" i="3"/>
  <c r="Q481" i="3"/>
  <c r="U515" i="3"/>
  <c r="N532" i="3"/>
  <c r="X532" i="3" s="1"/>
  <c r="P546" i="3"/>
  <c r="L558" i="3"/>
  <c r="S571" i="3"/>
  <c r="U585" i="3"/>
  <c r="Q597" i="3"/>
  <c r="K611" i="3"/>
  <c r="R419" i="3"/>
  <c r="O496" i="3"/>
  <c r="J446" i="3"/>
  <c r="M507" i="3"/>
  <c r="K526" i="3"/>
  <c r="U539" i="3"/>
  <c r="J554" i="3"/>
  <c r="S565" i="3"/>
  <c r="M579" i="3"/>
  <c r="O593" i="3"/>
  <c r="K605" i="3"/>
  <c r="R618" i="3"/>
  <c r="N477" i="3"/>
  <c r="X477" i="3" s="1"/>
  <c r="R513" i="3"/>
  <c r="N531" i="3"/>
  <c r="P545" i="3"/>
  <c r="L557" i="3"/>
  <c r="S570" i="3"/>
  <c r="U584" i="3"/>
  <c r="Q596" i="3"/>
  <c r="K610" i="3"/>
  <c r="L372" i="3"/>
  <c r="S487" i="3"/>
  <c r="N521" i="3"/>
  <c r="N536" i="3"/>
  <c r="X536" i="3" s="1"/>
  <c r="J548" i="3"/>
  <c r="Q561" i="3"/>
  <c r="S575" i="3"/>
  <c r="O587" i="3"/>
  <c r="P363" i="3"/>
  <c r="T495" i="3"/>
  <c r="Q521" i="3"/>
  <c r="I536" i="3"/>
  <c r="K550" i="3"/>
  <c r="T561" i="3"/>
  <c r="N575" i="3"/>
  <c r="X575" i="3" s="1"/>
  <c r="P589" i="3"/>
  <c r="L601" i="3"/>
  <c r="S614" i="3"/>
  <c r="O510" i="3"/>
  <c r="O548" i="3"/>
  <c r="P584" i="3"/>
  <c r="I617" i="3"/>
  <c r="Q631" i="3"/>
  <c r="K645" i="3"/>
  <c r="M659" i="3"/>
  <c r="K669" i="3"/>
  <c r="I679" i="3"/>
  <c r="T688" i="3"/>
  <c r="R698" i="3"/>
  <c r="T458" i="3"/>
  <c r="I534" i="3"/>
  <c r="K560" i="3"/>
  <c r="N586" i="3"/>
  <c r="X586" i="3" s="1"/>
  <c r="R609" i="3"/>
  <c r="K626" i="3"/>
  <c r="I636" i="3"/>
  <c r="T645" i="3"/>
  <c r="R655" i="3"/>
  <c r="P665" i="3"/>
  <c r="N675" i="3"/>
  <c r="X675" i="3" s="1"/>
  <c r="L685" i="3"/>
  <c r="J695" i="3"/>
  <c r="U704" i="3"/>
  <c r="R525" i="3"/>
  <c r="K552" i="3"/>
  <c r="N578" i="3"/>
  <c r="X578" i="3" s="1"/>
  <c r="Q603" i="3"/>
  <c r="I623" i="3"/>
  <c r="I633" i="3"/>
  <c r="T642" i="3"/>
  <c r="R652" i="3"/>
  <c r="P662" i="3"/>
  <c r="N672" i="3"/>
  <c r="X672" i="3" s="1"/>
  <c r="L682" i="3"/>
  <c r="J692" i="3"/>
  <c r="U701" i="3"/>
  <c r="R516" i="3"/>
  <c r="S545" i="3"/>
  <c r="K572" i="3"/>
  <c r="M598" i="3"/>
  <c r="Q618" i="3"/>
  <c r="Q630" i="3"/>
  <c r="O640" i="3"/>
  <c r="M650" i="3"/>
  <c r="K660" i="3"/>
  <c r="I670" i="3"/>
  <c r="T679" i="3"/>
  <c r="R689" i="3"/>
  <c r="P699" i="3"/>
  <c r="U482" i="3"/>
  <c r="S537" i="3"/>
  <c r="K564" i="3"/>
  <c r="M590" i="3"/>
  <c r="R612" i="3"/>
  <c r="Q627" i="3"/>
  <c r="O637" i="3"/>
  <c r="M647" i="3"/>
  <c r="M655" i="3"/>
  <c r="L660" i="3"/>
  <c r="K665" i="3"/>
  <c r="S337" i="3"/>
  <c r="R413" i="3"/>
  <c r="L391" i="3"/>
  <c r="L349" i="3"/>
  <c r="K462" i="3"/>
  <c r="N484" i="3"/>
  <c r="N362" i="3"/>
  <c r="X362" i="3" s="1"/>
  <c r="T400" i="3"/>
  <c r="R438" i="3"/>
  <c r="T459" i="3"/>
  <c r="N473" i="3"/>
  <c r="X473" i="3" s="1"/>
  <c r="P487" i="3"/>
  <c r="L499" i="3"/>
  <c r="S512" i="3"/>
  <c r="S374" i="3"/>
  <c r="J406" i="3"/>
  <c r="T441" i="3"/>
  <c r="Q463" i="3"/>
  <c r="M475" i="3"/>
  <c r="T488" i="3"/>
  <c r="K363" i="3"/>
  <c r="R394" i="3"/>
  <c r="S430" i="3"/>
  <c r="N459" i="3"/>
  <c r="X459" i="3" s="1"/>
  <c r="J471" i="3"/>
  <c r="Q484" i="3"/>
  <c r="S498" i="3"/>
  <c r="Q347" i="3"/>
  <c r="L393" i="3"/>
  <c r="I431" i="3"/>
  <c r="R456" i="3"/>
  <c r="J484" i="3"/>
  <c r="U520" i="3"/>
  <c r="Q533" i="3"/>
  <c r="K547" i="3"/>
  <c r="M561" i="3"/>
  <c r="I573" i="3"/>
  <c r="P586" i="3"/>
  <c r="R600" i="3"/>
  <c r="N612" i="3"/>
  <c r="X612" i="3" s="1"/>
  <c r="T432" i="3"/>
  <c r="O505" i="3"/>
  <c r="J460" i="3"/>
  <c r="R508" i="3"/>
  <c r="O529" i="3"/>
  <c r="K541" i="3"/>
  <c r="R554" i="3"/>
  <c r="T568" i="3"/>
  <c r="P580" i="3"/>
  <c r="J594" i="3"/>
  <c r="L608" i="3"/>
  <c r="U619" i="3"/>
  <c r="T479" i="3"/>
  <c r="Q519" i="3"/>
  <c r="Q532" i="3"/>
  <c r="K546" i="3"/>
  <c r="M560" i="3"/>
  <c r="I572" i="3"/>
  <c r="P585" i="3"/>
  <c r="R599" i="3"/>
  <c r="N611" i="3"/>
  <c r="X611" i="3" s="1"/>
  <c r="L385" i="3"/>
  <c r="O499" i="3"/>
  <c r="S522" i="3"/>
  <c r="I537" i="3"/>
  <c r="K551" i="3"/>
  <c r="T562" i="3"/>
  <c r="N576" i="3"/>
  <c r="X576" i="3" s="1"/>
  <c r="P590" i="3"/>
  <c r="K390" i="3"/>
  <c r="M498" i="3"/>
  <c r="K525" i="3"/>
  <c r="L537" i="3"/>
  <c r="S550" i="3"/>
  <c r="U564" i="3"/>
  <c r="Q576" i="3"/>
  <c r="K590" i="3"/>
  <c r="M604" i="3"/>
  <c r="I616" i="3"/>
  <c r="N515" i="3"/>
  <c r="X515" i="3" s="1"/>
  <c r="S556" i="3"/>
  <c r="T587" i="3"/>
  <c r="L618" i="3"/>
  <c r="R634" i="3"/>
  <c r="N646" i="3"/>
  <c r="X646" i="3" s="1"/>
  <c r="U659" i="3"/>
  <c r="S669" i="3"/>
  <c r="Q679" i="3"/>
  <c r="O689" i="3"/>
  <c r="M699" i="3"/>
  <c r="R468" i="3"/>
  <c r="P535" i="3"/>
  <c r="S561" i="3"/>
  <c r="K588" i="3"/>
  <c r="U610" i="3"/>
  <c r="S626" i="3"/>
  <c r="Q636" i="3"/>
  <c r="O646" i="3"/>
  <c r="M656" i="3"/>
  <c r="K666" i="3"/>
  <c r="I676" i="3"/>
  <c r="T685" i="3"/>
  <c r="R695" i="3"/>
  <c r="P705" i="3"/>
  <c r="O527" i="3"/>
  <c r="S553" i="3"/>
  <c r="K580" i="3"/>
  <c r="T604" i="3"/>
  <c r="S623" i="3"/>
  <c r="Q633" i="3"/>
  <c r="O643" i="3"/>
  <c r="M653" i="3"/>
  <c r="K663" i="3"/>
  <c r="I673" i="3"/>
  <c r="T682" i="3"/>
  <c r="R692" i="3"/>
  <c r="P702" i="3"/>
  <c r="T519" i="3"/>
  <c r="P547" i="3"/>
  <c r="R573" i="3"/>
  <c r="U599" i="3"/>
  <c r="T619" i="3"/>
  <c r="L631" i="3"/>
  <c r="J641" i="3"/>
  <c r="U650" i="3"/>
  <c r="S660" i="3"/>
  <c r="Q670" i="3"/>
  <c r="O680" i="3"/>
  <c r="M690" i="3"/>
  <c r="K700" i="3"/>
  <c r="S492" i="3"/>
  <c r="P539" i="3"/>
  <c r="R565" i="3"/>
  <c r="U591" i="3"/>
  <c r="U613" i="3"/>
  <c r="L628" i="3"/>
  <c r="J638" i="3"/>
  <c r="U647" i="3"/>
  <c r="U655" i="3"/>
  <c r="T660" i="3"/>
  <c r="S665" i="3"/>
  <c r="R670" i="3"/>
  <c r="Q675" i="3"/>
  <c r="P680" i="3"/>
  <c r="O685" i="3"/>
  <c r="P388" i="3"/>
  <c r="I513" i="3"/>
  <c r="P531" i="3"/>
  <c r="P544" i="3"/>
  <c r="R557" i="3"/>
  <c r="U570" i="3"/>
  <c r="U583" i="3"/>
  <c r="J597" i="3"/>
  <c r="T607" i="3"/>
  <c r="R617" i="3"/>
  <c r="L625" i="3"/>
  <c r="K630" i="3"/>
  <c r="J635" i="3"/>
  <c r="I640" i="3"/>
  <c r="U644" i="3"/>
  <c r="T649" i="3"/>
  <c r="S654" i="3"/>
  <c r="R659" i="3"/>
  <c r="Q664" i="3"/>
  <c r="P669" i="3"/>
  <c r="O674" i="3"/>
  <c r="N679" i="3"/>
  <c r="X679" i="3" s="1"/>
  <c r="M684" i="3"/>
  <c r="L689" i="3"/>
  <c r="K694" i="3"/>
  <c r="J699" i="3"/>
  <c r="P475" i="3"/>
  <c r="T522" i="3"/>
  <c r="P536" i="3"/>
  <c r="R549" i="3"/>
  <c r="U562" i="3"/>
  <c r="U575" i="3"/>
  <c r="J589" i="3"/>
  <c r="S601" i="3"/>
  <c r="Q611" i="3"/>
  <c r="O621" i="3"/>
  <c r="K627" i="3"/>
  <c r="J632" i="3"/>
  <c r="I637" i="3"/>
  <c r="U641" i="3"/>
  <c r="T646" i="3"/>
  <c r="S651" i="3"/>
  <c r="R656" i="3"/>
  <c r="Q661" i="3"/>
  <c r="P666" i="3"/>
  <c r="O671" i="3"/>
  <c r="N676" i="3"/>
  <c r="X676" i="3" s="1"/>
  <c r="L514" i="3"/>
  <c r="I618" i="3"/>
  <c r="T659" i="3"/>
  <c r="U689" i="3"/>
  <c r="S702" i="3"/>
  <c r="P709" i="3"/>
  <c r="O714" i="3"/>
  <c r="N719" i="3"/>
  <c r="X719" i="3" s="1"/>
  <c r="M724" i="3"/>
  <c r="L729" i="3"/>
  <c r="K734" i="3"/>
  <c r="J739" i="3"/>
  <c r="I744" i="3"/>
  <c r="U748" i="3"/>
  <c r="T753" i="3"/>
  <c r="S758" i="3"/>
  <c r="R763" i="3"/>
  <c r="Q768" i="3"/>
  <c r="P773" i="3"/>
  <c r="O778" i="3"/>
  <c r="N783" i="3"/>
  <c r="X783" i="3" s="1"/>
  <c r="M788" i="3"/>
  <c r="L793" i="3"/>
  <c r="K798" i="3"/>
  <c r="J803" i="3"/>
  <c r="I808" i="3"/>
  <c r="U812" i="3"/>
  <c r="T817" i="3"/>
  <c r="S822" i="3"/>
  <c r="R827" i="3"/>
  <c r="Q832" i="3"/>
  <c r="P837" i="3"/>
  <c r="O842" i="3"/>
  <c r="N847" i="3"/>
  <c r="M852" i="3"/>
  <c r="L857" i="3"/>
  <c r="K862" i="3"/>
  <c r="J867" i="3"/>
  <c r="I872" i="3"/>
  <c r="U876" i="3"/>
  <c r="T881" i="3"/>
  <c r="S886" i="3"/>
  <c r="I451" i="3"/>
  <c r="N609" i="3"/>
  <c r="X609" i="3" s="1"/>
  <c r="P655" i="3"/>
  <c r="P687" i="3"/>
  <c r="Q701" i="3"/>
  <c r="I709" i="3"/>
  <c r="U713" i="3"/>
  <c r="T718" i="3"/>
  <c r="S723" i="3"/>
  <c r="R728" i="3"/>
  <c r="Q733" i="3"/>
  <c r="P738" i="3"/>
  <c r="O743" i="3"/>
  <c r="N748" i="3"/>
  <c r="X748" i="3" s="1"/>
  <c r="M753" i="3"/>
  <c r="L758" i="3"/>
  <c r="K763" i="3"/>
  <c r="J768" i="3"/>
  <c r="I773" i="3"/>
  <c r="U777" i="3"/>
  <c r="T782" i="3"/>
  <c r="S787" i="3"/>
  <c r="R792" i="3"/>
  <c r="Q797" i="3"/>
  <c r="P802" i="3"/>
  <c r="O807" i="3"/>
  <c r="N812" i="3"/>
  <c r="X812" i="3" s="1"/>
  <c r="M817" i="3"/>
  <c r="L822" i="3"/>
  <c r="K827" i="3"/>
  <c r="J832" i="3"/>
  <c r="I837" i="3"/>
  <c r="U841" i="3"/>
  <c r="T846" i="3"/>
  <c r="S851" i="3"/>
  <c r="R856" i="3"/>
  <c r="Q861" i="3"/>
  <c r="P866" i="3"/>
  <c r="O871" i="3"/>
  <c r="N876" i="3"/>
  <c r="X876" i="3" s="1"/>
  <c r="M881" i="3"/>
  <c r="L886" i="3"/>
  <c r="K891" i="3"/>
  <c r="S600" i="3"/>
  <c r="L651" i="3"/>
  <c r="Q685" i="3"/>
  <c r="L700" i="3"/>
  <c r="O708" i="3"/>
  <c r="N713" i="3"/>
  <c r="M718" i="3"/>
  <c r="L723" i="3"/>
  <c r="K728" i="3"/>
  <c r="J733" i="3"/>
  <c r="I738" i="3"/>
  <c r="U742" i="3"/>
  <c r="T747" i="3"/>
  <c r="S752" i="3"/>
  <c r="R757" i="3"/>
  <c r="Q762" i="3"/>
  <c r="P767" i="3"/>
  <c r="O772" i="3"/>
  <c r="N777" i="3"/>
  <c r="X777" i="3" s="1"/>
  <c r="M782" i="3"/>
  <c r="L787" i="3"/>
  <c r="K792" i="3"/>
  <c r="J797" i="3"/>
  <c r="I802" i="3"/>
  <c r="U806" i="3"/>
  <c r="T811" i="3"/>
  <c r="S816" i="3"/>
  <c r="R821" i="3"/>
  <c r="Q826" i="3"/>
  <c r="P831" i="3"/>
  <c r="O836" i="3"/>
  <c r="N841" i="3"/>
  <c r="X841" i="3" s="1"/>
  <c r="M846" i="3"/>
  <c r="L851" i="3"/>
  <c r="K856" i="3"/>
  <c r="J861" i="3"/>
  <c r="I866" i="3"/>
  <c r="U870" i="3"/>
  <c r="T875" i="3"/>
  <c r="S880" i="3"/>
  <c r="R885" i="3"/>
  <c r="U522" i="3"/>
  <c r="R621" i="3"/>
  <c r="R661" i="3"/>
  <c r="P690" i="3"/>
  <c r="M703" i="3"/>
  <c r="S709" i="3"/>
  <c r="R714" i="3"/>
  <c r="Q719" i="3"/>
  <c r="P724" i="3"/>
  <c r="O729" i="3"/>
  <c r="N734" i="3"/>
  <c r="X734" i="3" s="1"/>
  <c r="M739" i="3"/>
  <c r="L744" i="3"/>
  <c r="K749" i="3"/>
  <c r="J754" i="3"/>
  <c r="I759" i="3"/>
  <c r="I335" i="3"/>
  <c r="P385" i="3"/>
  <c r="S420" i="3"/>
  <c r="M436" i="3"/>
  <c r="R491" i="3"/>
  <c r="K499" i="3"/>
  <c r="U372" i="3"/>
  <c r="L404" i="3"/>
  <c r="L440" i="3"/>
  <c r="U462" i="3"/>
  <c r="Q474" i="3"/>
  <c r="K488" i="3"/>
  <c r="M502" i="3"/>
  <c r="I514" i="3"/>
  <c r="P376" i="3"/>
  <c r="K414" i="3"/>
  <c r="M444" i="3"/>
  <c r="L464" i="3"/>
  <c r="N478" i="3"/>
  <c r="X478" i="3" s="1"/>
  <c r="J490" i="3"/>
  <c r="K365" i="3"/>
  <c r="I403" i="3"/>
  <c r="J434" i="3"/>
  <c r="I460" i="3"/>
  <c r="K474" i="3"/>
  <c r="T485" i="3"/>
  <c r="N499" i="3"/>
  <c r="X499" i="3" s="1"/>
  <c r="O365" i="3"/>
  <c r="P396" i="3"/>
  <c r="Q432" i="3"/>
  <c r="R378" i="3"/>
  <c r="I489" i="3"/>
  <c r="R521" i="3"/>
  <c r="R536" i="3"/>
  <c r="N548" i="3"/>
  <c r="X548" i="3" s="1"/>
  <c r="U561" i="3"/>
  <c r="J576" i="3"/>
  <c r="S587" i="3"/>
  <c r="M601" i="3"/>
  <c r="O615" i="3"/>
  <c r="R454" i="3"/>
  <c r="U506" i="3"/>
  <c r="N472" i="3"/>
  <c r="X472" i="3" s="1"/>
  <c r="K511" i="3"/>
  <c r="J530" i="3"/>
  <c r="L544" i="3"/>
  <c r="U555" i="3"/>
  <c r="O569" i="3"/>
  <c r="Q583" i="3"/>
  <c r="M595" i="3"/>
  <c r="T608" i="3"/>
  <c r="T348" i="3"/>
  <c r="S484" i="3"/>
  <c r="N520" i="3"/>
  <c r="X520" i="3" s="1"/>
  <c r="R535" i="3"/>
  <c r="N547" i="3"/>
  <c r="X547" i="3" s="1"/>
  <c r="U560" i="3"/>
  <c r="J575" i="3"/>
  <c r="S586" i="3"/>
  <c r="M600" i="3"/>
  <c r="O614" i="3"/>
  <c r="Q411" i="3"/>
  <c r="K501" i="3"/>
  <c r="M526" i="3"/>
  <c r="L538" i="3"/>
  <c r="S551" i="3"/>
  <c r="U565" i="3"/>
  <c r="Q577" i="3"/>
  <c r="K591" i="3"/>
  <c r="L452" i="3"/>
  <c r="S501" i="3"/>
  <c r="T525" i="3"/>
  <c r="M540" i="3"/>
  <c r="I552" i="3"/>
  <c r="P565" i="3"/>
  <c r="R579" i="3"/>
  <c r="N591" i="3"/>
  <c r="U604" i="3"/>
  <c r="J619" i="3"/>
  <c r="O521" i="3"/>
  <c r="M558" i="3"/>
  <c r="K596" i="3"/>
  <c r="R620" i="3"/>
  <c r="M635" i="3"/>
  <c r="O649" i="3"/>
  <c r="K661" i="3"/>
  <c r="I671" i="3"/>
  <c r="T680" i="3"/>
  <c r="R690" i="3"/>
  <c r="P700" i="3"/>
  <c r="N488" i="3"/>
  <c r="X488" i="3" s="1"/>
  <c r="U538" i="3"/>
  <c r="J565" i="3"/>
  <c r="M591" i="3"/>
  <c r="N613" i="3"/>
  <c r="X613" i="3" s="1"/>
  <c r="I628" i="3"/>
  <c r="T637" i="3"/>
  <c r="R647" i="3"/>
  <c r="P657" i="3"/>
  <c r="N667" i="3"/>
  <c r="X667" i="3" s="1"/>
  <c r="L677" i="3"/>
  <c r="J687" i="3"/>
  <c r="U696" i="3"/>
  <c r="S373" i="3"/>
  <c r="U530" i="3"/>
  <c r="J557" i="3"/>
  <c r="M583" i="3"/>
  <c r="M607" i="3"/>
  <c r="I625" i="3"/>
  <c r="T634" i="3"/>
  <c r="R644" i="3"/>
  <c r="P654" i="3"/>
  <c r="N664" i="3"/>
  <c r="X664" i="3" s="1"/>
  <c r="L674" i="3"/>
  <c r="J684" i="3"/>
  <c r="U693" i="3"/>
  <c r="S703" i="3"/>
  <c r="U523" i="3"/>
  <c r="R550" i="3"/>
  <c r="J577" i="3"/>
  <c r="Q602" i="3"/>
  <c r="L622" i="3"/>
  <c r="O632" i="3"/>
  <c r="M642" i="3"/>
  <c r="K652" i="3"/>
  <c r="I662" i="3"/>
  <c r="T671" i="3"/>
  <c r="R681" i="3"/>
  <c r="P691" i="3"/>
  <c r="N701" i="3"/>
  <c r="X701" i="3" s="1"/>
  <c r="U507" i="3"/>
  <c r="R542" i="3"/>
  <c r="J569" i="3"/>
  <c r="L595" i="3"/>
  <c r="N616" i="3"/>
  <c r="X616" i="3" s="1"/>
  <c r="O629" i="3"/>
  <c r="M639" i="3"/>
  <c r="K649" i="3"/>
  <c r="P656" i="3"/>
  <c r="O661" i="3"/>
  <c r="N666" i="3"/>
  <c r="X666" i="3" s="1"/>
  <c r="M671" i="3"/>
  <c r="L676" i="3"/>
  <c r="K681" i="3"/>
  <c r="J686" i="3"/>
  <c r="K441" i="3"/>
  <c r="U517" i="3"/>
  <c r="J533" i="3"/>
  <c r="M546" i="3"/>
  <c r="M559" i="3"/>
  <c r="O572" i="3"/>
  <c r="R585" i="3"/>
  <c r="R598" i="3"/>
  <c r="J609" i="3"/>
  <c r="U618" i="3"/>
  <c r="T625" i="3"/>
  <c r="S630" i="3"/>
  <c r="R635" i="3"/>
  <c r="Q640" i="3"/>
  <c r="P645" i="3"/>
  <c r="O650" i="3"/>
  <c r="N655" i="3"/>
  <c r="X655" i="3" s="1"/>
  <c r="M660" i="3"/>
  <c r="L665" i="3"/>
  <c r="K670" i="3"/>
  <c r="J675" i="3"/>
  <c r="I680" i="3"/>
  <c r="U684" i="3"/>
  <c r="T689" i="3"/>
  <c r="S694" i="3"/>
  <c r="R699" i="3"/>
  <c r="N485" i="3"/>
  <c r="Q524" i="3"/>
  <c r="M538" i="3"/>
  <c r="M551" i="3"/>
  <c r="O564" i="3"/>
  <c r="R577" i="3"/>
  <c r="R590" i="3"/>
  <c r="I603" i="3"/>
  <c r="T612" i="3"/>
  <c r="Q622" i="3"/>
  <c r="S627" i="3"/>
  <c r="R632" i="3"/>
  <c r="Q637" i="3"/>
  <c r="P642" i="3"/>
  <c r="O647" i="3"/>
  <c r="N652" i="3"/>
  <c r="X652" i="3" s="1"/>
  <c r="M657" i="3"/>
  <c r="L662" i="3"/>
  <c r="K667" i="3"/>
  <c r="J672" i="3"/>
  <c r="I677" i="3"/>
  <c r="T531" i="3"/>
  <c r="N625" i="3"/>
  <c r="X625" i="3" s="1"/>
  <c r="S664" i="3"/>
  <c r="Q691" i="3"/>
  <c r="I704" i="3"/>
  <c r="K710" i="3"/>
  <c r="J715" i="3"/>
  <c r="I720" i="3"/>
  <c r="U724" i="3"/>
  <c r="T729" i="3"/>
  <c r="S734" i="3"/>
  <c r="R739" i="3"/>
  <c r="Q744" i="3"/>
  <c r="P749" i="3"/>
  <c r="O754" i="3"/>
  <c r="N759" i="3"/>
  <c r="X759" i="3" s="1"/>
  <c r="M764" i="3"/>
  <c r="L769" i="3"/>
  <c r="K774" i="3"/>
  <c r="J779" i="3"/>
  <c r="I784" i="3"/>
  <c r="U788" i="3"/>
  <c r="T793" i="3"/>
  <c r="S798" i="3"/>
  <c r="R803" i="3"/>
  <c r="Q808" i="3"/>
  <c r="P813" i="3"/>
  <c r="O818" i="3"/>
  <c r="N823" i="3"/>
  <c r="M828" i="3"/>
  <c r="L833" i="3"/>
  <c r="K838" i="3"/>
  <c r="J843" i="3"/>
  <c r="I848" i="3"/>
  <c r="U852" i="3"/>
  <c r="T857" i="3"/>
  <c r="S862" i="3"/>
  <c r="R867" i="3"/>
  <c r="Q872" i="3"/>
  <c r="P877" i="3"/>
  <c r="O882" i="3"/>
  <c r="N887" i="3"/>
  <c r="X887" i="3" s="1"/>
  <c r="U518" i="3"/>
  <c r="L619" i="3"/>
  <c r="O660" i="3"/>
  <c r="I690" i="3"/>
  <c r="T702" i="3"/>
  <c r="Q709" i="3"/>
  <c r="P714" i="3"/>
  <c r="O719" i="3"/>
  <c r="N724" i="3"/>
  <c r="X724" i="3" s="1"/>
  <c r="M729" i="3"/>
  <c r="L734" i="3"/>
  <c r="K739" i="3"/>
  <c r="J744" i="3"/>
  <c r="I749" i="3"/>
  <c r="U753" i="3"/>
  <c r="T758" i="3"/>
  <c r="S763" i="3"/>
  <c r="R768" i="3"/>
  <c r="Q773" i="3"/>
  <c r="P778" i="3"/>
  <c r="O783" i="3"/>
  <c r="N788" i="3"/>
  <c r="M793" i="3"/>
  <c r="L798" i="3"/>
  <c r="K803" i="3"/>
  <c r="J808" i="3"/>
  <c r="I813" i="3"/>
  <c r="U817" i="3"/>
  <c r="T822" i="3"/>
  <c r="S827" i="3"/>
  <c r="R832" i="3"/>
  <c r="Q837" i="3"/>
  <c r="P842" i="3"/>
  <c r="O847" i="3"/>
  <c r="N852" i="3"/>
  <c r="M857" i="3"/>
  <c r="L862" i="3"/>
  <c r="K867" i="3"/>
  <c r="J872" i="3"/>
  <c r="I877" i="3"/>
  <c r="U881" i="3"/>
  <c r="T886" i="3"/>
  <c r="L466" i="3"/>
  <c r="Q610" i="3"/>
  <c r="K656" i="3"/>
  <c r="J688" i="3"/>
  <c r="R701" i="3"/>
  <c r="J709" i="3"/>
  <c r="I714" i="3"/>
  <c r="U718" i="3"/>
  <c r="T723" i="3"/>
  <c r="J251" i="3"/>
  <c r="Q412" i="3"/>
  <c r="Q430" i="3"/>
  <c r="I457" i="3"/>
  <c r="P501" i="3"/>
  <c r="T502" i="3"/>
  <c r="R374" i="3"/>
  <c r="M412" i="3"/>
  <c r="I443" i="3"/>
  <c r="P463" i="3"/>
  <c r="R477" i="3"/>
  <c r="N489" i="3"/>
  <c r="X489" i="3" s="1"/>
  <c r="U502" i="3"/>
  <c r="J517" i="3"/>
  <c r="R379" i="3"/>
  <c r="U415" i="3"/>
  <c r="O450" i="3"/>
  <c r="O465" i="3"/>
  <c r="I479" i="3"/>
  <c r="K493" i="3"/>
  <c r="P368" i="3"/>
  <c r="P404" i="3"/>
  <c r="J442" i="3"/>
  <c r="L461" i="3"/>
  <c r="S474" i="3"/>
  <c r="U488" i="3"/>
  <c r="Q500" i="3"/>
  <c r="I367" i="3"/>
  <c r="T404" i="3"/>
  <c r="U435" i="3"/>
  <c r="U391" i="3"/>
  <c r="K500" i="3"/>
  <c r="K523" i="3"/>
  <c r="M537" i="3"/>
  <c r="O551" i="3"/>
  <c r="K563" i="3"/>
  <c r="R576" i="3"/>
  <c r="T590" i="3"/>
  <c r="P602" i="3"/>
  <c r="J616" i="3"/>
  <c r="N469" i="3"/>
  <c r="X469" i="3" s="1"/>
  <c r="T509" i="3"/>
  <c r="T474" i="3"/>
  <c r="M517" i="3"/>
  <c r="M531" i="3"/>
  <c r="T544" i="3"/>
  <c r="I559" i="3"/>
  <c r="R570" i="3"/>
  <c r="L584" i="3"/>
  <c r="N598" i="3"/>
  <c r="X598" i="3" s="1"/>
  <c r="J610" i="3"/>
  <c r="O370" i="3"/>
  <c r="J497" i="3"/>
  <c r="I522" i="3"/>
  <c r="M536" i="3"/>
  <c r="O550" i="3"/>
  <c r="K562" i="3"/>
  <c r="R575" i="3"/>
  <c r="T589" i="3"/>
  <c r="P601" i="3"/>
  <c r="J615" i="3"/>
  <c r="R460" i="3"/>
  <c r="N504" i="3"/>
  <c r="I527" i="3"/>
  <c r="M541" i="3"/>
  <c r="I553" i="3"/>
  <c r="P566" i="3"/>
  <c r="R580" i="3"/>
  <c r="N592" i="3"/>
  <c r="X592" i="3" s="1"/>
  <c r="U458" i="3"/>
  <c r="N509" i="3"/>
  <c r="X509" i="3" s="1"/>
  <c r="L527" i="3"/>
  <c r="U540" i="3"/>
  <c r="J555" i="3"/>
  <c r="S566" i="3"/>
  <c r="M580" i="3"/>
  <c r="O594" i="3"/>
  <c r="K606" i="3"/>
  <c r="R619" i="3"/>
  <c r="N530" i="3"/>
  <c r="R561" i="3"/>
  <c r="R597" i="3"/>
  <c r="T624" i="3"/>
  <c r="P636" i="3"/>
  <c r="J650" i="3"/>
  <c r="S661" i="3"/>
  <c r="Q671" i="3"/>
  <c r="O681" i="3"/>
  <c r="M691" i="3"/>
  <c r="K701" i="3"/>
  <c r="L498" i="3"/>
  <c r="O540" i="3"/>
  <c r="R566" i="3"/>
  <c r="J593" i="3"/>
  <c r="Q614" i="3"/>
  <c r="Q628" i="3"/>
  <c r="O638" i="3"/>
  <c r="M648" i="3"/>
  <c r="K658" i="3"/>
  <c r="I668" i="3"/>
  <c r="T677" i="3"/>
  <c r="R687" i="3"/>
  <c r="P697" i="3"/>
  <c r="N426" i="3"/>
  <c r="O532" i="3"/>
  <c r="R558" i="3"/>
  <c r="J585" i="3"/>
  <c r="P608" i="3"/>
  <c r="Q625" i="3"/>
  <c r="O635" i="3"/>
  <c r="M645" i="3"/>
  <c r="K655" i="3"/>
  <c r="I665" i="3"/>
  <c r="T674" i="3"/>
  <c r="R684" i="3"/>
  <c r="P694" i="3"/>
  <c r="N704" i="3"/>
  <c r="X704" i="3" s="1"/>
  <c r="S525" i="3"/>
  <c r="O552" i="3"/>
  <c r="Q578" i="3"/>
  <c r="T603" i="3"/>
  <c r="K623" i="3"/>
  <c r="J633" i="3"/>
  <c r="U642" i="3"/>
  <c r="S652" i="3"/>
  <c r="Q662" i="3"/>
  <c r="O672" i="3"/>
  <c r="M682" i="3"/>
  <c r="K692" i="3"/>
  <c r="I702" i="3"/>
  <c r="U512" i="3"/>
  <c r="O544" i="3"/>
  <c r="Q570" i="3"/>
  <c r="T596" i="3"/>
  <c r="Q617" i="3"/>
  <c r="J630" i="3"/>
  <c r="U639" i="3"/>
  <c r="S649" i="3"/>
  <c r="K657" i="3"/>
  <c r="J662" i="3"/>
  <c r="I667" i="3"/>
  <c r="U671" i="3"/>
  <c r="T676" i="3"/>
  <c r="S681" i="3"/>
  <c r="R686" i="3"/>
  <c r="S463" i="3"/>
  <c r="Q520" i="3"/>
  <c r="R534" i="3"/>
  <c r="T547" i="3"/>
  <c r="J561" i="3"/>
  <c r="J574" i="3"/>
  <c r="L587" i="3"/>
  <c r="O600" i="3"/>
  <c r="M610" i="3"/>
  <c r="K620" i="3"/>
  <c r="O626" i="3"/>
  <c r="N631" i="3"/>
  <c r="X631" i="3" s="1"/>
  <c r="M636" i="3"/>
  <c r="L641" i="3"/>
  <c r="K646" i="3"/>
  <c r="J651" i="3"/>
  <c r="I656" i="3"/>
  <c r="U660" i="3"/>
  <c r="T665" i="3"/>
  <c r="S670" i="3"/>
  <c r="R675" i="3"/>
  <c r="Q680" i="3"/>
  <c r="P685" i="3"/>
  <c r="O690" i="3"/>
  <c r="N695" i="3"/>
  <c r="X695" i="3" s="1"/>
  <c r="M700" i="3"/>
  <c r="L495" i="3"/>
  <c r="O526" i="3"/>
  <c r="T539" i="3"/>
  <c r="J553" i="3"/>
  <c r="J566" i="3"/>
  <c r="L579" i="3"/>
  <c r="O592" i="3"/>
  <c r="L604" i="3"/>
  <c r="J614" i="3"/>
  <c r="O623" i="3"/>
  <c r="N628" i="3"/>
  <c r="X628" i="3" s="1"/>
  <c r="M633" i="3"/>
  <c r="L638" i="3"/>
  <c r="K643" i="3"/>
  <c r="J648" i="3"/>
  <c r="I653" i="3"/>
  <c r="U657" i="3"/>
  <c r="T662" i="3"/>
  <c r="S667" i="3"/>
  <c r="R672" i="3"/>
  <c r="Q677" i="3"/>
  <c r="J545" i="3"/>
  <c r="M630" i="3"/>
  <c r="R669" i="3"/>
  <c r="J693" i="3"/>
  <c r="L705" i="3"/>
  <c r="S710" i="3"/>
  <c r="R715" i="3"/>
  <c r="Q720" i="3"/>
  <c r="P725" i="3"/>
  <c r="O730" i="3"/>
  <c r="N735" i="3"/>
  <c r="X735" i="3" s="1"/>
  <c r="M740" i="3"/>
  <c r="L745" i="3"/>
  <c r="K750" i="3"/>
  <c r="J755" i="3"/>
  <c r="I760" i="3"/>
  <c r="U764" i="3"/>
  <c r="T769" i="3"/>
  <c r="S774" i="3"/>
  <c r="R779" i="3"/>
  <c r="Q784" i="3"/>
  <c r="P789" i="3"/>
  <c r="O794" i="3"/>
  <c r="N799" i="3"/>
  <c r="X799" i="3" s="1"/>
  <c r="M804" i="3"/>
  <c r="L809" i="3"/>
  <c r="K814" i="3"/>
  <c r="J819" i="3"/>
  <c r="I824" i="3"/>
  <c r="U828" i="3"/>
  <c r="T833" i="3"/>
  <c r="S838" i="3"/>
  <c r="R843" i="3"/>
  <c r="Q848" i="3"/>
  <c r="P853" i="3"/>
  <c r="O858" i="3"/>
  <c r="N863" i="3"/>
  <c r="X863" i="3" s="1"/>
  <c r="M868" i="3"/>
  <c r="L873" i="3"/>
  <c r="K878" i="3"/>
  <c r="J883" i="3"/>
  <c r="I888" i="3"/>
  <c r="O533" i="3"/>
  <c r="I626" i="3"/>
  <c r="N665" i="3"/>
  <c r="X665" i="3" s="1"/>
  <c r="S691" i="3"/>
  <c r="J704" i="3"/>
  <c r="L710" i="3"/>
  <c r="K715" i="3"/>
  <c r="J720" i="3"/>
  <c r="I725" i="3"/>
  <c r="U729" i="3"/>
  <c r="T734" i="3"/>
  <c r="S739" i="3"/>
  <c r="R744" i="3"/>
  <c r="Q749" i="3"/>
  <c r="P754" i="3"/>
  <c r="O759" i="3"/>
  <c r="N764" i="3"/>
  <c r="X764" i="3" s="1"/>
  <c r="M769" i="3"/>
  <c r="L774" i="3"/>
  <c r="K779" i="3"/>
  <c r="J784" i="3"/>
  <c r="I789" i="3"/>
  <c r="U793" i="3"/>
  <c r="T798" i="3"/>
  <c r="S803" i="3"/>
  <c r="R808" i="3"/>
  <c r="Q813" i="3"/>
  <c r="P818" i="3"/>
  <c r="O823" i="3"/>
  <c r="N828" i="3"/>
  <c r="M833" i="3"/>
  <c r="L838" i="3"/>
  <c r="K843" i="3"/>
  <c r="J848" i="3"/>
  <c r="I853" i="3"/>
  <c r="U857" i="3"/>
  <c r="T862" i="3"/>
  <c r="S867" i="3"/>
  <c r="R872" i="3"/>
  <c r="Q877" i="3"/>
  <c r="P882" i="3"/>
  <c r="O887" i="3"/>
  <c r="I521" i="3"/>
  <c r="O620" i="3"/>
  <c r="J661" i="3"/>
  <c r="N690" i="3"/>
  <c r="U702" i="3"/>
  <c r="R709" i="3"/>
  <c r="Q714" i="3"/>
  <c r="P719" i="3"/>
  <c r="O724" i="3"/>
  <c r="N729" i="3"/>
  <c r="X729" i="3" s="1"/>
  <c r="M734" i="3"/>
  <c r="L739" i="3"/>
  <c r="U305" i="3"/>
  <c r="N384" i="3"/>
  <c r="X384" i="3" s="1"/>
  <c r="U369" i="3"/>
  <c r="R486" i="3"/>
  <c r="U380" i="3"/>
  <c r="O511" i="3"/>
  <c r="T377" i="3"/>
  <c r="J414" i="3"/>
  <c r="K449" i="3"/>
  <c r="S464" i="3"/>
  <c r="M478" i="3"/>
  <c r="O492" i="3"/>
  <c r="K504" i="3"/>
  <c r="R517" i="3"/>
  <c r="U387" i="3"/>
  <c r="J419" i="3"/>
  <c r="R451" i="3"/>
  <c r="P468" i="3"/>
  <c r="L480" i="3"/>
  <c r="S493" i="3"/>
  <c r="Q376" i="3"/>
  <c r="U407" i="3"/>
  <c r="M443" i="3"/>
  <c r="M464" i="3"/>
  <c r="I476" i="3"/>
  <c r="P489" i="3"/>
  <c r="R503" i="3"/>
  <c r="N370" i="3"/>
  <c r="X370" i="3" s="1"/>
  <c r="N406" i="3"/>
  <c r="X406" i="3" s="1"/>
  <c r="P443" i="3"/>
  <c r="J418" i="3"/>
  <c r="U501" i="3"/>
  <c r="Q526" i="3"/>
  <c r="P538" i="3"/>
  <c r="J552" i="3"/>
  <c r="L566" i="3"/>
  <c r="U577" i="3"/>
  <c r="O591" i="3"/>
  <c r="Q605" i="3"/>
  <c r="M617" i="3"/>
  <c r="T471" i="3"/>
  <c r="I516" i="3"/>
  <c r="S479" i="3"/>
  <c r="O518" i="3"/>
  <c r="N534" i="3"/>
  <c r="X534" i="3" s="1"/>
  <c r="J546" i="3"/>
  <c r="Q559" i="3"/>
  <c r="S573" i="3"/>
  <c r="O585" i="3"/>
  <c r="I599" i="3"/>
  <c r="K613" i="3"/>
  <c r="T396" i="3"/>
  <c r="M499" i="3"/>
  <c r="P525" i="3"/>
  <c r="P537" i="3"/>
  <c r="J551" i="3"/>
  <c r="L565" i="3"/>
  <c r="U576" i="3"/>
  <c r="O590" i="3"/>
  <c r="Q604" i="3"/>
  <c r="M616" i="3"/>
  <c r="K463" i="3"/>
  <c r="Q511" i="3"/>
  <c r="N528" i="3"/>
  <c r="U541" i="3"/>
  <c r="J556" i="3"/>
  <c r="S567" i="3"/>
  <c r="M581" i="3"/>
  <c r="O595" i="3"/>
  <c r="T463" i="3"/>
  <c r="Q510" i="3"/>
  <c r="O530" i="3"/>
  <c r="K542" i="3"/>
  <c r="R555" i="3"/>
  <c r="T569" i="3"/>
  <c r="P581" i="3"/>
  <c r="J595" i="3"/>
  <c r="L609" i="3"/>
  <c r="U620" i="3"/>
  <c r="K532" i="3"/>
  <c r="S569" i="3"/>
  <c r="I601" i="3"/>
  <c r="O625" i="3"/>
  <c r="Q639" i="3"/>
  <c r="M651" i="3"/>
  <c r="L664" i="3"/>
  <c r="J674" i="3"/>
  <c r="U683" i="3"/>
  <c r="S693" i="3"/>
  <c r="Q703" i="3"/>
  <c r="L519" i="3"/>
  <c r="I547" i="3"/>
  <c r="N573" i="3"/>
  <c r="X573" i="3" s="1"/>
  <c r="P599" i="3"/>
  <c r="P619" i="3"/>
  <c r="J631" i="3"/>
  <c r="U640" i="3"/>
  <c r="S650" i="3"/>
  <c r="Q660" i="3"/>
  <c r="O670" i="3"/>
  <c r="M680" i="3"/>
  <c r="K690" i="3"/>
  <c r="I700" i="3"/>
  <c r="M490" i="3"/>
  <c r="I539" i="3"/>
  <c r="N565" i="3"/>
  <c r="X565" i="3" s="1"/>
  <c r="P591" i="3"/>
  <c r="O613" i="3"/>
  <c r="J628" i="3"/>
  <c r="U637" i="3"/>
  <c r="S647" i="3"/>
  <c r="Q657" i="3"/>
  <c r="O667" i="3"/>
  <c r="M677" i="3"/>
  <c r="K687" i="3"/>
  <c r="I697" i="3"/>
  <c r="U427" i="3"/>
  <c r="S532" i="3"/>
  <c r="U558" i="3"/>
  <c r="K585" i="3"/>
  <c r="S608" i="3"/>
  <c r="R625" i="3"/>
  <c r="P635" i="3"/>
  <c r="N645" i="3"/>
  <c r="X645" i="3" s="1"/>
  <c r="L655" i="3"/>
  <c r="J665" i="3"/>
  <c r="U674" i="3"/>
  <c r="S684" i="3"/>
  <c r="Q694" i="3"/>
  <c r="O704" i="3"/>
  <c r="M524" i="3"/>
  <c r="U550" i="3"/>
  <c r="K577" i="3"/>
  <c r="T602" i="3"/>
  <c r="M622" i="3"/>
  <c r="P632" i="3"/>
  <c r="N642" i="3"/>
  <c r="X642" i="3" s="1"/>
  <c r="L652" i="3"/>
  <c r="S657" i="3"/>
  <c r="R662" i="3"/>
  <c r="Q667" i="3"/>
  <c r="P672" i="3"/>
  <c r="O677" i="3"/>
  <c r="N682" i="3"/>
  <c r="M687" i="3"/>
  <c r="Q473" i="3"/>
  <c r="P522" i="3"/>
  <c r="O536" i="3"/>
  <c r="O549" i="3"/>
  <c r="Q562" i="3"/>
  <c r="T575" i="3"/>
  <c r="T588" i="3"/>
  <c r="R601" i="3"/>
  <c r="P611" i="3"/>
  <c r="N621" i="3"/>
  <c r="X621" i="3" s="1"/>
  <c r="J627" i="3"/>
  <c r="I632" i="3"/>
  <c r="U636" i="3"/>
  <c r="T641" i="3"/>
  <c r="S646" i="3"/>
  <c r="R651" i="3"/>
  <c r="Q656" i="3"/>
  <c r="P661" i="3"/>
  <c r="O666" i="3"/>
  <c r="N671" i="3"/>
  <c r="X671" i="3" s="1"/>
  <c r="M676" i="3"/>
  <c r="L681" i="3"/>
  <c r="K686" i="3"/>
  <c r="J691" i="3"/>
  <c r="I696" i="3"/>
  <c r="U700" i="3"/>
  <c r="I503" i="3"/>
  <c r="O528" i="3"/>
  <c r="O541" i="3"/>
  <c r="Q554" i="3"/>
  <c r="T567" i="3"/>
  <c r="T580" i="3"/>
  <c r="I594" i="3"/>
  <c r="O605" i="3"/>
  <c r="M615" i="3"/>
  <c r="J624" i="3"/>
  <c r="I629" i="3"/>
  <c r="U633" i="3"/>
  <c r="T638" i="3"/>
  <c r="S643" i="3"/>
  <c r="R648" i="3"/>
  <c r="Q653" i="3"/>
  <c r="P658" i="3"/>
  <c r="O663" i="3"/>
  <c r="N668" i="3"/>
  <c r="X668" i="3" s="1"/>
  <c r="M673" i="3"/>
  <c r="L678" i="3"/>
  <c r="J558" i="3"/>
  <c r="L635" i="3"/>
  <c r="Q674" i="3"/>
  <c r="T694" i="3"/>
  <c r="N706" i="3"/>
  <c r="X706" i="3" s="1"/>
  <c r="N711" i="3"/>
  <c r="X711" i="3" s="1"/>
  <c r="M716" i="3"/>
  <c r="L721" i="3"/>
  <c r="K726" i="3"/>
  <c r="J731" i="3"/>
  <c r="I736" i="3"/>
  <c r="U740" i="3"/>
  <c r="T745" i="3"/>
  <c r="S750" i="3"/>
  <c r="R755" i="3"/>
  <c r="Q760" i="3"/>
  <c r="P765" i="3"/>
  <c r="O770" i="3"/>
  <c r="N775" i="3"/>
  <c r="X775" i="3" s="1"/>
  <c r="M780" i="3"/>
  <c r="L785" i="3"/>
  <c r="K790" i="3"/>
  <c r="J795" i="3"/>
  <c r="I800" i="3"/>
  <c r="U804" i="3"/>
  <c r="T809" i="3"/>
  <c r="S814" i="3"/>
  <c r="R819" i="3"/>
  <c r="Q824" i="3"/>
  <c r="P829" i="3"/>
  <c r="O834" i="3"/>
  <c r="N839" i="3"/>
  <c r="M844" i="3"/>
  <c r="L849" i="3"/>
  <c r="K854" i="3"/>
  <c r="J859" i="3"/>
  <c r="I864" i="3"/>
  <c r="U868" i="3"/>
  <c r="T873" i="3"/>
  <c r="S878" i="3"/>
  <c r="R883" i="3"/>
  <c r="Q888" i="3"/>
  <c r="Q546" i="3"/>
  <c r="U630" i="3"/>
  <c r="M670" i="3"/>
  <c r="O693" i="3"/>
  <c r="M705" i="3"/>
  <c r="T710" i="3"/>
  <c r="S715" i="3"/>
  <c r="R720" i="3"/>
  <c r="Q725" i="3"/>
  <c r="P730" i="3"/>
  <c r="O735" i="3"/>
  <c r="N740" i="3"/>
  <c r="X740" i="3" s="1"/>
  <c r="M745" i="3"/>
  <c r="L750" i="3"/>
  <c r="K755" i="3"/>
  <c r="J760" i="3"/>
  <c r="I765" i="3"/>
  <c r="U769" i="3"/>
  <c r="T774" i="3"/>
  <c r="S779" i="3"/>
  <c r="R784" i="3"/>
  <c r="Q789" i="3"/>
  <c r="P794" i="3"/>
  <c r="O799" i="3"/>
  <c r="N804" i="3"/>
  <c r="X804" i="3" s="1"/>
  <c r="M809" i="3"/>
  <c r="L814" i="3"/>
  <c r="K819" i="3"/>
  <c r="J824" i="3"/>
  <c r="I829" i="3"/>
  <c r="U833" i="3"/>
  <c r="T838" i="3"/>
  <c r="S843" i="3"/>
  <c r="R848" i="3"/>
  <c r="Q853" i="3"/>
  <c r="P858" i="3"/>
  <c r="O863" i="3"/>
  <c r="N868" i="3"/>
  <c r="X868" i="3" s="1"/>
  <c r="M873" i="3"/>
  <c r="L878" i="3"/>
  <c r="K883" i="3"/>
  <c r="J888" i="3"/>
  <c r="L535" i="3"/>
  <c r="Q626" i="3"/>
  <c r="I666" i="3"/>
  <c r="T691" i="3"/>
  <c r="K704" i="3"/>
  <c r="M710" i="3"/>
  <c r="L715" i="3"/>
  <c r="K720" i="3"/>
  <c r="J725" i="3"/>
  <c r="I730" i="3"/>
  <c r="U734" i="3"/>
  <c r="T739" i="3"/>
  <c r="S744" i="3"/>
  <c r="R749" i="3"/>
  <c r="Q754" i="3"/>
  <c r="P759" i="3"/>
  <c r="O764" i="3"/>
  <c r="N769" i="3"/>
  <c r="X769" i="3" s="1"/>
  <c r="M774" i="3"/>
  <c r="L779" i="3"/>
  <c r="K784" i="3"/>
  <c r="J789" i="3"/>
  <c r="I794" i="3"/>
  <c r="U798" i="3"/>
  <c r="T803" i="3"/>
  <c r="S808" i="3"/>
  <c r="R813" i="3"/>
  <c r="Q818" i="3"/>
  <c r="P823" i="3"/>
  <c r="O828" i="3"/>
  <c r="N833" i="3"/>
  <c r="X833" i="3" s="1"/>
  <c r="M838" i="3"/>
  <c r="L843" i="3"/>
  <c r="K848" i="3"/>
  <c r="J853" i="3"/>
  <c r="I858" i="3"/>
  <c r="U862" i="3"/>
  <c r="T867" i="3"/>
  <c r="S872" i="3"/>
  <c r="R877" i="3"/>
  <c r="Q882" i="3"/>
  <c r="P887" i="3"/>
  <c r="I563" i="3"/>
  <c r="J637" i="3"/>
  <c r="O676" i="3"/>
  <c r="O695" i="3"/>
  <c r="Q706" i="3"/>
  <c r="Q711" i="3"/>
  <c r="P716" i="3"/>
  <c r="O721" i="3"/>
  <c r="N726" i="3"/>
  <c r="X726" i="3" s="1"/>
  <c r="M731" i="3"/>
  <c r="L736" i="3"/>
  <c r="K741" i="3"/>
  <c r="J746" i="3"/>
  <c r="I751" i="3"/>
  <c r="U755" i="3"/>
  <c r="T760" i="3"/>
  <c r="S765" i="3"/>
  <c r="R770" i="3"/>
  <c r="Q775" i="3"/>
  <c r="P780" i="3"/>
  <c r="O785" i="3"/>
  <c r="N790" i="3"/>
  <c r="X790" i="3" s="1"/>
  <c r="M795" i="3"/>
  <c r="S341" i="3"/>
  <c r="S447" i="3"/>
  <c r="M409" i="3"/>
  <c r="J526" i="3"/>
  <c r="S459" i="3"/>
  <c r="T518" i="3"/>
  <c r="R387" i="3"/>
  <c r="O425" i="3"/>
  <c r="T452" i="3"/>
  <c r="O468" i="3"/>
  <c r="Q482" i="3"/>
  <c r="M494" i="3"/>
  <c r="T507" i="3"/>
  <c r="R360" i="3"/>
  <c r="T392" i="3"/>
  <c r="U428" i="3"/>
  <c r="R458" i="3"/>
  <c r="N470" i="3"/>
  <c r="X470" i="3" s="1"/>
  <c r="U483" i="3"/>
  <c r="J498" i="3"/>
  <c r="P381" i="3"/>
  <c r="U355" i="3"/>
  <c r="N450" i="3"/>
  <c r="X450" i="3" s="1"/>
  <c r="K454" i="3"/>
  <c r="U451" i="3"/>
  <c r="P505" i="3"/>
  <c r="N464" i="3"/>
  <c r="X464" i="3" s="1"/>
  <c r="N556" i="3"/>
  <c r="X556" i="3" s="1"/>
  <c r="O607" i="3"/>
  <c r="P494" i="3"/>
  <c r="U563" i="3"/>
  <c r="I615" i="3"/>
  <c r="L541" i="3"/>
  <c r="S594" i="3"/>
  <c r="M515" i="3"/>
  <c r="O571" i="3"/>
  <c r="J519" i="3"/>
  <c r="R571" i="3"/>
  <c r="K413" i="3"/>
  <c r="S629" i="3"/>
  <c r="U675" i="3"/>
  <c r="M525" i="3"/>
  <c r="U622" i="3"/>
  <c r="O662" i="3"/>
  <c r="T701" i="3"/>
  <c r="O596" i="3"/>
  <c r="Q649" i="3"/>
  <c r="I689" i="3"/>
  <c r="T563" i="3"/>
  <c r="N637" i="3"/>
  <c r="X637" i="3" s="1"/>
  <c r="S676" i="3"/>
  <c r="R529" i="3"/>
  <c r="P624" i="3"/>
  <c r="I659" i="3"/>
  <c r="S673" i="3"/>
  <c r="Q683" i="3"/>
  <c r="M493" i="3"/>
  <c r="Q539" i="3"/>
  <c r="I566" i="3"/>
  <c r="K592" i="3"/>
  <c r="I614" i="3"/>
  <c r="M628" i="3"/>
  <c r="K638" i="3"/>
  <c r="I648" i="3"/>
  <c r="T657" i="3"/>
  <c r="R667" i="3"/>
  <c r="P677" i="3"/>
  <c r="N687" i="3"/>
  <c r="X687" i="3" s="1"/>
  <c r="L697" i="3"/>
  <c r="K514" i="3"/>
  <c r="S544" i="3"/>
  <c r="I571" i="3"/>
  <c r="N597" i="3"/>
  <c r="X597" i="3" s="1"/>
  <c r="S617" i="3"/>
  <c r="L630" i="3"/>
  <c r="J640" i="3"/>
  <c r="U649" i="3"/>
  <c r="S659" i="3"/>
  <c r="Q669" i="3"/>
  <c r="O679" i="3"/>
  <c r="J645" i="3"/>
  <c r="I698" i="3"/>
  <c r="Q712" i="3"/>
  <c r="O722" i="3"/>
  <c r="M732" i="3"/>
  <c r="K742" i="3"/>
  <c r="I752" i="3"/>
  <c r="T761" i="3"/>
  <c r="R771" i="3"/>
  <c r="P781" i="3"/>
  <c r="N791" i="3"/>
  <c r="X791" i="3" s="1"/>
  <c r="L801" i="3"/>
  <c r="J811" i="3"/>
  <c r="U820" i="3"/>
  <c r="S830" i="3"/>
  <c r="Q840" i="3"/>
  <c r="O850" i="3"/>
  <c r="M860" i="3"/>
  <c r="K870" i="3"/>
  <c r="I880" i="3"/>
  <c r="T889" i="3"/>
  <c r="S640" i="3"/>
  <c r="R696" i="3"/>
  <c r="J712" i="3"/>
  <c r="U721" i="3"/>
  <c r="S731" i="3"/>
  <c r="Q741" i="3"/>
  <c r="O751" i="3"/>
  <c r="M761" i="3"/>
  <c r="K771" i="3"/>
  <c r="I781" i="3"/>
  <c r="T790" i="3"/>
  <c r="R800" i="3"/>
  <c r="P810" i="3"/>
  <c r="N820" i="3"/>
  <c r="X820" i="3" s="1"/>
  <c r="L830" i="3"/>
  <c r="J840" i="3"/>
  <c r="U849" i="3"/>
  <c r="S859" i="3"/>
  <c r="Q869" i="3"/>
  <c r="O879" i="3"/>
  <c r="M889" i="3"/>
  <c r="O636" i="3"/>
  <c r="M695" i="3"/>
  <c r="P711" i="3"/>
  <c r="N721" i="3"/>
  <c r="X721" i="3" s="1"/>
  <c r="Q730" i="3"/>
  <c r="N737" i="3"/>
  <c r="X737" i="3" s="1"/>
  <c r="N745" i="3"/>
  <c r="X745" i="3" s="1"/>
  <c r="P751" i="3"/>
  <c r="M758" i="3"/>
  <c r="J765" i="3"/>
  <c r="L771" i="3"/>
  <c r="I778" i="3"/>
  <c r="S784" i="3"/>
  <c r="U790" i="3"/>
  <c r="R797" i="3"/>
  <c r="O804" i="3"/>
  <c r="Q810" i="3"/>
  <c r="N817" i="3"/>
  <c r="X817" i="3" s="1"/>
  <c r="K824" i="3"/>
  <c r="M830" i="3"/>
  <c r="J837" i="3"/>
  <c r="T843" i="3"/>
  <c r="I850" i="3"/>
  <c r="S856" i="3"/>
  <c r="P863" i="3"/>
  <c r="R869" i="3"/>
  <c r="O876" i="3"/>
  <c r="L883" i="3"/>
  <c r="N889" i="3"/>
  <c r="X889" i="3" s="1"/>
  <c r="L627" i="3"/>
  <c r="S680" i="3"/>
  <c r="N700" i="3"/>
  <c r="X700" i="3" s="1"/>
  <c r="N710" i="3"/>
  <c r="K717" i="3"/>
  <c r="M723" i="3"/>
  <c r="J730" i="3"/>
  <c r="T736" i="3"/>
  <c r="I743" i="3"/>
  <c r="S749" i="3"/>
  <c r="P756" i="3"/>
  <c r="R762" i="3"/>
  <c r="L768" i="3"/>
  <c r="S773" i="3"/>
  <c r="M779" i="3"/>
  <c r="T784" i="3"/>
  <c r="I791" i="3"/>
  <c r="P796" i="3"/>
  <c r="O801" i="3"/>
  <c r="N806" i="3"/>
  <c r="X806" i="3" s="1"/>
  <c r="M811" i="3"/>
  <c r="L816" i="3"/>
  <c r="K821" i="3"/>
  <c r="J826" i="3"/>
  <c r="I831" i="3"/>
  <c r="U835" i="3"/>
  <c r="T840" i="3"/>
  <c r="S845" i="3"/>
  <c r="R850" i="3"/>
  <c r="Q855" i="3"/>
  <c r="P860" i="3"/>
  <c r="O865" i="3"/>
  <c r="N870" i="3"/>
  <c r="X870" i="3" s="1"/>
  <c r="M875" i="3"/>
  <c r="L880" i="3"/>
  <c r="K885" i="3"/>
  <c r="J890" i="3"/>
  <c r="I525" i="3"/>
  <c r="R622" i="3"/>
  <c r="M662" i="3"/>
  <c r="Q690" i="3"/>
  <c r="N703" i="3"/>
  <c r="X703" i="3" s="1"/>
  <c r="T709" i="3"/>
  <c r="S714" i="3"/>
  <c r="R719" i="3"/>
  <c r="Q724" i="3"/>
  <c r="P729" i="3"/>
  <c r="O734" i="3"/>
  <c r="N739" i="3"/>
  <c r="X739" i="3" s="1"/>
  <c r="M744" i="3"/>
  <c r="L749" i="3"/>
  <c r="K754" i="3"/>
  <c r="J759" i="3"/>
  <c r="I764" i="3"/>
  <c r="U768" i="3"/>
  <c r="T773" i="3"/>
  <c r="S778" i="3"/>
  <c r="R783" i="3"/>
  <c r="Q788" i="3"/>
  <c r="P793" i="3"/>
  <c r="O798" i="3"/>
  <c r="N803" i="3"/>
  <c r="X803" i="3" s="1"/>
  <c r="M808" i="3"/>
  <c r="L813" i="3"/>
  <c r="K818" i="3"/>
  <c r="J823" i="3"/>
  <c r="I828" i="3"/>
  <c r="U832" i="3"/>
  <c r="T837" i="3"/>
  <c r="S842" i="3"/>
  <c r="R847" i="3"/>
  <c r="Q852" i="3"/>
  <c r="P857" i="3"/>
  <c r="O862" i="3"/>
  <c r="N867" i="3"/>
  <c r="X867" i="3" s="1"/>
  <c r="M566" i="3"/>
  <c r="M638" i="3"/>
  <c r="R677" i="3"/>
  <c r="U695" i="3"/>
  <c r="T706" i="3"/>
  <c r="S711" i="3"/>
  <c r="R716" i="3"/>
  <c r="Q721" i="3"/>
  <c r="T595" i="3"/>
  <c r="N649" i="3"/>
  <c r="X649" i="3" s="1"/>
  <c r="O684" i="3"/>
  <c r="Q699" i="3"/>
  <c r="L708" i="3"/>
  <c r="K713" i="3"/>
  <c r="J718" i="3"/>
  <c r="I723" i="3"/>
  <c r="U727" i="3"/>
  <c r="T732" i="3"/>
  <c r="S737" i="3"/>
  <c r="R742" i="3"/>
  <c r="Q747" i="3"/>
  <c r="P752" i="3"/>
  <c r="O757" i="3"/>
  <c r="N762" i="3"/>
  <c r="M767" i="3"/>
  <c r="L772" i="3"/>
  <c r="K777" i="3"/>
  <c r="J782" i="3"/>
  <c r="I787" i="3"/>
  <c r="U791" i="3"/>
  <c r="T796" i="3"/>
  <c r="S801" i="3"/>
  <c r="R806" i="3"/>
  <c r="Q811" i="3"/>
  <c r="P816" i="3"/>
  <c r="O821" i="3"/>
  <c r="N826" i="3"/>
  <c r="X826" i="3" s="1"/>
  <c r="M831" i="3"/>
  <c r="L836" i="3"/>
  <c r="K841" i="3"/>
  <c r="J846" i="3"/>
  <c r="I851" i="3"/>
  <c r="U855" i="3"/>
  <c r="T860" i="3"/>
  <c r="S865" i="3"/>
  <c r="R870" i="3"/>
  <c r="Q875" i="3"/>
  <c r="P880" i="3"/>
  <c r="O885" i="3"/>
  <c r="N890" i="3"/>
  <c r="X890" i="3" s="1"/>
  <c r="P615" i="3"/>
  <c r="U725" i="3"/>
  <c r="Q745" i="3"/>
  <c r="M765" i="3"/>
  <c r="I785" i="3"/>
  <c r="R804" i="3"/>
  <c r="N824" i="3"/>
  <c r="J844" i="3"/>
  <c r="S863" i="3"/>
  <c r="Q878" i="3"/>
  <c r="N891" i="3"/>
  <c r="X891" i="3" s="1"/>
  <c r="I897" i="3"/>
  <c r="U901" i="3"/>
  <c r="T906" i="3"/>
  <c r="S911" i="3"/>
  <c r="R916" i="3"/>
  <c r="Q921" i="3"/>
  <c r="P926" i="3"/>
  <c r="O931" i="3"/>
  <c r="N936" i="3"/>
  <c r="X936" i="3" s="1"/>
  <c r="M941" i="3"/>
  <c r="L946" i="3"/>
  <c r="K951" i="3"/>
  <c r="J956" i="3"/>
  <c r="I961" i="3"/>
  <c r="U965" i="3"/>
  <c r="T970" i="3"/>
  <c r="S975" i="3"/>
  <c r="R980" i="3"/>
  <c r="Q985" i="3"/>
  <c r="P990" i="3"/>
  <c r="O995" i="3"/>
  <c r="N1000" i="3"/>
  <c r="X1000" i="3" s="1"/>
  <c r="R801" i="3"/>
  <c r="U904" i="3"/>
  <c r="N931" i="3"/>
  <c r="L965" i="3"/>
  <c r="U1000" i="3"/>
  <c r="T719" i="3"/>
  <c r="S740" i="3"/>
  <c r="O760" i="3"/>
  <c r="K780" i="3"/>
  <c r="T799" i="3"/>
  <c r="P819" i="3"/>
  <c r="L839" i="3"/>
  <c r="U858" i="3"/>
  <c r="P875" i="3"/>
  <c r="U888" i="3"/>
  <c r="T895" i="3"/>
  <c r="S900" i="3"/>
  <c r="R905" i="3"/>
  <c r="Q910" i="3"/>
  <c r="P915" i="3"/>
  <c r="O920" i="3"/>
  <c r="N925" i="3"/>
  <c r="X925" i="3" s="1"/>
  <c r="M930" i="3"/>
  <c r="L935" i="3"/>
  <c r="K940" i="3"/>
  <c r="J945" i="3"/>
  <c r="I950" i="3"/>
  <c r="U954" i="3"/>
  <c r="T959" i="3"/>
  <c r="S964" i="3"/>
  <c r="R969" i="3"/>
  <c r="Q974" i="3"/>
  <c r="P979" i="3"/>
  <c r="O984" i="3"/>
  <c r="N989" i="3"/>
  <c r="X989" i="3" s="1"/>
  <c r="M994" i="3"/>
  <c r="L999" i="3"/>
  <c r="U980" i="3"/>
  <c r="U996" i="3"/>
  <c r="J978" i="3"/>
  <c r="U754" i="3"/>
  <c r="L891" i="3"/>
  <c r="N923" i="3"/>
  <c r="X923" i="3" s="1"/>
  <c r="Q956" i="3"/>
  <c r="P993" i="3"/>
  <c r="P715" i="3"/>
  <c r="T738" i="3"/>
  <c r="P758" i="3"/>
  <c r="L778" i="3"/>
  <c r="U797" i="3"/>
  <c r="Q817" i="3"/>
  <c r="M837" i="3"/>
  <c r="I857" i="3"/>
  <c r="Q409" i="3"/>
  <c r="T467" i="3"/>
  <c r="K469" i="3"/>
  <c r="U464" i="3"/>
  <c r="O378" i="3"/>
  <c r="J505" i="3"/>
  <c r="T566" i="3"/>
  <c r="N620" i="3"/>
  <c r="X620" i="3" s="1"/>
  <c r="M520" i="3"/>
  <c r="N574" i="3"/>
  <c r="X574" i="3" s="1"/>
  <c r="T456" i="3"/>
  <c r="M552" i="3"/>
  <c r="L605" i="3"/>
  <c r="O531" i="3"/>
  <c r="P582" i="3"/>
  <c r="J531" i="3"/>
  <c r="Q584" i="3"/>
  <c r="M535" i="3"/>
  <c r="L640" i="3"/>
  <c r="P684" i="3"/>
  <c r="S548" i="3"/>
  <c r="R631" i="3"/>
  <c r="J671" i="3"/>
  <c r="P499" i="3"/>
  <c r="R614" i="3"/>
  <c r="L658" i="3"/>
  <c r="Q697" i="3"/>
  <c r="U586" i="3"/>
  <c r="I646" i="3"/>
  <c r="N685" i="3"/>
  <c r="X685" i="3" s="1"/>
  <c r="P552" i="3"/>
  <c r="K633" i="3"/>
  <c r="M663" i="3"/>
  <c r="N674" i="3"/>
  <c r="X674" i="3" s="1"/>
  <c r="L684" i="3"/>
  <c r="N501" i="3"/>
  <c r="X501" i="3" s="1"/>
  <c r="N541" i="3"/>
  <c r="X541" i="3" s="1"/>
  <c r="P567" i="3"/>
  <c r="S593" i="3"/>
  <c r="L615" i="3"/>
  <c r="U628" i="3"/>
  <c r="S638" i="3"/>
  <c r="Q648" i="3"/>
  <c r="O658" i="3"/>
  <c r="M668" i="3"/>
  <c r="K678" i="3"/>
  <c r="I688" i="3"/>
  <c r="T697" i="3"/>
  <c r="N518" i="3"/>
  <c r="X518" i="3" s="1"/>
  <c r="N546" i="3"/>
  <c r="X546" i="3" s="1"/>
  <c r="S572" i="3"/>
  <c r="U598" i="3"/>
  <c r="I619" i="3"/>
  <c r="T630" i="3"/>
  <c r="R640" i="3"/>
  <c r="P650" i="3"/>
  <c r="N660" i="3"/>
  <c r="X660" i="3" s="1"/>
  <c r="L670" i="3"/>
  <c r="J680" i="3"/>
  <c r="I650" i="3"/>
  <c r="S699" i="3"/>
  <c r="L713" i="3"/>
  <c r="J723" i="3"/>
  <c r="U732" i="3"/>
  <c r="S742" i="3"/>
  <c r="Q752" i="3"/>
  <c r="O762" i="3"/>
  <c r="M772" i="3"/>
  <c r="K782" i="3"/>
  <c r="I792" i="3"/>
  <c r="T801" i="3"/>
  <c r="R811" i="3"/>
  <c r="P821" i="3"/>
  <c r="N831" i="3"/>
  <c r="X831" i="3" s="1"/>
  <c r="L841" i="3"/>
  <c r="J851" i="3"/>
  <c r="U860" i="3"/>
  <c r="S870" i="3"/>
  <c r="Q880" i="3"/>
  <c r="O890" i="3"/>
  <c r="R645" i="3"/>
  <c r="N698" i="3"/>
  <c r="X698" i="3" s="1"/>
  <c r="R712" i="3"/>
  <c r="P722" i="3"/>
  <c r="N732" i="3"/>
  <c r="X732" i="3" s="1"/>
  <c r="L742" i="3"/>
  <c r="J752" i="3"/>
  <c r="U761" i="3"/>
  <c r="S771" i="3"/>
  <c r="Q781" i="3"/>
  <c r="O791" i="3"/>
  <c r="M801" i="3"/>
  <c r="K811" i="3"/>
  <c r="I821" i="3"/>
  <c r="T830" i="3"/>
  <c r="R840" i="3"/>
  <c r="P850" i="3"/>
  <c r="N860" i="3"/>
  <c r="X860" i="3" s="1"/>
  <c r="L870" i="3"/>
  <c r="J880" i="3"/>
  <c r="U889" i="3"/>
  <c r="N641" i="3"/>
  <c r="X641" i="3" s="1"/>
  <c r="S696" i="3"/>
  <c r="K712" i="3"/>
  <c r="I722" i="3"/>
  <c r="L731" i="3"/>
  <c r="Q738" i="3"/>
  <c r="I746" i="3"/>
  <c r="K752" i="3"/>
  <c r="U758" i="3"/>
  <c r="R765" i="3"/>
  <c r="T771" i="3"/>
  <c r="Q778" i="3"/>
  <c r="N785" i="3"/>
  <c r="X785" i="3" s="1"/>
  <c r="P791" i="3"/>
  <c r="M798" i="3"/>
  <c r="J805" i="3"/>
  <c r="L811" i="3"/>
  <c r="I818" i="3"/>
  <c r="S824" i="3"/>
  <c r="U830" i="3"/>
  <c r="R837" i="3"/>
  <c r="O844" i="3"/>
  <c r="Q850" i="3"/>
  <c r="N857" i="3"/>
  <c r="X857" i="3" s="1"/>
  <c r="K864" i="3"/>
  <c r="M870" i="3"/>
  <c r="J877" i="3"/>
  <c r="T883" i="3"/>
  <c r="J476" i="3"/>
  <c r="K632" i="3"/>
  <c r="L683" i="3"/>
  <c r="J702" i="3"/>
  <c r="I711" i="3"/>
  <c r="S717" i="3"/>
  <c r="U723" i="3"/>
  <c r="R730" i="3"/>
  <c r="O737" i="3"/>
  <c r="Q743" i="3"/>
  <c r="N750" i="3"/>
  <c r="X750" i="3" s="1"/>
  <c r="K757" i="3"/>
  <c r="M763" i="3"/>
  <c r="T768" i="3"/>
  <c r="N774" i="3"/>
  <c r="U779" i="3"/>
  <c r="J786" i="3"/>
  <c r="Q791" i="3"/>
  <c r="K797" i="3"/>
  <c r="J802" i="3"/>
  <c r="I807" i="3"/>
  <c r="U811" i="3"/>
  <c r="T816" i="3"/>
  <c r="S821" i="3"/>
  <c r="R826" i="3"/>
  <c r="Q831" i="3"/>
  <c r="P836" i="3"/>
  <c r="O841" i="3"/>
  <c r="N846" i="3"/>
  <c r="X846" i="3" s="1"/>
  <c r="M851" i="3"/>
  <c r="L856" i="3"/>
  <c r="K861" i="3"/>
  <c r="J866" i="3"/>
  <c r="I871" i="3"/>
  <c r="U875" i="3"/>
  <c r="T880" i="3"/>
  <c r="S885" i="3"/>
  <c r="R890" i="3"/>
  <c r="N538" i="3"/>
  <c r="X538" i="3" s="1"/>
  <c r="T627" i="3"/>
  <c r="L667" i="3"/>
  <c r="N692" i="3"/>
  <c r="X692" i="3" s="1"/>
  <c r="Q704" i="3"/>
  <c r="O710" i="3"/>
  <c r="N715" i="3"/>
  <c r="X715" i="3" s="1"/>
  <c r="M720" i="3"/>
  <c r="L725" i="3"/>
  <c r="K730" i="3"/>
  <c r="J735" i="3"/>
  <c r="I740" i="3"/>
  <c r="U744" i="3"/>
  <c r="T749" i="3"/>
  <c r="S754" i="3"/>
  <c r="R759" i="3"/>
  <c r="Q764" i="3"/>
  <c r="P769" i="3"/>
  <c r="O774" i="3"/>
  <c r="N779" i="3"/>
  <c r="X779" i="3" s="1"/>
  <c r="M784" i="3"/>
  <c r="L789" i="3"/>
  <c r="K794" i="3"/>
  <c r="J799" i="3"/>
  <c r="I804" i="3"/>
  <c r="U808" i="3"/>
  <c r="T813" i="3"/>
  <c r="S818" i="3"/>
  <c r="R823" i="3"/>
  <c r="Q828" i="3"/>
  <c r="P833" i="3"/>
  <c r="O838" i="3"/>
  <c r="N843" i="3"/>
  <c r="X843" i="3" s="1"/>
  <c r="M848" i="3"/>
  <c r="L853" i="3"/>
  <c r="K858" i="3"/>
  <c r="J863" i="3"/>
  <c r="I868" i="3"/>
  <c r="P579" i="3"/>
  <c r="L643" i="3"/>
  <c r="N681" i="3"/>
  <c r="N697" i="3"/>
  <c r="X697" i="3" s="1"/>
  <c r="O707" i="3"/>
  <c r="N712" i="3"/>
  <c r="X712" i="3" s="1"/>
  <c r="M717" i="3"/>
  <c r="L722" i="3"/>
  <c r="U606" i="3"/>
  <c r="M654" i="3"/>
  <c r="U686" i="3"/>
  <c r="J701" i="3"/>
  <c r="T708" i="3"/>
  <c r="S713" i="3"/>
  <c r="R718" i="3"/>
  <c r="Q723" i="3"/>
  <c r="P728" i="3"/>
  <c r="O733" i="3"/>
  <c r="N738" i="3"/>
  <c r="X738" i="3" s="1"/>
  <c r="M743" i="3"/>
  <c r="L748" i="3"/>
  <c r="K753" i="3"/>
  <c r="J758" i="3"/>
  <c r="I763" i="3"/>
  <c r="U767" i="3"/>
  <c r="T772" i="3"/>
  <c r="S777" i="3"/>
  <c r="R782" i="3"/>
  <c r="Q787" i="3"/>
  <c r="P792" i="3"/>
  <c r="O797" i="3"/>
  <c r="N802" i="3"/>
  <c r="X802" i="3" s="1"/>
  <c r="M807" i="3"/>
  <c r="L812" i="3"/>
  <c r="K817" i="3"/>
  <c r="J822" i="3"/>
  <c r="I827" i="3"/>
  <c r="U831" i="3"/>
  <c r="T836" i="3"/>
  <c r="S841" i="3"/>
  <c r="R846" i="3"/>
  <c r="Q851" i="3"/>
  <c r="P856" i="3"/>
  <c r="O861" i="3"/>
  <c r="N866" i="3"/>
  <c r="X866" i="3" s="1"/>
  <c r="M871" i="3"/>
  <c r="L876" i="3"/>
  <c r="K881" i="3"/>
  <c r="J886" i="3"/>
  <c r="I891" i="3"/>
  <c r="Q658" i="3"/>
  <c r="N728" i="3"/>
  <c r="J748" i="3"/>
  <c r="S767" i="3"/>
  <c r="O787" i="3"/>
  <c r="K807" i="3"/>
  <c r="T826" i="3"/>
  <c r="P846" i="3"/>
  <c r="L866" i="3"/>
  <c r="N880" i="3"/>
  <c r="X880" i="3" s="1"/>
  <c r="K892" i="3"/>
  <c r="Q897" i="3"/>
  <c r="P902" i="3"/>
  <c r="O907" i="3"/>
  <c r="N912" i="3"/>
  <c r="X912" i="3" s="1"/>
  <c r="M917" i="3"/>
  <c r="L922" i="3"/>
  <c r="K927" i="3"/>
  <c r="J932" i="3"/>
  <c r="I937" i="3"/>
  <c r="U941" i="3"/>
  <c r="T946" i="3"/>
  <c r="S951" i="3"/>
  <c r="R956" i="3"/>
  <c r="Q961" i="3"/>
  <c r="P966" i="3"/>
  <c r="O971" i="3"/>
  <c r="N976" i="3"/>
  <c r="X976" i="3" s="1"/>
  <c r="M981" i="3"/>
  <c r="L986" i="3"/>
  <c r="K991" i="3"/>
  <c r="J996" i="3"/>
  <c r="O961" i="3"/>
  <c r="M826" i="3"/>
  <c r="Q908" i="3"/>
  <c r="J935" i="3"/>
  <c r="M968" i="3"/>
  <c r="P528" i="3"/>
  <c r="P723" i="3"/>
  <c r="L743" i="3"/>
  <c r="U762" i="3"/>
  <c r="Q782" i="3"/>
  <c r="M802" i="3"/>
  <c r="I822" i="3"/>
  <c r="R841" i="3"/>
  <c r="N861" i="3"/>
  <c r="X861" i="3" s="1"/>
  <c r="M877" i="3"/>
  <c r="L890" i="3"/>
  <c r="O896" i="3"/>
  <c r="N901" i="3"/>
  <c r="X901" i="3" s="1"/>
  <c r="M906" i="3"/>
  <c r="L911" i="3"/>
  <c r="K916" i="3"/>
  <c r="J921" i="3"/>
  <c r="I926" i="3"/>
  <c r="U930" i="3"/>
  <c r="T935" i="3"/>
  <c r="S940" i="3"/>
  <c r="R945" i="3"/>
  <c r="Q950" i="3"/>
  <c r="P955" i="3"/>
  <c r="O960" i="3"/>
  <c r="N965" i="3"/>
  <c r="X965" i="3" s="1"/>
  <c r="M970" i="3"/>
  <c r="L975" i="3"/>
  <c r="K980" i="3"/>
  <c r="J985" i="3"/>
  <c r="I990" i="3"/>
  <c r="U994" i="3"/>
  <c r="T999" i="3"/>
  <c r="I984" i="3"/>
  <c r="K998" i="3"/>
  <c r="N982" i="3"/>
  <c r="X982" i="3" s="1"/>
  <c r="Q774" i="3"/>
  <c r="M896" i="3"/>
  <c r="O926" i="3"/>
  <c r="M960" i="3"/>
  <c r="L997" i="3"/>
  <c r="O720" i="3"/>
  <c r="M741" i="3"/>
  <c r="I761" i="3"/>
  <c r="R780" i="3"/>
  <c r="N800" i="3"/>
  <c r="X800" i="3" s="1"/>
  <c r="J820" i="3"/>
  <c r="S839" i="3"/>
  <c r="O859" i="3"/>
  <c r="S379" i="3"/>
  <c r="P479" i="3"/>
  <c r="M483" i="3"/>
  <c r="K466" i="3"/>
  <c r="L380" i="3"/>
  <c r="L512" i="3"/>
  <c r="J568" i="3"/>
  <c r="I621" i="3"/>
  <c r="I524" i="3"/>
  <c r="Q575" i="3"/>
  <c r="K460" i="3"/>
  <c r="N555" i="3"/>
  <c r="X555" i="3" s="1"/>
  <c r="O606" i="3"/>
  <c r="J532" i="3"/>
  <c r="Q585" i="3"/>
  <c r="M532" i="3"/>
  <c r="L585" i="3"/>
  <c r="P543" i="3"/>
  <c r="O641" i="3"/>
  <c r="S685" i="3"/>
  <c r="U551" i="3"/>
  <c r="U632" i="3"/>
  <c r="M672" i="3"/>
  <c r="R511" i="3"/>
  <c r="K617" i="3"/>
  <c r="O659" i="3"/>
  <c r="T698" i="3"/>
  <c r="J590" i="3"/>
  <c r="L647" i="3"/>
  <c r="Q686" i="3"/>
  <c r="T555" i="3"/>
  <c r="N634" i="3"/>
  <c r="X634" i="3" s="1"/>
  <c r="U663" i="3"/>
  <c r="I675" i="3"/>
  <c r="T684" i="3"/>
  <c r="J508" i="3"/>
  <c r="U542" i="3"/>
  <c r="K569" i="3"/>
  <c r="P595" i="3"/>
  <c r="O616" i="3"/>
  <c r="P629" i="3"/>
  <c r="N639" i="3"/>
  <c r="X639" i="3" s="1"/>
  <c r="L649" i="3"/>
  <c r="J659" i="3"/>
  <c r="U668" i="3"/>
  <c r="S678" i="3"/>
  <c r="Q688" i="3"/>
  <c r="O698" i="3"/>
  <c r="S520" i="3"/>
  <c r="K548" i="3"/>
  <c r="M574" i="3"/>
  <c r="P600" i="3"/>
  <c r="L620" i="3"/>
  <c r="O631" i="3"/>
  <c r="M641" i="3"/>
  <c r="K651" i="3"/>
  <c r="I661" i="3"/>
  <c r="T670" i="3"/>
  <c r="S401" i="3"/>
  <c r="U654" i="3"/>
  <c r="O701" i="3"/>
  <c r="T713" i="3"/>
  <c r="R723" i="3"/>
  <c r="P733" i="3"/>
  <c r="N743" i="3"/>
  <c r="X743" i="3" s="1"/>
  <c r="L753" i="3"/>
  <c r="J763" i="3"/>
  <c r="U772" i="3"/>
  <c r="S782" i="3"/>
  <c r="Q792" i="3"/>
  <c r="O802" i="3"/>
  <c r="M812" i="3"/>
  <c r="K822" i="3"/>
  <c r="I832" i="3"/>
  <c r="T841" i="3"/>
  <c r="R851" i="3"/>
  <c r="P861" i="3"/>
  <c r="N871" i="3"/>
  <c r="X871" i="3" s="1"/>
  <c r="L881" i="3"/>
  <c r="J891" i="3"/>
  <c r="Q650" i="3"/>
  <c r="T699" i="3"/>
  <c r="M713" i="3"/>
  <c r="K723" i="3"/>
  <c r="I733" i="3"/>
  <c r="T742" i="3"/>
  <c r="R752" i="3"/>
  <c r="P762" i="3"/>
  <c r="N772" i="3"/>
  <c r="X772" i="3" s="1"/>
  <c r="L782" i="3"/>
  <c r="J792" i="3"/>
  <c r="U801" i="3"/>
  <c r="S811" i="3"/>
  <c r="Q821" i="3"/>
  <c r="O831" i="3"/>
  <c r="M841" i="3"/>
  <c r="K851" i="3"/>
  <c r="I861" i="3"/>
  <c r="T870" i="3"/>
  <c r="R880" i="3"/>
  <c r="P890" i="3"/>
  <c r="M646" i="3"/>
  <c r="P698" i="3"/>
  <c r="S712" i="3"/>
  <c r="Q722" i="3"/>
  <c r="T731" i="3"/>
  <c r="O740" i="3"/>
  <c r="Q746" i="3"/>
  <c r="N753" i="3"/>
  <c r="X753" i="3" s="1"/>
  <c r="K760" i="3"/>
  <c r="M766" i="3"/>
  <c r="J773" i="3"/>
  <c r="T779" i="3"/>
  <c r="I786" i="3"/>
  <c r="S792" i="3"/>
  <c r="P799" i="3"/>
  <c r="R805" i="3"/>
  <c r="O812" i="3"/>
  <c r="L819" i="3"/>
  <c r="N825" i="3"/>
  <c r="X825" i="3" s="1"/>
  <c r="K832" i="3"/>
  <c r="U838" i="3"/>
  <c r="J845" i="3"/>
  <c r="T851" i="3"/>
  <c r="Q858" i="3"/>
  <c r="S864" i="3"/>
  <c r="P871" i="3"/>
  <c r="M878" i="3"/>
  <c r="O884" i="3"/>
  <c r="S536" i="3"/>
  <c r="I642" i="3"/>
  <c r="R685" i="3"/>
  <c r="P704" i="3"/>
  <c r="L712" i="3"/>
  <c r="N718" i="3"/>
  <c r="X718" i="3" s="1"/>
  <c r="K725" i="3"/>
  <c r="U731" i="3"/>
  <c r="J738" i="3"/>
  <c r="T744" i="3"/>
  <c r="Q751" i="3"/>
  <c r="S757" i="3"/>
  <c r="U763" i="3"/>
  <c r="O769" i="3"/>
  <c r="I775" i="3"/>
  <c r="K781" i="3"/>
  <c r="R786" i="3"/>
  <c r="L792" i="3"/>
  <c r="S797" i="3"/>
  <c r="R802" i="3"/>
  <c r="Q807" i="3"/>
  <c r="P812" i="3"/>
  <c r="O817" i="3"/>
  <c r="N822" i="3"/>
  <c r="X822" i="3" s="1"/>
  <c r="M827" i="3"/>
  <c r="L832" i="3"/>
  <c r="K837" i="3"/>
  <c r="J842" i="3"/>
  <c r="I847" i="3"/>
  <c r="U851" i="3"/>
  <c r="T856" i="3"/>
  <c r="S861" i="3"/>
  <c r="R866" i="3"/>
  <c r="Q871" i="3"/>
  <c r="P876" i="3"/>
  <c r="O881" i="3"/>
  <c r="N886" i="3"/>
  <c r="X886" i="3" s="1"/>
  <c r="M891" i="3"/>
  <c r="P551" i="3"/>
  <c r="S632" i="3"/>
  <c r="K672" i="3"/>
  <c r="J694" i="3"/>
  <c r="T705" i="3"/>
  <c r="J711" i="3"/>
  <c r="I716" i="3"/>
  <c r="U720" i="3"/>
  <c r="T725" i="3"/>
  <c r="S730" i="3"/>
  <c r="R735" i="3"/>
  <c r="Q740" i="3"/>
  <c r="P745" i="3"/>
  <c r="O750" i="3"/>
  <c r="N755" i="3"/>
  <c r="X755" i="3" s="1"/>
  <c r="M760" i="3"/>
  <c r="L765" i="3"/>
  <c r="K770" i="3"/>
  <c r="J775" i="3"/>
  <c r="I780" i="3"/>
  <c r="U784" i="3"/>
  <c r="T789" i="3"/>
  <c r="S794" i="3"/>
  <c r="R799" i="3"/>
  <c r="Q804" i="3"/>
  <c r="P809" i="3"/>
  <c r="O814" i="3"/>
  <c r="N819" i="3"/>
  <c r="M824" i="3"/>
  <c r="L829" i="3"/>
  <c r="K834" i="3"/>
  <c r="J839" i="3"/>
  <c r="I844" i="3"/>
  <c r="U848" i="3"/>
  <c r="T853" i="3"/>
  <c r="S858" i="3"/>
  <c r="R863" i="3"/>
  <c r="Q868" i="3"/>
  <c r="P592" i="3"/>
  <c r="K648" i="3"/>
  <c r="T683" i="3"/>
  <c r="K699" i="3"/>
  <c r="J708" i="3"/>
  <c r="I713" i="3"/>
  <c r="U717" i="3"/>
  <c r="M509" i="3"/>
  <c r="S616" i="3"/>
  <c r="L659" i="3"/>
  <c r="N689" i="3"/>
  <c r="X689" i="3" s="1"/>
  <c r="R702" i="3"/>
  <c r="O709" i="3"/>
  <c r="N714" i="3"/>
  <c r="X714" i="3" s="1"/>
  <c r="M719" i="3"/>
  <c r="L724" i="3"/>
  <c r="K729" i="3"/>
  <c r="J734" i="3"/>
  <c r="I739" i="3"/>
  <c r="U743" i="3"/>
  <c r="T748" i="3"/>
  <c r="S753" i="3"/>
  <c r="R758" i="3"/>
  <c r="Q763" i="3"/>
  <c r="P768" i="3"/>
  <c r="O773" i="3"/>
  <c r="N778" i="3"/>
  <c r="X778" i="3" s="1"/>
  <c r="M783" i="3"/>
  <c r="L788" i="3"/>
  <c r="K793" i="3"/>
  <c r="J798" i="3"/>
  <c r="I803" i="3"/>
  <c r="U807" i="3"/>
  <c r="T812" i="3"/>
  <c r="S817" i="3"/>
  <c r="R822" i="3"/>
  <c r="Q827" i="3"/>
  <c r="P832" i="3"/>
  <c r="O837" i="3"/>
  <c r="N842" i="3"/>
  <c r="X842" i="3" s="1"/>
  <c r="M847" i="3"/>
  <c r="L852" i="3"/>
  <c r="K857" i="3"/>
  <c r="J862" i="3"/>
  <c r="I867" i="3"/>
  <c r="U871" i="3"/>
  <c r="T876" i="3"/>
  <c r="S881" i="3"/>
  <c r="R886" i="3"/>
  <c r="Q891" i="3"/>
  <c r="M689" i="3"/>
  <c r="T730" i="3"/>
  <c r="P750" i="3"/>
  <c r="L770" i="3"/>
  <c r="U789" i="3"/>
  <c r="Q809" i="3"/>
  <c r="M829" i="3"/>
  <c r="I849" i="3"/>
  <c r="R868" i="3"/>
  <c r="K882" i="3"/>
  <c r="I893" i="3"/>
  <c r="L898" i="3"/>
  <c r="K903" i="3"/>
  <c r="J908" i="3"/>
  <c r="I913" i="3"/>
  <c r="U917" i="3"/>
  <c r="T922" i="3"/>
  <c r="S927" i="3"/>
  <c r="R932" i="3"/>
  <c r="Q937" i="3"/>
  <c r="P942" i="3"/>
  <c r="O947" i="3"/>
  <c r="N952" i="3"/>
  <c r="X952" i="3" s="1"/>
  <c r="M957" i="3"/>
  <c r="L962" i="3"/>
  <c r="K967" i="3"/>
  <c r="J972" i="3"/>
  <c r="I977" i="3"/>
  <c r="U981" i="3"/>
  <c r="T986" i="3"/>
  <c r="S991" i="3"/>
  <c r="R996" i="3"/>
  <c r="U979" i="3"/>
  <c r="I846" i="3"/>
  <c r="M912" i="3"/>
  <c r="I940" i="3"/>
  <c r="L973" i="3"/>
  <c r="K624" i="3"/>
  <c r="I726" i="3"/>
  <c r="R745" i="3"/>
  <c r="N765" i="3"/>
  <c r="X765" i="3" s="1"/>
  <c r="J785" i="3"/>
  <c r="S804" i="3"/>
  <c r="O824" i="3"/>
  <c r="K844" i="3"/>
  <c r="T863" i="3"/>
  <c r="J879" i="3"/>
  <c r="O891" i="3"/>
  <c r="J897" i="3"/>
  <c r="I902" i="3"/>
  <c r="U906" i="3"/>
  <c r="T911" i="3"/>
  <c r="S916" i="3"/>
  <c r="R921" i="3"/>
  <c r="Q926" i="3"/>
  <c r="P931" i="3"/>
  <c r="O936" i="3"/>
  <c r="N941" i="3"/>
  <c r="X941" i="3" s="1"/>
  <c r="M946" i="3"/>
  <c r="L951" i="3"/>
  <c r="K956" i="3"/>
  <c r="J961" i="3"/>
  <c r="I966" i="3"/>
  <c r="U970" i="3"/>
  <c r="T975" i="3"/>
  <c r="S980" i="3"/>
  <c r="R985" i="3"/>
  <c r="Q990" i="3"/>
  <c r="P995" i="3"/>
  <c r="O1000" i="3"/>
  <c r="O986" i="3"/>
  <c r="Q1000" i="3"/>
  <c r="J986" i="3"/>
  <c r="T791" i="3"/>
  <c r="I900" i="3"/>
  <c r="I932" i="3"/>
  <c r="T965" i="3"/>
  <c r="R541" i="3"/>
  <c r="J724" i="3"/>
  <c r="S743" i="3"/>
  <c r="O763" i="3"/>
  <c r="K783" i="3"/>
  <c r="T802" i="3"/>
  <c r="P822" i="3"/>
  <c r="L842" i="3"/>
  <c r="U861" i="3"/>
  <c r="N877" i="3"/>
  <c r="X877" i="3" s="1"/>
  <c r="M890" i="3"/>
  <c r="P896" i="3"/>
  <c r="O901" i="3"/>
  <c r="N906" i="3"/>
  <c r="X906" i="3" s="1"/>
  <c r="M911" i="3"/>
  <c r="L916" i="3"/>
  <c r="K921" i="3"/>
  <c r="J926" i="3"/>
  <c r="I931" i="3"/>
  <c r="U935" i="3"/>
  <c r="T940" i="3"/>
  <c r="S945" i="3"/>
  <c r="R950" i="3"/>
  <c r="Q955" i="3"/>
  <c r="P960" i="3"/>
  <c r="O965" i="3"/>
  <c r="N970" i="3"/>
  <c r="X970" i="3" s="1"/>
  <c r="M975" i="3"/>
  <c r="L980" i="3"/>
  <c r="K985" i="3"/>
  <c r="J990" i="3"/>
  <c r="I995" i="3"/>
  <c r="U999" i="3"/>
  <c r="R971" i="3"/>
  <c r="N983" i="3"/>
  <c r="X983" i="3" s="1"/>
  <c r="R995" i="3"/>
  <c r="Q967" i="3"/>
  <c r="T992" i="3"/>
  <c r="S796" i="3"/>
  <c r="R895" i="3"/>
  <c r="P937" i="3"/>
  <c r="S970" i="3"/>
  <c r="U554" i="3"/>
  <c r="K724" i="3"/>
  <c r="T743" i="3"/>
  <c r="P763" i="3"/>
  <c r="L783" i="3"/>
  <c r="U802" i="3"/>
  <c r="Q822" i="3"/>
  <c r="M842" i="3"/>
  <c r="I862" i="3"/>
  <c r="T877" i="3"/>
  <c r="Q890" i="3"/>
  <c r="Q896" i="3"/>
  <c r="P901" i="3"/>
  <c r="O906" i="3"/>
  <c r="N911" i="3"/>
  <c r="X911" i="3" s="1"/>
  <c r="M916" i="3"/>
  <c r="L921" i="3"/>
  <c r="K926" i="3"/>
  <c r="J931" i="3"/>
  <c r="I936" i="3"/>
  <c r="U940" i="3"/>
  <c r="T945" i="3"/>
  <c r="S950" i="3"/>
  <c r="R955" i="3"/>
  <c r="L961" i="3"/>
  <c r="Q968" i="3"/>
  <c r="S982" i="3"/>
  <c r="U947" i="3"/>
  <c r="O985" i="3"/>
  <c r="J777" i="3"/>
  <c r="R893" i="3"/>
  <c r="S922" i="3"/>
  <c r="J951" i="3"/>
  <c r="L981" i="3"/>
  <c r="J696" i="3"/>
  <c r="J732" i="3"/>
  <c r="S751" i="3"/>
  <c r="O771" i="3"/>
  <c r="K791" i="3"/>
  <c r="T810" i="3"/>
  <c r="P830" i="3"/>
  <c r="L850" i="3"/>
  <c r="T869" i="3"/>
  <c r="T882" i="3"/>
  <c r="N893" i="3"/>
  <c r="X893" i="3" s="1"/>
  <c r="P898" i="3"/>
  <c r="O903" i="3"/>
  <c r="N908" i="3"/>
  <c r="X908" i="3" s="1"/>
  <c r="M913" i="3"/>
  <c r="L918" i="3"/>
  <c r="K923" i="3"/>
  <c r="J928" i="3"/>
  <c r="I933" i="3"/>
  <c r="U937" i="3"/>
  <c r="T942" i="3"/>
  <c r="S947" i="3"/>
  <c r="R952" i="3"/>
  <c r="Q957" i="3"/>
  <c r="P962" i="3"/>
  <c r="O967" i="3"/>
  <c r="N972" i="3"/>
  <c r="X972" i="3" s="1"/>
  <c r="M977" i="3"/>
  <c r="L982" i="3"/>
  <c r="K987" i="3"/>
  <c r="J992" i="3"/>
  <c r="I997" i="3"/>
  <c r="L952" i="3"/>
  <c r="M971" i="3"/>
  <c r="I999" i="3"/>
  <c r="U818" i="3"/>
  <c r="M904" i="3"/>
  <c r="I948" i="3"/>
  <c r="U992" i="3"/>
  <c r="N717" i="3"/>
  <c r="X717" i="3" s="1"/>
  <c r="P739" i="3"/>
  <c r="L759" i="3"/>
  <c r="U778" i="3"/>
  <c r="Q798" i="3"/>
  <c r="M818" i="3"/>
  <c r="I838" i="3"/>
  <c r="R857" i="3"/>
  <c r="T874" i="3"/>
  <c r="T887" i="3"/>
  <c r="P895" i="3"/>
  <c r="O900" i="3"/>
  <c r="N905" i="3"/>
  <c r="X905" i="3" s="1"/>
  <c r="M910" i="3"/>
  <c r="L915" i="3"/>
  <c r="K920" i="3"/>
  <c r="J925" i="3"/>
  <c r="I930" i="3"/>
  <c r="U934" i="3"/>
  <c r="T939" i="3"/>
  <c r="S944" i="3"/>
  <c r="R949" i="3"/>
  <c r="Q954" i="3"/>
  <c r="P959" i="3"/>
  <c r="O964" i="3"/>
  <c r="N969" i="3"/>
  <c r="X969" i="3" s="1"/>
  <c r="M974" i="3"/>
  <c r="L979" i="3"/>
  <c r="K984" i="3"/>
  <c r="J989" i="3"/>
  <c r="I994" i="3"/>
  <c r="U998" i="3"/>
  <c r="O937" i="3"/>
  <c r="N942" i="3"/>
  <c r="X942" i="3" s="1"/>
  <c r="K949" i="3"/>
  <c r="R954" i="3"/>
  <c r="P972" i="3"/>
  <c r="Q999" i="3"/>
  <c r="I814" i="3"/>
  <c r="P496" i="3"/>
  <c r="J493" i="3"/>
  <c r="I495" i="3"/>
  <c r="J479" i="3"/>
  <c r="S409" i="3"/>
  <c r="N527" i="3"/>
  <c r="X527" i="3" s="1"/>
  <c r="I581" i="3"/>
  <c r="S476" i="3"/>
  <c r="I535" i="3"/>
  <c r="P588" i="3"/>
  <c r="P502" i="3"/>
  <c r="T565" i="3"/>
  <c r="N619" i="3"/>
  <c r="X619" i="3" s="1"/>
  <c r="K543" i="3"/>
  <c r="J596" i="3"/>
  <c r="L545" i="3"/>
  <c r="M596" i="3"/>
  <c r="P571" i="3"/>
  <c r="N654" i="3"/>
  <c r="X654" i="3" s="1"/>
  <c r="N694" i="3"/>
  <c r="X694" i="3" s="1"/>
  <c r="U574" i="3"/>
  <c r="P641" i="3"/>
  <c r="U680" i="3"/>
  <c r="S540" i="3"/>
  <c r="R628" i="3"/>
  <c r="J668" i="3"/>
  <c r="M461" i="3"/>
  <c r="I610" i="3"/>
  <c r="T655" i="3"/>
  <c r="L695" i="3"/>
  <c r="U578" i="3"/>
  <c r="I643" i="3"/>
  <c r="L668" i="3"/>
  <c r="J678" i="3"/>
  <c r="U687" i="3"/>
  <c r="N524" i="3"/>
  <c r="X524" i="3" s="1"/>
  <c r="L551" i="3"/>
  <c r="N577" i="3"/>
  <c r="X577" i="3" s="1"/>
  <c r="U602" i="3"/>
  <c r="P622" i="3"/>
  <c r="Q632" i="3"/>
  <c r="O642" i="3"/>
  <c r="M652" i="3"/>
  <c r="K662" i="3"/>
  <c r="I672" i="3"/>
  <c r="T681" i="3"/>
  <c r="R691" i="3"/>
  <c r="P701" i="3"/>
  <c r="I530" i="3"/>
  <c r="L556" i="3"/>
  <c r="Q582" i="3"/>
  <c r="R606" i="3"/>
  <c r="R624" i="3"/>
  <c r="P634" i="3"/>
  <c r="N644" i="3"/>
  <c r="X644" i="3" s="1"/>
  <c r="L654" i="3"/>
  <c r="J664" i="3"/>
  <c r="U673" i="3"/>
  <c r="L571" i="3"/>
  <c r="P679" i="3"/>
  <c r="J707" i="3"/>
  <c r="U716" i="3"/>
  <c r="S726" i="3"/>
  <c r="Q736" i="3"/>
  <c r="O746" i="3"/>
  <c r="M756" i="3"/>
  <c r="K766" i="3"/>
  <c r="I776" i="3"/>
  <c r="T785" i="3"/>
  <c r="R795" i="3"/>
  <c r="P805" i="3"/>
  <c r="N815" i="3"/>
  <c r="X815" i="3" s="1"/>
  <c r="L825" i="3"/>
  <c r="J835" i="3"/>
  <c r="U844" i="3"/>
  <c r="S854" i="3"/>
  <c r="Q864" i="3"/>
  <c r="O874" i="3"/>
  <c r="M884" i="3"/>
  <c r="T559" i="3"/>
  <c r="L675" i="3"/>
  <c r="O706" i="3"/>
  <c r="N716" i="3"/>
  <c r="X716" i="3" s="1"/>
  <c r="L726" i="3"/>
  <c r="J736" i="3"/>
  <c r="U745" i="3"/>
  <c r="S755" i="3"/>
  <c r="Q765" i="3"/>
  <c r="O775" i="3"/>
  <c r="M785" i="3"/>
  <c r="K795" i="3"/>
  <c r="I805" i="3"/>
  <c r="T814" i="3"/>
  <c r="R824" i="3"/>
  <c r="P834" i="3"/>
  <c r="N844" i="3"/>
  <c r="X844" i="3" s="1"/>
  <c r="L854" i="3"/>
  <c r="J864" i="3"/>
  <c r="U873" i="3"/>
  <c r="S883" i="3"/>
  <c r="L548" i="3"/>
  <c r="U670" i="3"/>
  <c r="N705" i="3"/>
  <c r="X705" i="3" s="1"/>
  <c r="T715" i="3"/>
  <c r="R725" i="3"/>
  <c r="O732" i="3"/>
  <c r="J741" i="3"/>
  <c r="L747" i="3"/>
  <c r="I754" i="3"/>
  <c r="S760" i="3"/>
  <c r="U766" i="3"/>
  <c r="R773" i="3"/>
  <c r="O780" i="3"/>
  <c r="Q786" i="3"/>
  <c r="N793" i="3"/>
  <c r="X793" i="3" s="1"/>
  <c r="K800" i="3"/>
  <c r="M806" i="3"/>
  <c r="J813" i="3"/>
  <c r="T819" i="3"/>
  <c r="I826" i="3"/>
  <c r="S832" i="3"/>
  <c r="P839" i="3"/>
  <c r="R845" i="3"/>
  <c r="O852" i="3"/>
  <c r="L859" i="3"/>
  <c r="N865" i="3"/>
  <c r="X865" i="3" s="1"/>
  <c r="K872" i="3"/>
  <c r="U878" i="3"/>
  <c r="J885" i="3"/>
  <c r="I550" i="3"/>
  <c r="U646" i="3"/>
  <c r="K688" i="3"/>
  <c r="S705" i="3"/>
  <c r="T712" i="3"/>
  <c r="I719" i="3"/>
  <c r="S725" i="3"/>
  <c r="P732" i="3"/>
  <c r="R738" i="3"/>
  <c r="O745" i="3"/>
  <c r="L752" i="3"/>
  <c r="N758" i="3"/>
  <c r="X758" i="3" s="1"/>
  <c r="P764" i="3"/>
  <c r="J770" i="3"/>
  <c r="L776" i="3"/>
  <c r="S781" i="3"/>
  <c r="M787" i="3"/>
  <c r="T792" i="3"/>
  <c r="N798" i="3"/>
  <c r="X798" i="3" s="1"/>
  <c r="M803" i="3"/>
  <c r="L808" i="3"/>
  <c r="K813" i="3"/>
  <c r="J818" i="3"/>
  <c r="I823" i="3"/>
  <c r="U827" i="3"/>
  <c r="T832" i="3"/>
  <c r="S837" i="3"/>
  <c r="R842" i="3"/>
  <c r="Q847" i="3"/>
  <c r="P852" i="3"/>
  <c r="O857" i="3"/>
  <c r="N862" i="3"/>
  <c r="X862" i="3" s="1"/>
  <c r="M867" i="3"/>
  <c r="L872" i="3"/>
  <c r="K877" i="3"/>
  <c r="J882" i="3"/>
  <c r="I887" i="3"/>
  <c r="U891" i="3"/>
  <c r="S564" i="3"/>
  <c r="R637" i="3"/>
  <c r="J677" i="3"/>
  <c r="P695" i="3"/>
  <c r="S706" i="3"/>
  <c r="R711" i="3"/>
  <c r="Q716" i="3"/>
  <c r="P721" i="3"/>
  <c r="O726" i="3"/>
  <c r="N731" i="3"/>
  <c r="X731" i="3" s="1"/>
  <c r="M736" i="3"/>
  <c r="L741" i="3"/>
  <c r="K746" i="3"/>
  <c r="J751" i="3"/>
  <c r="I756" i="3"/>
  <c r="U760" i="3"/>
  <c r="T765" i="3"/>
  <c r="S770" i="3"/>
  <c r="R775" i="3"/>
  <c r="Q780" i="3"/>
  <c r="P785" i="3"/>
  <c r="O790" i="3"/>
  <c r="N795" i="3"/>
  <c r="X795" i="3" s="1"/>
  <c r="M800" i="3"/>
  <c r="L805" i="3"/>
  <c r="K810" i="3"/>
  <c r="J815" i="3"/>
  <c r="I820" i="3"/>
  <c r="U824" i="3"/>
  <c r="T829" i="3"/>
  <c r="S834" i="3"/>
  <c r="R839" i="3"/>
  <c r="Q844" i="3"/>
  <c r="P849" i="3"/>
  <c r="O854" i="3"/>
  <c r="N859" i="3"/>
  <c r="X859" i="3" s="1"/>
  <c r="M864" i="3"/>
  <c r="L869" i="3"/>
  <c r="O604" i="3"/>
  <c r="J653" i="3"/>
  <c r="M686" i="3"/>
  <c r="T700" i="3"/>
  <c r="R708" i="3"/>
  <c r="Q713" i="3"/>
  <c r="P718" i="3"/>
  <c r="M530" i="3"/>
  <c r="S624" i="3"/>
  <c r="K664" i="3"/>
  <c r="L691" i="3"/>
  <c r="U703" i="3"/>
  <c r="J710" i="3"/>
  <c r="I715" i="3"/>
  <c r="U719" i="3"/>
  <c r="T724" i="3"/>
  <c r="S729" i="3"/>
  <c r="R734" i="3"/>
  <c r="Q739" i="3"/>
  <c r="P744" i="3"/>
  <c r="O749" i="3"/>
  <c r="N754" i="3"/>
  <c r="X754" i="3" s="1"/>
  <c r="M759" i="3"/>
  <c r="L764" i="3"/>
  <c r="K769" i="3"/>
  <c r="J774" i="3"/>
  <c r="I779" i="3"/>
  <c r="U783" i="3"/>
  <c r="T788" i="3"/>
  <c r="S793" i="3"/>
  <c r="R798" i="3"/>
  <c r="Q803" i="3"/>
  <c r="P808" i="3"/>
  <c r="O813" i="3"/>
  <c r="N818" i="3"/>
  <c r="X818" i="3" s="1"/>
  <c r="M823" i="3"/>
  <c r="L828" i="3"/>
  <c r="K833" i="3"/>
  <c r="J838" i="3"/>
  <c r="I843" i="3"/>
  <c r="U847" i="3"/>
  <c r="T852" i="3"/>
  <c r="S857" i="3"/>
  <c r="R862" i="3"/>
  <c r="Q867" i="3"/>
  <c r="P872" i="3"/>
  <c r="O877" i="3"/>
  <c r="N882" i="3"/>
  <c r="X882" i="3" s="1"/>
  <c r="M887" i="3"/>
  <c r="L892" i="3"/>
  <c r="M702" i="3"/>
  <c r="M733" i="3"/>
  <c r="I753" i="3"/>
  <c r="R772" i="3"/>
  <c r="N792" i="3"/>
  <c r="X792" i="3" s="1"/>
  <c r="J812" i="3"/>
  <c r="S831" i="3"/>
  <c r="O851" i="3"/>
  <c r="P870" i="3"/>
  <c r="P883" i="3"/>
  <c r="T893" i="3"/>
  <c r="T898" i="3"/>
  <c r="S903" i="3"/>
  <c r="R908" i="3"/>
  <c r="Q913" i="3"/>
  <c r="P918" i="3"/>
  <c r="O923" i="3"/>
  <c r="N928" i="3"/>
  <c r="X928" i="3" s="1"/>
  <c r="M933" i="3"/>
  <c r="L938" i="3"/>
  <c r="K943" i="3"/>
  <c r="J948" i="3"/>
  <c r="I953" i="3"/>
  <c r="U957" i="3"/>
  <c r="T962" i="3"/>
  <c r="S967" i="3"/>
  <c r="R972" i="3"/>
  <c r="Q977" i="3"/>
  <c r="P982" i="3"/>
  <c r="O987" i="3"/>
  <c r="N992" i="3"/>
  <c r="X992" i="3" s="1"/>
  <c r="M997" i="3"/>
  <c r="P988" i="3"/>
  <c r="L863" i="3"/>
  <c r="S914" i="3"/>
  <c r="M944" i="3"/>
  <c r="P977" i="3"/>
  <c r="P663" i="3"/>
  <c r="O728" i="3"/>
  <c r="K748" i="3"/>
  <c r="T767" i="3"/>
  <c r="P787" i="3"/>
  <c r="L807" i="3"/>
  <c r="U826" i="3"/>
  <c r="Q846" i="3"/>
  <c r="M866" i="3"/>
  <c r="O880" i="3"/>
  <c r="M892" i="3"/>
  <c r="R897" i="3"/>
  <c r="Q902" i="3"/>
  <c r="P907" i="3"/>
  <c r="O912" i="3"/>
  <c r="N917" i="3"/>
  <c r="X917" i="3" s="1"/>
  <c r="M922" i="3"/>
  <c r="L927" i="3"/>
  <c r="K932" i="3"/>
  <c r="J937" i="3"/>
  <c r="I942" i="3"/>
  <c r="U946" i="3"/>
  <c r="T951" i="3"/>
  <c r="S956" i="3"/>
  <c r="R961" i="3"/>
  <c r="Q966" i="3"/>
  <c r="P971" i="3"/>
  <c r="O976" i="3"/>
  <c r="N981" i="3"/>
  <c r="X981" i="3" s="1"/>
  <c r="M986" i="3"/>
  <c r="L991" i="3"/>
  <c r="K996" i="3"/>
  <c r="O962" i="3"/>
  <c r="M988" i="3"/>
  <c r="R946" i="3"/>
  <c r="N990" i="3"/>
  <c r="X990" i="3" s="1"/>
  <c r="P811" i="3"/>
  <c r="R903" i="3"/>
  <c r="R935" i="3"/>
  <c r="K970" i="3"/>
  <c r="J629" i="3"/>
  <c r="P726" i="3"/>
  <c r="L746" i="3"/>
  <c r="U765" i="3"/>
  <c r="Q785" i="3"/>
  <c r="M805" i="3"/>
  <c r="I825" i="3"/>
  <c r="R844" i="3"/>
  <c r="N864" i="3"/>
  <c r="K879" i="3"/>
  <c r="P891" i="3"/>
  <c r="K897" i="3"/>
  <c r="J902" i="3"/>
  <c r="I907" i="3"/>
  <c r="U911" i="3"/>
  <c r="T916" i="3"/>
  <c r="S921" i="3"/>
  <c r="R926" i="3"/>
  <c r="Q931" i="3"/>
  <c r="P936" i="3"/>
  <c r="O941" i="3"/>
  <c r="N946" i="3"/>
  <c r="X946" i="3" s="1"/>
  <c r="M951" i="3"/>
  <c r="L956" i="3"/>
  <c r="K961" i="3"/>
  <c r="J966" i="3"/>
  <c r="I971" i="3"/>
  <c r="U975" i="3"/>
  <c r="T980" i="3"/>
  <c r="S985" i="3"/>
  <c r="R990" i="3"/>
  <c r="Q995" i="3"/>
  <c r="P1000" i="3"/>
  <c r="P973" i="3"/>
  <c r="Q984" i="3"/>
  <c r="P997" i="3"/>
  <c r="R970" i="3"/>
  <c r="R994" i="3"/>
  <c r="O816" i="3"/>
  <c r="S898" i="3"/>
  <c r="T941" i="3"/>
  <c r="J975" i="3"/>
  <c r="I634" i="3"/>
  <c r="Q726" i="3"/>
  <c r="M746" i="3"/>
  <c r="I766" i="3"/>
  <c r="R785" i="3"/>
  <c r="N805" i="3"/>
  <c r="X805" i="3" s="1"/>
  <c r="J825" i="3"/>
  <c r="S844" i="3"/>
  <c r="O864" i="3"/>
  <c r="L879" i="3"/>
  <c r="R891" i="3"/>
  <c r="L897" i="3"/>
  <c r="K902" i="3"/>
  <c r="J907" i="3"/>
  <c r="I912" i="3"/>
  <c r="U916" i="3"/>
  <c r="T921" i="3"/>
  <c r="S926" i="3"/>
  <c r="R931" i="3"/>
  <c r="Q936" i="3"/>
  <c r="P941" i="3"/>
  <c r="O946" i="3"/>
  <c r="N951" i="3"/>
  <c r="X951" i="3" s="1"/>
  <c r="M956" i="3"/>
  <c r="T961" i="3"/>
  <c r="T969" i="3"/>
  <c r="L985" i="3"/>
  <c r="I959" i="3"/>
  <c r="K989" i="3"/>
  <c r="N789" i="3"/>
  <c r="X789" i="3" s="1"/>
  <c r="K898" i="3"/>
  <c r="T925" i="3"/>
  <c r="N955" i="3"/>
  <c r="X955" i="3" s="1"/>
  <c r="K986" i="3"/>
  <c r="U706" i="3"/>
  <c r="P734" i="3"/>
  <c r="L754" i="3"/>
  <c r="U773" i="3"/>
  <c r="Q793" i="3"/>
  <c r="M813" i="3"/>
  <c r="I833" i="3"/>
  <c r="R852" i="3"/>
  <c r="L871" i="3"/>
  <c r="Q884" i="3"/>
  <c r="L894" i="3"/>
  <c r="K899" i="3"/>
  <c r="J904" i="3"/>
  <c r="I909" i="3"/>
  <c r="U913" i="3"/>
  <c r="T918" i="3"/>
  <c r="S923" i="3"/>
  <c r="R928" i="3"/>
  <c r="Q933" i="3"/>
  <c r="P938" i="3"/>
  <c r="O943" i="3"/>
  <c r="N948" i="3"/>
  <c r="M953" i="3"/>
  <c r="L958" i="3"/>
  <c r="K963" i="3"/>
  <c r="J968" i="3"/>
  <c r="I973" i="3"/>
  <c r="U977" i="3"/>
  <c r="T982" i="3"/>
  <c r="S987" i="3"/>
  <c r="R992" i="3"/>
  <c r="Q997" i="3"/>
  <c r="M955" i="3"/>
  <c r="K973" i="3"/>
  <c r="R713" i="3"/>
  <c r="K836" i="3"/>
  <c r="L909" i="3"/>
  <c r="U952" i="3"/>
  <c r="M407" i="3"/>
  <c r="L507" i="3"/>
  <c r="N378" i="3"/>
  <c r="X378" i="3" s="1"/>
  <c r="R479" i="3"/>
  <c r="T417" i="3"/>
  <c r="R528" i="3"/>
  <c r="Q581" i="3"/>
  <c r="J489" i="3"/>
  <c r="L536" i="3"/>
  <c r="K589" i="3"/>
  <c r="I510" i="3"/>
  <c r="J567" i="3"/>
  <c r="I620" i="3"/>
  <c r="L546" i="3"/>
  <c r="M597" i="3"/>
  <c r="T545" i="3"/>
  <c r="N599" i="3"/>
  <c r="X599" i="3" s="1"/>
  <c r="R574" i="3"/>
  <c r="I655" i="3"/>
  <c r="Q695" i="3"/>
  <c r="M578" i="3"/>
  <c r="S642" i="3"/>
  <c r="K682" i="3"/>
  <c r="U543" i="3"/>
  <c r="U629" i="3"/>
  <c r="M669" i="3"/>
  <c r="I481" i="3"/>
  <c r="O612" i="3"/>
  <c r="J657" i="3"/>
  <c r="O696" i="3"/>
  <c r="J582" i="3"/>
  <c r="L644" i="3"/>
  <c r="T668" i="3"/>
  <c r="R678" i="3"/>
  <c r="P688" i="3"/>
  <c r="N526" i="3"/>
  <c r="X526" i="3" s="1"/>
  <c r="S552" i="3"/>
  <c r="I579" i="3"/>
  <c r="K604" i="3"/>
  <c r="M623" i="3"/>
  <c r="L633" i="3"/>
  <c r="J643" i="3"/>
  <c r="U652" i="3"/>
  <c r="S662" i="3"/>
  <c r="Q672" i="3"/>
  <c r="O682" i="3"/>
  <c r="M692" i="3"/>
  <c r="I400" i="3"/>
  <c r="Q531" i="3"/>
  <c r="I558" i="3"/>
  <c r="K584" i="3"/>
  <c r="U607" i="3"/>
  <c r="M625" i="3"/>
  <c r="K635" i="3"/>
  <c r="I645" i="3"/>
  <c r="T654" i="3"/>
  <c r="R664" i="3"/>
  <c r="P674" i="3"/>
  <c r="O584" i="3"/>
  <c r="P682" i="3"/>
  <c r="R707" i="3"/>
  <c r="P717" i="3"/>
  <c r="N727" i="3"/>
  <c r="X727" i="3" s="1"/>
  <c r="L737" i="3"/>
  <c r="J747" i="3"/>
  <c r="U756" i="3"/>
  <c r="S766" i="3"/>
  <c r="Q776" i="3"/>
  <c r="O786" i="3"/>
  <c r="M796" i="3"/>
  <c r="K806" i="3"/>
  <c r="I816" i="3"/>
  <c r="T825" i="3"/>
  <c r="R835" i="3"/>
  <c r="P845" i="3"/>
  <c r="N855" i="3"/>
  <c r="X855" i="3" s="1"/>
  <c r="L865" i="3"/>
  <c r="J875" i="3"/>
  <c r="U884" i="3"/>
  <c r="T572" i="3"/>
  <c r="K680" i="3"/>
  <c r="K707" i="3"/>
  <c r="I717" i="3"/>
  <c r="T726" i="3"/>
  <c r="R736" i="3"/>
  <c r="P746" i="3"/>
  <c r="N756" i="3"/>
  <c r="X756" i="3" s="1"/>
  <c r="L766" i="3"/>
  <c r="J776" i="3"/>
  <c r="U785" i="3"/>
  <c r="S795" i="3"/>
  <c r="Q805" i="3"/>
  <c r="O815" i="3"/>
  <c r="M825" i="3"/>
  <c r="K835" i="3"/>
  <c r="I845" i="3"/>
  <c r="T854" i="3"/>
  <c r="R864" i="3"/>
  <c r="P874" i="3"/>
  <c r="N884" i="3"/>
  <c r="X884" i="3" s="1"/>
  <c r="N561" i="3"/>
  <c r="X561" i="3" s="1"/>
  <c r="T675" i="3"/>
  <c r="P706" i="3"/>
  <c r="O716" i="3"/>
  <c r="M726" i="3"/>
  <c r="R733" i="3"/>
  <c r="R741" i="3"/>
  <c r="O748" i="3"/>
  <c r="L755" i="3"/>
  <c r="N761" i="3"/>
  <c r="X761" i="3" s="1"/>
  <c r="K768" i="3"/>
  <c r="U774" i="3"/>
  <c r="J781" i="3"/>
  <c r="T787" i="3"/>
  <c r="Q794" i="3"/>
  <c r="S800" i="3"/>
  <c r="P807" i="3"/>
  <c r="M814" i="3"/>
  <c r="O820" i="3"/>
  <c r="L827" i="3"/>
  <c r="I834" i="3"/>
  <c r="K840" i="3"/>
  <c r="U846" i="3"/>
  <c r="R853" i="3"/>
  <c r="T859" i="3"/>
  <c r="Q866" i="3"/>
  <c r="N873" i="3"/>
  <c r="X873" i="3" s="1"/>
  <c r="P879" i="3"/>
  <c r="M886" i="3"/>
  <c r="K576" i="3"/>
  <c r="T651" i="3"/>
  <c r="L692" i="3"/>
  <c r="M707" i="3"/>
  <c r="O713" i="3"/>
  <c r="L720" i="3"/>
  <c r="I727" i="3"/>
  <c r="K733" i="3"/>
  <c r="U739" i="3"/>
  <c r="R746" i="3"/>
  <c r="T752" i="3"/>
  <c r="Q759" i="3"/>
  <c r="K765" i="3"/>
  <c r="M771" i="3"/>
  <c r="T776" i="3"/>
  <c r="N782" i="3"/>
  <c r="X782" i="3" s="1"/>
  <c r="U787" i="3"/>
  <c r="O793" i="3"/>
  <c r="I799" i="3"/>
  <c r="U803" i="3"/>
  <c r="T808" i="3"/>
  <c r="S813" i="3"/>
  <c r="R818" i="3"/>
  <c r="Q823" i="3"/>
  <c r="P828" i="3"/>
  <c r="O833" i="3"/>
  <c r="N838" i="3"/>
  <c r="X838" i="3" s="1"/>
  <c r="M843" i="3"/>
  <c r="L848" i="3"/>
  <c r="K853" i="3"/>
  <c r="J858" i="3"/>
  <c r="I863" i="3"/>
  <c r="U867" i="3"/>
  <c r="T872" i="3"/>
  <c r="S877" i="3"/>
  <c r="R882" i="3"/>
  <c r="Q887" i="3"/>
  <c r="P892" i="3"/>
  <c r="S577" i="3"/>
  <c r="Q642" i="3"/>
  <c r="M681" i="3"/>
  <c r="M697" i="3"/>
  <c r="N707" i="3"/>
  <c r="X707" i="3" s="1"/>
  <c r="M712" i="3"/>
  <c r="L717" i="3"/>
  <c r="K722" i="3"/>
  <c r="J727" i="3"/>
  <c r="I732" i="3"/>
  <c r="U736" i="3"/>
  <c r="T741" i="3"/>
  <c r="S746" i="3"/>
  <c r="R751" i="3"/>
  <c r="Q756" i="3"/>
  <c r="P761" i="3"/>
  <c r="O766" i="3"/>
  <c r="N771" i="3"/>
  <c r="X771" i="3" s="1"/>
  <c r="M776" i="3"/>
  <c r="L781" i="3"/>
  <c r="K786" i="3"/>
  <c r="J791" i="3"/>
  <c r="I796" i="3"/>
  <c r="U800" i="3"/>
  <c r="T805" i="3"/>
  <c r="S810" i="3"/>
  <c r="R815" i="3"/>
  <c r="Q820" i="3"/>
  <c r="P825" i="3"/>
  <c r="O830" i="3"/>
  <c r="N835" i="3"/>
  <c r="X835" i="3" s="1"/>
  <c r="M840" i="3"/>
  <c r="L845" i="3"/>
  <c r="K850" i="3"/>
  <c r="J855" i="3"/>
  <c r="I860" i="3"/>
  <c r="U864" i="3"/>
  <c r="S495" i="3"/>
  <c r="M614" i="3"/>
  <c r="I658" i="3"/>
  <c r="S688" i="3"/>
  <c r="L702" i="3"/>
  <c r="M709" i="3"/>
  <c r="L714" i="3"/>
  <c r="K719" i="3"/>
  <c r="M543" i="3"/>
  <c r="R629" i="3"/>
  <c r="J669" i="3"/>
  <c r="I693" i="3"/>
  <c r="K705" i="3"/>
  <c r="R710" i="3"/>
  <c r="Q715" i="3"/>
  <c r="P720" i="3"/>
  <c r="O725" i="3"/>
  <c r="N730" i="3"/>
  <c r="X730" i="3" s="1"/>
  <c r="M735" i="3"/>
  <c r="L740" i="3"/>
  <c r="K745" i="3"/>
  <c r="J750" i="3"/>
  <c r="I755" i="3"/>
  <c r="U759" i="3"/>
  <c r="T764" i="3"/>
  <c r="S769" i="3"/>
  <c r="R774" i="3"/>
  <c r="Q779" i="3"/>
  <c r="P784" i="3"/>
  <c r="O789" i="3"/>
  <c r="N794" i="3"/>
  <c r="X794" i="3" s="1"/>
  <c r="M799" i="3"/>
  <c r="L804" i="3"/>
  <c r="K809" i="3"/>
  <c r="J814" i="3"/>
  <c r="I819" i="3"/>
  <c r="U823" i="3"/>
  <c r="T828" i="3"/>
  <c r="S833" i="3"/>
  <c r="R838" i="3"/>
  <c r="Q843" i="3"/>
  <c r="P848" i="3"/>
  <c r="O853" i="3"/>
  <c r="N858" i="3"/>
  <c r="X858" i="3" s="1"/>
  <c r="M863" i="3"/>
  <c r="L868" i="3"/>
  <c r="K873" i="3"/>
  <c r="J878" i="3"/>
  <c r="I883" i="3"/>
  <c r="U887" i="3"/>
  <c r="T892" i="3"/>
  <c r="N709" i="3"/>
  <c r="X709" i="3" s="1"/>
  <c r="S735" i="3"/>
  <c r="O755" i="3"/>
  <c r="K775" i="3"/>
  <c r="T794" i="3"/>
  <c r="P814" i="3"/>
  <c r="L834" i="3"/>
  <c r="U853" i="3"/>
  <c r="M872" i="3"/>
  <c r="M885" i="3"/>
  <c r="P894" i="3"/>
  <c r="O899" i="3"/>
  <c r="N904" i="3"/>
  <c r="X904" i="3" s="1"/>
  <c r="M909" i="3"/>
  <c r="L914" i="3"/>
  <c r="K919" i="3"/>
  <c r="J924" i="3"/>
  <c r="I929" i="3"/>
  <c r="U933" i="3"/>
  <c r="T938" i="3"/>
  <c r="S943" i="3"/>
  <c r="R948" i="3"/>
  <c r="Q953" i="3"/>
  <c r="P958" i="3"/>
  <c r="O963" i="3"/>
  <c r="N968" i="3"/>
  <c r="X968" i="3" s="1"/>
  <c r="M973" i="3"/>
  <c r="L978" i="3"/>
  <c r="K983" i="3"/>
  <c r="J988" i="3"/>
  <c r="I993" i="3"/>
  <c r="U997" i="3"/>
  <c r="O993" i="3"/>
  <c r="R881" i="3"/>
  <c r="O918" i="3"/>
  <c r="L949" i="3"/>
  <c r="R983" i="3"/>
  <c r="K691" i="3"/>
  <c r="U730" i="3"/>
  <c r="Q750" i="3"/>
  <c r="M770" i="3"/>
  <c r="I790" i="3"/>
  <c r="R809" i="3"/>
  <c r="N829" i="3"/>
  <c r="X829" i="3" s="1"/>
  <c r="J849" i="3"/>
  <c r="S868" i="3"/>
  <c r="L882" i="3"/>
  <c r="J893" i="3"/>
  <c r="M898" i="3"/>
  <c r="L903" i="3"/>
  <c r="K908" i="3"/>
  <c r="J913" i="3"/>
  <c r="I918" i="3"/>
  <c r="U922" i="3"/>
  <c r="T927" i="3"/>
  <c r="S932" i="3"/>
  <c r="R937" i="3"/>
  <c r="Q942" i="3"/>
  <c r="P947" i="3"/>
  <c r="O952" i="3"/>
  <c r="N957" i="3"/>
  <c r="X957" i="3" s="1"/>
  <c r="M962" i="3"/>
  <c r="L967" i="3"/>
  <c r="K972" i="3"/>
  <c r="J977" i="3"/>
  <c r="I982" i="3"/>
  <c r="U986" i="3"/>
  <c r="T991" i="3"/>
  <c r="S996" i="3"/>
  <c r="M972" i="3"/>
  <c r="P989" i="3"/>
  <c r="Q959" i="3"/>
  <c r="J994" i="3"/>
  <c r="T823" i="3"/>
  <c r="N907" i="3"/>
  <c r="X907" i="3" s="1"/>
  <c r="N939" i="3"/>
  <c r="X939" i="3" s="1"/>
  <c r="O974" i="3"/>
  <c r="O668" i="3"/>
  <c r="I729" i="3"/>
  <c r="R748" i="3"/>
  <c r="N768" i="3"/>
  <c r="X768" i="3" s="1"/>
  <c r="J788" i="3"/>
  <c r="S807" i="3"/>
  <c r="O827" i="3"/>
  <c r="K847" i="3"/>
  <c r="T866" i="3"/>
  <c r="U880" i="3"/>
  <c r="N892" i="3"/>
  <c r="X892" i="3" s="1"/>
  <c r="S897" i="3"/>
  <c r="R902" i="3"/>
  <c r="Q907" i="3"/>
  <c r="P912" i="3"/>
  <c r="O917" i="3"/>
  <c r="N922" i="3"/>
  <c r="X922" i="3" s="1"/>
  <c r="M927" i="3"/>
  <c r="L932" i="3"/>
  <c r="K937" i="3"/>
  <c r="J942" i="3"/>
  <c r="I947" i="3"/>
  <c r="U951" i="3"/>
  <c r="T956" i="3"/>
  <c r="S961" i="3"/>
  <c r="R966" i="3"/>
  <c r="Q971" i="3"/>
  <c r="P976" i="3"/>
  <c r="O981" i="3"/>
  <c r="N986" i="3"/>
  <c r="X986" i="3" s="1"/>
  <c r="M991" i="3"/>
  <c r="L996" i="3"/>
  <c r="U956" i="3"/>
  <c r="S974" i="3"/>
  <c r="T985" i="3"/>
  <c r="S998" i="3"/>
  <c r="N974" i="3"/>
  <c r="X974" i="3" s="1"/>
  <c r="S997" i="3"/>
  <c r="R833" i="3"/>
  <c r="J903" i="3"/>
  <c r="K946" i="3"/>
  <c r="S978" i="3"/>
  <c r="N673" i="3"/>
  <c r="X673" i="3" s="1"/>
  <c r="J729" i="3"/>
  <c r="S748" i="3"/>
  <c r="O768" i="3"/>
  <c r="K788" i="3"/>
  <c r="T807" i="3"/>
  <c r="P827" i="3"/>
  <c r="L847" i="3"/>
  <c r="U866" i="3"/>
  <c r="I881" i="3"/>
  <c r="O892" i="3"/>
  <c r="T897" i="3"/>
  <c r="S902" i="3"/>
  <c r="R907" i="3"/>
  <c r="Q912" i="3"/>
  <c r="P917" i="3"/>
  <c r="O922" i="3"/>
  <c r="N927" i="3"/>
  <c r="X927" i="3" s="1"/>
  <c r="M932" i="3"/>
  <c r="L937" i="3"/>
  <c r="K942" i="3"/>
  <c r="J947" i="3"/>
  <c r="I952" i="3"/>
  <c r="P957" i="3"/>
  <c r="J963" i="3"/>
  <c r="O970" i="3"/>
  <c r="J987" i="3"/>
  <c r="U963" i="3"/>
  <c r="L992" i="3"/>
  <c r="K804" i="3"/>
  <c r="T901" i="3"/>
  <c r="P929" i="3"/>
  <c r="J959" i="3"/>
  <c r="T989" i="3"/>
  <c r="T711" i="3"/>
  <c r="I737" i="3"/>
  <c r="R756" i="3"/>
  <c r="N776" i="3"/>
  <c r="X776" i="3" s="1"/>
  <c r="J796" i="3"/>
  <c r="S815" i="3"/>
  <c r="O835" i="3"/>
  <c r="K855" i="3"/>
  <c r="I873" i="3"/>
  <c r="I886" i="3"/>
  <c r="T894" i="3"/>
  <c r="S899" i="3"/>
  <c r="R904" i="3"/>
  <c r="Q909" i="3"/>
  <c r="P914" i="3"/>
  <c r="O919" i="3"/>
  <c r="N924" i="3"/>
  <c r="X924" i="3" s="1"/>
  <c r="M929" i="3"/>
  <c r="L934" i="3"/>
  <c r="K939" i="3"/>
  <c r="J944" i="3"/>
  <c r="I949" i="3"/>
  <c r="U953" i="3"/>
  <c r="T958" i="3"/>
  <c r="S963" i="3"/>
  <c r="R968" i="3"/>
  <c r="Q973" i="3"/>
  <c r="P978" i="3"/>
  <c r="O983" i="3"/>
  <c r="N988" i="3"/>
  <c r="X988" i="3" s="1"/>
  <c r="M993" i="3"/>
  <c r="L998" i="3"/>
  <c r="P956" i="3"/>
  <c r="Q975" i="3"/>
  <c r="L735" i="3"/>
  <c r="N853" i="3"/>
  <c r="X853" i="3" s="1"/>
  <c r="P913" i="3"/>
  <c r="T957" i="3"/>
  <c r="J581" i="3"/>
  <c r="S724" i="3"/>
  <c r="O744" i="3"/>
  <c r="K764" i="3"/>
  <c r="T783" i="3"/>
  <c r="P803" i="3"/>
  <c r="L823" i="3"/>
  <c r="U842" i="3"/>
  <c r="Q862" i="3"/>
  <c r="I878" i="3"/>
  <c r="T890" i="3"/>
  <c r="S896" i="3"/>
  <c r="R901" i="3"/>
  <c r="Q906" i="3"/>
  <c r="P911" i="3"/>
  <c r="O916" i="3"/>
  <c r="N921" i="3"/>
  <c r="X921" i="3" s="1"/>
  <c r="M926" i="3"/>
  <c r="L931" i="3"/>
  <c r="K936" i="3"/>
  <c r="J941" i="3"/>
  <c r="I946" i="3"/>
  <c r="U950" i="3"/>
  <c r="T955" i="3"/>
  <c r="S960" i="3"/>
  <c r="R965" i="3"/>
  <c r="Q970" i="3"/>
  <c r="P975" i="3"/>
  <c r="O980" i="3"/>
  <c r="N985" i="3"/>
  <c r="X985" i="3" s="1"/>
  <c r="M990" i="3"/>
  <c r="L995" i="3"/>
  <c r="K1000" i="3"/>
  <c r="R938" i="3"/>
  <c r="Q943" i="3"/>
  <c r="N950" i="3"/>
  <c r="X950" i="3" s="1"/>
  <c r="S957" i="3"/>
  <c r="R978" i="3"/>
  <c r="T727" i="3"/>
  <c r="M513" i="3"/>
  <c r="N295" i="3"/>
  <c r="X295" i="3" s="1"/>
  <c r="I416" i="3"/>
  <c r="S490" i="3"/>
  <c r="S444" i="3"/>
  <c r="Q541" i="3"/>
  <c r="R592" i="3"/>
  <c r="L517" i="3"/>
  <c r="K549" i="3"/>
  <c r="L600" i="3"/>
  <c r="L526" i="3"/>
  <c r="I580" i="3"/>
  <c r="J468" i="3"/>
  <c r="R556" i="3"/>
  <c r="K476" i="3"/>
  <c r="U556" i="3"/>
  <c r="T609" i="3"/>
  <c r="K607" i="3"/>
  <c r="T664" i="3"/>
  <c r="L704" i="3"/>
  <c r="J601" i="3"/>
  <c r="N651" i="3"/>
  <c r="X651" i="3" s="1"/>
  <c r="S690" i="3"/>
  <c r="U566" i="3"/>
  <c r="P638" i="3"/>
  <c r="U677" i="3"/>
  <c r="M534" i="3"/>
  <c r="M626" i="3"/>
  <c r="R665" i="3"/>
  <c r="J705" i="3"/>
  <c r="J604" i="3"/>
  <c r="T652" i="3"/>
  <c r="O669" i="3"/>
  <c r="M679" i="3"/>
  <c r="K689" i="3"/>
  <c r="K528" i="3"/>
  <c r="N554" i="3"/>
  <c r="X554" i="3" s="1"/>
  <c r="S580" i="3"/>
  <c r="N605" i="3"/>
  <c r="X605" i="3" s="1"/>
  <c r="I624" i="3"/>
  <c r="T633" i="3"/>
  <c r="R643" i="3"/>
  <c r="P653" i="3"/>
  <c r="N663" i="3"/>
  <c r="X663" i="3" s="1"/>
  <c r="L673" i="3"/>
  <c r="J683" i="3"/>
  <c r="U692" i="3"/>
  <c r="S449" i="3"/>
  <c r="N533" i="3"/>
  <c r="X533" i="3" s="1"/>
  <c r="P559" i="3"/>
  <c r="S585" i="3"/>
  <c r="K609" i="3"/>
  <c r="U625" i="3"/>
  <c r="S635" i="3"/>
  <c r="Q645" i="3"/>
  <c r="O655" i="3"/>
  <c r="M665" i="3"/>
  <c r="K675" i="3"/>
  <c r="O597" i="3"/>
  <c r="I685" i="3"/>
  <c r="M708" i="3"/>
  <c r="K718" i="3"/>
  <c r="I728" i="3"/>
  <c r="T737" i="3"/>
  <c r="R747" i="3"/>
  <c r="P757" i="3"/>
  <c r="N767" i="3"/>
  <c r="X767" i="3" s="1"/>
  <c r="L777" i="3"/>
  <c r="J787" i="3"/>
  <c r="U796" i="3"/>
  <c r="S806" i="3"/>
  <c r="Q816" i="3"/>
  <c r="O826" i="3"/>
  <c r="M836" i="3"/>
  <c r="K846" i="3"/>
  <c r="I856" i="3"/>
  <c r="T865" i="3"/>
  <c r="R875" i="3"/>
  <c r="P885" i="3"/>
  <c r="I586" i="3"/>
  <c r="Q682" i="3"/>
  <c r="S707" i="3"/>
  <c r="Q717" i="3"/>
  <c r="O727" i="3"/>
  <c r="M737" i="3"/>
  <c r="K747" i="3"/>
  <c r="I757" i="3"/>
  <c r="T766" i="3"/>
  <c r="R776" i="3"/>
  <c r="P786" i="3"/>
  <c r="N796" i="3"/>
  <c r="X796" i="3" s="1"/>
  <c r="L806" i="3"/>
  <c r="J816" i="3"/>
  <c r="U825" i="3"/>
  <c r="S835" i="3"/>
  <c r="Q845" i="3"/>
  <c r="O855" i="3"/>
  <c r="M865" i="3"/>
  <c r="K875" i="3"/>
  <c r="I885" i="3"/>
  <c r="Q574" i="3"/>
  <c r="R680" i="3"/>
  <c r="L707" i="3"/>
  <c r="J717" i="3"/>
  <c r="U726" i="3"/>
  <c r="P735" i="3"/>
  <c r="M742" i="3"/>
  <c r="J749" i="3"/>
  <c r="T755" i="3"/>
  <c r="I762" i="3"/>
  <c r="S768" i="3"/>
  <c r="P775" i="3"/>
  <c r="R781" i="3"/>
  <c r="O788" i="3"/>
  <c r="L795" i="3"/>
  <c r="N801" i="3"/>
  <c r="X801" i="3" s="1"/>
  <c r="K808" i="3"/>
  <c r="U814" i="3"/>
  <c r="J821" i="3"/>
  <c r="T827" i="3"/>
  <c r="Q834" i="3"/>
  <c r="S840" i="3"/>
  <c r="P847" i="3"/>
  <c r="M854" i="3"/>
  <c r="O860" i="3"/>
  <c r="L867" i="3"/>
  <c r="I874" i="3"/>
  <c r="K880" i="3"/>
  <c r="U886" i="3"/>
  <c r="N589" i="3"/>
  <c r="X589" i="3" s="1"/>
  <c r="S656" i="3"/>
  <c r="R693" i="3"/>
  <c r="U707" i="3"/>
  <c r="J714" i="3"/>
  <c r="T720" i="3"/>
  <c r="Q727" i="3"/>
  <c r="S733" i="3"/>
  <c r="P740" i="3"/>
  <c r="M747" i="3"/>
  <c r="O753" i="3"/>
  <c r="L760" i="3"/>
  <c r="N766" i="3"/>
  <c r="X766" i="3" s="1"/>
  <c r="U771" i="3"/>
  <c r="O777" i="3"/>
  <c r="I783" i="3"/>
  <c r="P788" i="3"/>
  <c r="J794" i="3"/>
  <c r="Q799" i="3"/>
  <c r="P804" i="3"/>
  <c r="O809" i="3"/>
  <c r="N814" i="3"/>
  <c r="X814" i="3" s="1"/>
  <c r="M819" i="3"/>
  <c r="L824" i="3"/>
  <c r="K829" i="3"/>
  <c r="J834" i="3"/>
  <c r="I839" i="3"/>
  <c r="U843" i="3"/>
  <c r="T848" i="3"/>
  <c r="S853" i="3"/>
  <c r="R858" i="3"/>
  <c r="Q863" i="3"/>
  <c r="P868" i="3"/>
  <c r="O873" i="3"/>
  <c r="N878" i="3"/>
  <c r="X878" i="3" s="1"/>
  <c r="M883" i="3"/>
  <c r="L888" i="3"/>
  <c r="K893" i="3"/>
  <c r="U590" i="3"/>
  <c r="P647" i="3"/>
  <c r="S683" i="3"/>
  <c r="I699" i="3"/>
  <c r="I708" i="3"/>
  <c r="U712" i="3"/>
  <c r="T717" i="3"/>
  <c r="S722" i="3"/>
  <c r="R727" i="3"/>
  <c r="Q732" i="3"/>
  <c r="P737" i="3"/>
  <c r="O742" i="3"/>
  <c r="N747" i="3"/>
  <c r="X747" i="3" s="1"/>
  <c r="M752" i="3"/>
  <c r="L757" i="3"/>
  <c r="K762" i="3"/>
  <c r="J767" i="3"/>
  <c r="I772" i="3"/>
  <c r="U776" i="3"/>
  <c r="T781" i="3"/>
  <c r="S786" i="3"/>
  <c r="R791" i="3"/>
  <c r="Q796" i="3"/>
  <c r="P801" i="3"/>
  <c r="O806" i="3"/>
  <c r="N811" i="3"/>
  <c r="X811" i="3" s="1"/>
  <c r="M816" i="3"/>
  <c r="L821" i="3"/>
  <c r="K826" i="3"/>
  <c r="J831" i="3"/>
  <c r="I836" i="3"/>
  <c r="U840" i="3"/>
  <c r="T845" i="3"/>
  <c r="S850" i="3"/>
  <c r="R855" i="3"/>
  <c r="Q860" i="3"/>
  <c r="P865" i="3"/>
  <c r="S526" i="3"/>
  <c r="P623" i="3"/>
  <c r="U662" i="3"/>
  <c r="I691" i="3"/>
  <c r="O703" i="3"/>
  <c r="U709" i="3"/>
  <c r="T714" i="3"/>
  <c r="S719" i="3"/>
  <c r="O556" i="3"/>
  <c r="Q634" i="3"/>
  <c r="I674" i="3"/>
  <c r="R694" i="3"/>
  <c r="L706" i="3"/>
  <c r="M711" i="3"/>
  <c r="L716" i="3"/>
  <c r="K721" i="3"/>
  <c r="J726" i="3"/>
  <c r="I731" i="3"/>
  <c r="U735" i="3"/>
  <c r="T740" i="3"/>
  <c r="S745" i="3"/>
  <c r="R750" i="3"/>
  <c r="Q755" i="3"/>
  <c r="P760" i="3"/>
  <c r="O765" i="3"/>
  <c r="N770" i="3"/>
  <c r="X770" i="3" s="1"/>
  <c r="M775" i="3"/>
  <c r="L780" i="3"/>
  <c r="K785" i="3"/>
  <c r="J790" i="3"/>
  <c r="I795" i="3"/>
  <c r="U799" i="3"/>
  <c r="T804" i="3"/>
  <c r="S809" i="3"/>
  <c r="R814" i="3"/>
  <c r="Q819" i="3"/>
  <c r="P824" i="3"/>
  <c r="O829" i="3"/>
  <c r="N834" i="3"/>
  <c r="X834" i="3" s="1"/>
  <c r="M839" i="3"/>
  <c r="L844" i="3"/>
  <c r="K849" i="3"/>
  <c r="J854" i="3"/>
  <c r="I859" i="3"/>
  <c r="U863" i="3"/>
  <c r="T868" i="3"/>
  <c r="S873" i="3"/>
  <c r="R878" i="3"/>
  <c r="Q883" i="3"/>
  <c r="P888" i="3"/>
  <c r="O893" i="3"/>
  <c r="M714" i="3"/>
  <c r="L738" i="3"/>
  <c r="U757" i="3"/>
  <c r="Q777" i="3"/>
  <c r="M797" i="3"/>
  <c r="I817" i="3"/>
  <c r="R836" i="3"/>
  <c r="N856" i="3"/>
  <c r="X856" i="3" s="1"/>
  <c r="R873" i="3"/>
  <c r="J887" i="3"/>
  <c r="K895" i="3"/>
  <c r="J900" i="3"/>
  <c r="I905" i="3"/>
  <c r="U909" i="3"/>
  <c r="T914" i="3"/>
  <c r="S919" i="3"/>
  <c r="R924" i="3"/>
  <c r="Q929" i="3"/>
  <c r="P934" i="3"/>
  <c r="O939" i="3"/>
  <c r="N944" i="3"/>
  <c r="X944" i="3" s="1"/>
  <c r="M949" i="3"/>
  <c r="L954" i="3"/>
  <c r="K959" i="3"/>
  <c r="J964" i="3"/>
  <c r="I969" i="3"/>
  <c r="U973" i="3"/>
  <c r="T978" i="3"/>
  <c r="S983" i="3"/>
  <c r="R988" i="3"/>
  <c r="Q993" i="3"/>
  <c r="P998" i="3"/>
  <c r="P996" i="3"/>
  <c r="U892" i="3"/>
  <c r="K922" i="3"/>
  <c r="P953" i="3"/>
  <c r="I988" i="3"/>
  <c r="P703" i="3"/>
  <c r="N733" i="3"/>
  <c r="X733" i="3" s="1"/>
  <c r="J753" i="3"/>
  <c r="S772" i="3"/>
  <c r="O792" i="3"/>
  <c r="K812" i="3"/>
  <c r="T831" i="3"/>
  <c r="P851" i="3"/>
  <c r="Q870" i="3"/>
  <c r="I884" i="3"/>
  <c r="U893" i="3"/>
  <c r="U898" i="3"/>
  <c r="T903" i="3"/>
  <c r="S908" i="3"/>
  <c r="R913" i="3"/>
  <c r="Q918" i="3"/>
  <c r="P923" i="3"/>
  <c r="O928" i="3"/>
  <c r="N933" i="3"/>
  <c r="X933" i="3" s="1"/>
  <c r="M938" i="3"/>
  <c r="L943" i="3"/>
  <c r="K948" i="3"/>
  <c r="J953" i="3"/>
  <c r="I958" i="3"/>
  <c r="U962" i="3"/>
  <c r="T967" i="3"/>
  <c r="S972" i="3"/>
  <c r="R977" i="3"/>
  <c r="Q982" i="3"/>
  <c r="P987" i="3"/>
  <c r="O992" i="3"/>
  <c r="N997" i="3"/>
  <c r="X997" i="3" s="1"/>
  <c r="N975" i="3"/>
  <c r="X975" i="3" s="1"/>
  <c r="I992" i="3"/>
  <c r="N966" i="3"/>
  <c r="X966" i="3" s="1"/>
  <c r="N998" i="3"/>
  <c r="X998" i="3" s="1"/>
  <c r="J841" i="3"/>
  <c r="R911" i="3"/>
  <c r="J943" i="3"/>
  <c r="N979" i="3"/>
  <c r="X979" i="3" s="1"/>
  <c r="T692" i="3"/>
  <c r="O731" i="3"/>
  <c r="K751" i="3"/>
  <c r="T770" i="3"/>
  <c r="P790" i="3"/>
  <c r="L810" i="3"/>
  <c r="U829" i="3"/>
  <c r="Q849" i="3"/>
  <c r="M869" i="3"/>
  <c r="M882" i="3"/>
  <c r="L893" i="3"/>
  <c r="N898" i="3"/>
  <c r="X898" i="3" s="1"/>
  <c r="M903" i="3"/>
  <c r="L908" i="3"/>
  <c r="K913" i="3"/>
  <c r="J918" i="3"/>
  <c r="I923" i="3"/>
  <c r="U927" i="3"/>
  <c r="T932" i="3"/>
  <c r="S937" i="3"/>
  <c r="R942" i="3"/>
  <c r="Q947" i="3"/>
  <c r="P952" i="3"/>
  <c r="O957" i="3"/>
  <c r="N962" i="3"/>
  <c r="X962" i="3" s="1"/>
  <c r="M967" i="3"/>
  <c r="L972" i="3"/>
  <c r="K977" i="3"/>
  <c r="J982" i="3"/>
  <c r="I987" i="3"/>
  <c r="U991" i="3"/>
  <c r="T996" i="3"/>
  <c r="R963" i="3"/>
  <c r="Q976" i="3"/>
  <c r="R987" i="3"/>
  <c r="I1000" i="3"/>
  <c r="O977" i="3"/>
  <c r="R653" i="3"/>
  <c r="P843" i="3"/>
  <c r="O910" i="3"/>
  <c r="O950" i="3"/>
  <c r="O982" i="3"/>
  <c r="M694" i="3"/>
  <c r="P731" i="3"/>
  <c r="L751" i="3"/>
  <c r="U770" i="3"/>
  <c r="Q790" i="3"/>
  <c r="M810" i="3"/>
  <c r="I830" i="3"/>
  <c r="R849" i="3"/>
  <c r="N869" i="3"/>
  <c r="X869" i="3" s="1"/>
  <c r="S882" i="3"/>
  <c r="M893" i="3"/>
  <c r="O898" i="3"/>
  <c r="N903" i="3"/>
  <c r="X903" i="3" s="1"/>
  <c r="M908" i="3"/>
  <c r="L913" i="3"/>
  <c r="K918" i="3"/>
  <c r="J923" i="3"/>
  <c r="I928" i="3"/>
  <c r="U932" i="3"/>
  <c r="T937" i="3"/>
  <c r="S942" i="3"/>
  <c r="R947" i="3"/>
  <c r="Q952" i="3"/>
  <c r="K958" i="3"/>
  <c r="M964" i="3"/>
  <c r="U972" i="3"/>
  <c r="U988" i="3"/>
  <c r="L968" i="3"/>
  <c r="K997" i="3"/>
  <c r="N821" i="3"/>
  <c r="X821" i="3" s="1"/>
  <c r="P905" i="3"/>
  <c r="L933" i="3"/>
  <c r="K962" i="3"/>
  <c r="K994" i="3"/>
  <c r="S716" i="3"/>
  <c r="O739" i="3"/>
  <c r="K759" i="3"/>
  <c r="T778" i="3"/>
  <c r="P798" i="3"/>
  <c r="L818" i="3"/>
  <c r="U837" i="3"/>
  <c r="Q857" i="3"/>
  <c r="S874" i="3"/>
  <c r="S887" i="3"/>
  <c r="O895" i="3"/>
  <c r="N900" i="3"/>
  <c r="X900" i="3" s="1"/>
  <c r="M905" i="3"/>
  <c r="L910" i="3"/>
  <c r="K915" i="3"/>
  <c r="J920" i="3"/>
  <c r="I925" i="3"/>
  <c r="U929" i="3"/>
  <c r="T934" i="3"/>
  <c r="S939" i="3"/>
  <c r="R944" i="3"/>
  <c r="Q949" i="3"/>
  <c r="P954" i="3"/>
  <c r="O959" i="3"/>
  <c r="N964" i="3"/>
  <c r="X964" i="3" s="1"/>
  <c r="M969" i="3"/>
  <c r="L974" i="3"/>
  <c r="K979" i="3"/>
  <c r="J984" i="3"/>
  <c r="I989" i="3"/>
  <c r="U993" i="3"/>
  <c r="T998" i="3"/>
  <c r="N958" i="3"/>
  <c r="X958" i="3" s="1"/>
  <c r="M979" i="3"/>
  <c r="P747" i="3"/>
  <c r="R865" i="3"/>
  <c r="R919" i="3"/>
  <c r="I964" i="3"/>
  <c r="T643" i="3"/>
  <c r="L727" i="3"/>
  <c r="U746" i="3"/>
  <c r="Q766" i="3"/>
  <c r="M786" i="3"/>
  <c r="I806" i="3"/>
  <c r="R825" i="3"/>
  <c r="N845" i="3"/>
  <c r="X845" i="3" s="1"/>
  <c r="J865" i="3"/>
  <c r="S879" i="3"/>
  <c r="T891" i="3"/>
  <c r="N897" i="3"/>
  <c r="X897" i="3" s="1"/>
  <c r="M902" i="3"/>
  <c r="L907" i="3"/>
  <c r="K912" i="3"/>
  <c r="J917" i="3"/>
  <c r="I922" i="3"/>
  <c r="U926" i="3"/>
  <c r="T931" i="3"/>
  <c r="S936" i="3"/>
  <c r="R941" i="3"/>
  <c r="Q946" i="3"/>
  <c r="P951" i="3"/>
  <c r="O956" i="3"/>
  <c r="N961" i="3"/>
  <c r="X961" i="3" s="1"/>
  <c r="M966" i="3"/>
  <c r="L971" i="3"/>
  <c r="K976" i="3"/>
  <c r="J981" i="3"/>
  <c r="I986" i="3"/>
  <c r="U990" i="3"/>
  <c r="T995" i="3"/>
  <c r="S1000" i="3"/>
  <c r="M939" i="3"/>
  <c r="L944" i="3"/>
  <c r="I951" i="3"/>
  <c r="L960" i="3"/>
  <c r="S981" i="3"/>
  <c r="K740" i="3"/>
  <c r="K868" i="3"/>
  <c r="L417" i="3"/>
  <c r="M427" i="3"/>
  <c r="S445" i="3"/>
  <c r="M504" i="3"/>
  <c r="U461" i="3"/>
  <c r="M553" i="3"/>
  <c r="L606" i="3"/>
  <c r="J492" i="3"/>
  <c r="T560" i="3"/>
  <c r="S613" i="3"/>
  <c r="Q540" i="3"/>
  <c r="R591" i="3"/>
  <c r="T512" i="3"/>
  <c r="T570" i="3"/>
  <c r="J513" i="3"/>
  <c r="O570" i="3"/>
  <c r="K359" i="3"/>
  <c r="R626" i="3"/>
  <c r="R674" i="3"/>
  <c r="P521" i="3"/>
  <c r="S620" i="3"/>
  <c r="L661" i="3"/>
  <c r="Q700" i="3"/>
  <c r="K593" i="3"/>
  <c r="N648" i="3"/>
  <c r="X648" i="3" s="1"/>
  <c r="S687" i="3"/>
  <c r="P560" i="3"/>
  <c r="K636" i="3"/>
  <c r="P675" i="3"/>
  <c r="I526" i="3"/>
  <c r="L623" i="3"/>
  <c r="N658" i="3"/>
  <c r="X658" i="3" s="1"/>
  <c r="K673" i="3"/>
  <c r="I683" i="3"/>
  <c r="O483" i="3"/>
  <c r="I538" i="3"/>
  <c r="L564" i="3"/>
  <c r="Q590" i="3"/>
  <c r="S612" i="3"/>
  <c r="R627" i="3"/>
  <c r="P637" i="3"/>
  <c r="N647" i="3"/>
  <c r="X647" i="3" s="1"/>
  <c r="L657" i="3"/>
  <c r="J667" i="3"/>
  <c r="U676" i="3"/>
  <c r="S686" i="3"/>
  <c r="Q696" i="3"/>
  <c r="L509" i="3"/>
  <c r="L543" i="3"/>
  <c r="N569" i="3"/>
  <c r="X569" i="3" s="1"/>
  <c r="Q595" i="3"/>
  <c r="P616" i="3"/>
  <c r="Q629" i="3"/>
  <c r="O639" i="3"/>
  <c r="M649" i="3"/>
  <c r="K659" i="3"/>
  <c r="I669" i="3"/>
  <c r="T678" i="3"/>
  <c r="K640" i="3"/>
  <c r="P696" i="3"/>
  <c r="I712" i="3"/>
  <c r="T721" i="3"/>
  <c r="R731" i="3"/>
  <c r="P741" i="3"/>
  <c r="N751" i="3"/>
  <c r="X751" i="3" s="1"/>
  <c r="L761" i="3"/>
  <c r="J771" i="3"/>
  <c r="U780" i="3"/>
  <c r="S790" i="3"/>
  <c r="Q800" i="3"/>
  <c r="O810" i="3"/>
  <c r="M820" i="3"/>
  <c r="K830" i="3"/>
  <c r="I840" i="3"/>
  <c r="T849" i="3"/>
  <c r="R859" i="3"/>
  <c r="P869" i="3"/>
  <c r="N879" i="3"/>
  <c r="X879" i="3" s="1"/>
  <c r="L889" i="3"/>
  <c r="T635" i="3"/>
  <c r="U694" i="3"/>
  <c r="O711" i="3"/>
  <c r="M721" i="3"/>
  <c r="K731" i="3"/>
  <c r="I741" i="3"/>
  <c r="T750" i="3"/>
  <c r="R760" i="3"/>
  <c r="P770" i="3"/>
  <c r="N780" i="3"/>
  <c r="X780" i="3" s="1"/>
  <c r="L790" i="3"/>
  <c r="J800" i="3"/>
  <c r="U809" i="3"/>
  <c r="S819" i="3"/>
  <c r="Q829" i="3"/>
  <c r="O839" i="3"/>
  <c r="M849" i="3"/>
  <c r="K859" i="3"/>
  <c r="I869" i="3"/>
  <c r="T878" i="3"/>
  <c r="R888" i="3"/>
  <c r="P631" i="3"/>
  <c r="Q693" i="3"/>
  <c r="U710" i="3"/>
  <c r="S720" i="3"/>
  <c r="S728" i="3"/>
  <c r="S736" i="3"/>
  <c r="K744" i="3"/>
  <c r="U750" i="3"/>
  <c r="J757" i="3"/>
  <c r="T763" i="3"/>
  <c r="Q770" i="3"/>
  <c r="S776" i="3"/>
  <c r="P783" i="3"/>
  <c r="M790" i="3"/>
  <c r="O796" i="3"/>
  <c r="L803" i="3"/>
  <c r="I810" i="3"/>
  <c r="K816" i="3"/>
  <c r="U822" i="3"/>
  <c r="R829" i="3"/>
  <c r="T835" i="3"/>
  <c r="Q842" i="3"/>
  <c r="N849" i="3"/>
  <c r="X849" i="3" s="1"/>
  <c r="P855" i="3"/>
  <c r="M862" i="3"/>
  <c r="J869" i="3"/>
  <c r="L875" i="3"/>
  <c r="I882" i="3"/>
  <c r="S888" i="3"/>
  <c r="T611" i="3"/>
  <c r="P671" i="3"/>
  <c r="Q698" i="3"/>
  <c r="K709" i="3"/>
  <c r="U715" i="3"/>
  <c r="R722" i="3"/>
  <c r="T728" i="3"/>
  <c r="Q735" i="3"/>
  <c r="N742" i="3"/>
  <c r="X742" i="3" s="1"/>
  <c r="P748" i="3"/>
  <c r="M755" i="3"/>
  <c r="J762" i="3"/>
  <c r="Q767" i="3"/>
  <c r="K773" i="3"/>
  <c r="R778" i="3"/>
  <c r="L784" i="3"/>
  <c r="S789" i="3"/>
  <c r="U795" i="3"/>
  <c r="T800" i="3"/>
  <c r="S805" i="3"/>
  <c r="R810" i="3"/>
  <c r="Q815" i="3"/>
  <c r="P820" i="3"/>
  <c r="O825" i="3"/>
  <c r="N830" i="3"/>
  <c r="X830" i="3" s="1"/>
  <c r="M835" i="3"/>
  <c r="L840" i="3"/>
  <c r="K845" i="3"/>
  <c r="J850" i="3"/>
  <c r="I855" i="3"/>
  <c r="U859" i="3"/>
  <c r="T864" i="3"/>
  <c r="S869" i="3"/>
  <c r="R874" i="3"/>
  <c r="Q879" i="3"/>
  <c r="P884" i="3"/>
  <c r="O889" i="3"/>
  <c r="U485" i="3"/>
  <c r="J613" i="3"/>
  <c r="N657" i="3"/>
  <c r="X657" i="3" s="1"/>
  <c r="R688" i="3"/>
  <c r="K702" i="3"/>
  <c r="L709" i="3"/>
  <c r="K714" i="3"/>
  <c r="J719" i="3"/>
  <c r="I724" i="3"/>
  <c r="U728" i="3"/>
  <c r="T733" i="3"/>
  <c r="S738" i="3"/>
  <c r="R743" i="3"/>
  <c r="Q748" i="3"/>
  <c r="P753" i="3"/>
  <c r="O758" i="3"/>
  <c r="N763" i="3"/>
  <c r="X763" i="3" s="1"/>
  <c r="M768" i="3"/>
  <c r="L773" i="3"/>
  <c r="K778" i="3"/>
  <c r="J783" i="3"/>
  <c r="I788" i="3"/>
  <c r="U792" i="3"/>
  <c r="T797" i="3"/>
  <c r="S802" i="3"/>
  <c r="R807" i="3"/>
  <c r="Q812" i="3"/>
  <c r="P817" i="3"/>
  <c r="O822" i="3"/>
  <c r="N827" i="3"/>
  <c r="M832" i="3"/>
  <c r="L837" i="3"/>
  <c r="K842" i="3"/>
  <c r="J847" i="3"/>
  <c r="I852" i="3"/>
  <c r="U856" i="3"/>
  <c r="T861" i="3"/>
  <c r="S866" i="3"/>
  <c r="K553" i="3"/>
  <c r="N633" i="3"/>
  <c r="X633" i="3" s="1"/>
  <c r="S672" i="3"/>
  <c r="L694" i="3"/>
  <c r="U705" i="3"/>
  <c r="K711" i="3"/>
  <c r="J716" i="3"/>
  <c r="I721" i="3"/>
  <c r="R582" i="3"/>
  <c r="O644" i="3"/>
  <c r="I682" i="3"/>
  <c r="U697" i="3"/>
  <c r="Q707" i="3"/>
  <c r="P712" i="3"/>
  <c r="O717" i="3"/>
  <c r="N722" i="3"/>
  <c r="X722" i="3" s="1"/>
  <c r="M727" i="3"/>
  <c r="L732" i="3"/>
  <c r="K737" i="3"/>
  <c r="J742" i="3"/>
  <c r="I747" i="3"/>
  <c r="U751" i="3"/>
  <c r="T756" i="3"/>
  <c r="S761" i="3"/>
  <c r="R766" i="3"/>
  <c r="Q771" i="3"/>
  <c r="P776" i="3"/>
  <c r="O781" i="3"/>
  <c r="N786" i="3"/>
  <c r="X786" i="3" s="1"/>
  <c r="M791" i="3"/>
  <c r="L796" i="3"/>
  <c r="K801" i="3"/>
  <c r="J806" i="3"/>
  <c r="I811" i="3"/>
  <c r="U815" i="3"/>
  <c r="T820" i="3"/>
  <c r="S825" i="3"/>
  <c r="R830" i="3"/>
  <c r="Q835" i="3"/>
  <c r="P840" i="3"/>
  <c r="O845" i="3"/>
  <c r="N850" i="3"/>
  <c r="X850" i="3" s="1"/>
  <c r="M855" i="3"/>
  <c r="L860" i="3"/>
  <c r="K865" i="3"/>
  <c r="J870" i="3"/>
  <c r="I875" i="3"/>
  <c r="U879" i="3"/>
  <c r="T884" i="3"/>
  <c r="S889" i="3"/>
  <c r="K503" i="3"/>
  <c r="O723" i="3"/>
  <c r="K743" i="3"/>
  <c r="T762" i="3"/>
  <c r="P782" i="3"/>
  <c r="L802" i="3"/>
  <c r="U821" i="3"/>
  <c r="Q841" i="3"/>
  <c r="M861" i="3"/>
  <c r="L877" i="3"/>
  <c r="K890" i="3"/>
  <c r="N896" i="3"/>
  <c r="X896" i="3" s="1"/>
  <c r="M901" i="3"/>
  <c r="L906" i="3"/>
  <c r="K911" i="3"/>
  <c r="J916" i="3"/>
  <c r="I921" i="3"/>
  <c r="U925" i="3"/>
  <c r="T930" i="3"/>
  <c r="S935" i="3"/>
  <c r="R940" i="3"/>
  <c r="Q945" i="3"/>
  <c r="P950" i="3"/>
  <c r="O955" i="3"/>
  <c r="N960" i="3"/>
  <c r="X960" i="3" s="1"/>
  <c r="M965" i="3"/>
  <c r="L970" i="3"/>
  <c r="K975" i="3"/>
  <c r="J980" i="3"/>
  <c r="I985" i="3"/>
  <c r="U989" i="3"/>
  <c r="T994" i="3"/>
  <c r="S999" i="3"/>
  <c r="T759" i="3"/>
  <c r="O902" i="3"/>
  <c r="U928" i="3"/>
  <c r="P961" i="3"/>
  <c r="Q996" i="3"/>
  <c r="U714" i="3"/>
  <c r="M738" i="3"/>
  <c r="I758" i="3"/>
  <c r="R777" i="3"/>
  <c r="N797" i="3"/>
  <c r="X797" i="3" s="1"/>
  <c r="J817" i="3"/>
  <c r="S836" i="3"/>
  <c r="O856" i="3"/>
  <c r="K874" i="3"/>
  <c r="K887" i="3"/>
  <c r="L895" i="3"/>
  <c r="K900" i="3"/>
  <c r="J905" i="3"/>
  <c r="I910" i="3"/>
  <c r="U914" i="3"/>
  <c r="T919" i="3"/>
  <c r="S924" i="3"/>
  <c r="R929" i="3"/>
  <c r="Q934" i="3"/>
  <c r="P939" i="3"/>
  <c r="O944" i="3"/>
  <c r="N949" i="3"/>
  <c r="X949" i="3" s="1"/>
  <c r="M954" i="3"/>
  <c r="L959" i="3"/>
  <c r="K964" i="3"/>
  <c r="J969" i="3"/>
  <c r="I974" i="3"/>
  <c r="U978" i="3"/>
  <c r="T983" i="3"/>
  <c r="S988" i="3"/>
  <c r="R993" i="3"/>
  <c r="Q998" i="3"/>
  <c r="J979" i="3"/>
  <c r="J995" i="3"/>
  <c r="S973" i="3"/>
  <c r="M730" i="3"/>
  <c r="N875" i="3"/>
  <c r="X875" i="3" s="1"/>
  <c r="J919" i="3"/>
  <c r="R951" i="3"/>
  <c r="L989" i="3"/>
  <c r="Q710" i="3"/>
  <c r="N736" i="3"/>
  <c r="X736" i="3" s="1"/>
  <c r="J756" i="3"/>
  <c r="S775" i="3"/>
  <c r="O795" i="3"/>
  <c r="K815" i="3"/>
  <c r="T834" i="3"/>
  <c r="P854" i="3"/>
  <c r="O872" i="3"/>
  <c r="T885" i="3"/>
  <c r="R894" i="3"/>
  <c r="Q899" i="3"/>
  <c r="P904" i="3"/>
  <c r="O909" i="3"/>
  <c r="N914" i="3"/>
  <c r="X914" i="3" s="1"/>
  <c r="M919" i="3"/>
  <c r="L924" i="3"/>
  <c r="K929" i="3"/>
  <c r="J934" i="3"/>
  <c r="I939" i="3"/>
  <c r="U943" i="3"/>
  <c r="T948" i="3"/>
  <c r="S953" i="3"/>
  <c r="R958" i="3"/>
  <c r="Q963" i="3"/>
  <c r="P968" i="3"/>
  <c r="O973" i="3"/>
  <c r="N978" i="3"/>
  <c r="X978" i="3" s="1"/>
  <c r="M983" i="3"/>
  <c r="L988" i="3"/>
  <c r="K993" i="3"/>
  <c r="J998" i="3"/>
  <c r="N967" i="3"/>
  <c r="X967" i="3" s="1"/>
  <c r="R979" i="3"/>
  <c r="N991" i="3"/>
  <c r="X991" i="3" s="1"/>
  <c r="K957" i="3"/>
  <c r="T984" i="3"/>
  <c r="O752" i="3"/>
  <c r="T871" i="3"/>
  <c r="P921" i="3"/>
  <c r="O958" i="3"/>
  <c r="J991" i="3"/>
  <c r="L711" i="3"/>
  <c r="O736" i="3"/>
  <c r="K756" i="3"/>
  <c r="T775" i="3"/>
  <c r="P795" i="3"/>
  <c r="L815" i="3"/>
  <c r="U834" i="3"/>
  <c r="Q854" i="3"/>
  <c r="U872" i="3"/>
  <c r="U885" i="3"/>
  <c r="S894" i="3"/>
  <c r="R899" i="3"/>
  <c r="Q904" i="3"/>
  <c r="P909" i="3"/>
  <c r="O914" i="3"/>
  <c r="N919" i="3"/>
  <c r="X919" i="3" s="1"/>
  <c r="M924" i="3"/>
  <c r="L929" i="3"/>
  <c r="K934" i="3"/>
  <c r="J939" i="3"/>
  <c r="I944" i="3"/>
  <c r="U948" i="3"/>
  <c r="T953" i="3"/>
  <c r="N959" i="3"/>
  <c r="X959" i="3" s="1"/>
  <c r="P965" i="3"/>
  <c r="I976" i="3"/>
  <c r="L993" i="3"/>
  <c r="T976" i="3"/>
  <c r="T686" i="3"/>
  <c r="T855" i="3"/>
  <c r="J911" i="3"/>
  <c r="Q940" i="3"/>
  <c r="P969" i="3"/>
  <c r="U567" i="3"/>
  <c r="R724" i="3"/>
  <c r="N744" i="3"/>
  <c r="X744" i="3" s="1"/>
  <c r="J764" i="3"/>
  <c r="S783" i="3"/>
  <c r="O803" i="3"/>
  <c r="K823" i="3"/>
  <c r="T842" i="3"/>
  <c r="P862" i="3"/>
  <c r="U877" i="3"/>
  <c r="S890" i="3"/>
  <c r="R896" i="3"/>
  <c r="Q901" i="3"/>
  <c r="P906" i="3"/>
  <c r="O911" i="3"/>
  <c r="N916" i="3"/>
  <c r="X916" i="3" s="1"/>
  <c r="M921" i="3"/>
  <c r="L926" i="3"/>
  <c r="K931" i="3"/>
  <c r="J936" i="3"/>
  <c r="I941" i="3"/>
  <c r="U945" i="3"/>
  <c r="T950" i="3"/>
  <c r="S955" i="3"/>
  <c r="R960" i="3"/>
  <c r="Q965" i="3"/>
  <c r="P970" i="3"/>
  <c r="O975" i="3"/>
  <c r="N980" i="3"/>
  <c r="X980" i="3" s="1"/>
  <c r="M985" i="3"/>
  <c r="L990" i="3"/>
  <c r="K995" i="3"/>
  <c r="J1000" i="3"/>
  <c r="M963" i="3"/>
  <c r="M987" i="3"/>
  <c r="P779" i="3"/>
  <c r="Q886" i="3"/>
  <c r="K930" i="3"/>
  <c r="U976" i="3"/>
  <c r="S697" i="3"/>
  <c r="K732" i="3"/>
  <c r="T751" i="3"/>
  <c r="P771" i="3"/>
  <c r="L791" i="3"/>
  <c r="U810" i="3"/>
  <c r="Q830" i="3"/>
  <c r="M850" i="3"/>
  <c r="U869" i="3"/>
  <c r="U882" i="3"/>
  <c r="P893" i="3"/>
  <c r="Q898" i="3"/>
  <c r="P903" i="3"/>
  <c r="O908" i="3"/>
  <c r="N913" i="3"/>
  <c r="X913" i="3" s="1"/>
  <c r="M918" i="3"/>
  <c r="L923" i="3"/>
  <c r="K928" i="3"/>
  <c r="J933" i="3"/>
  <c r="I938" i="3"/>
  <c r="U942" i="3"/>
  <c r="T947" i="3"/>
  <c r="S952" i="3"/>
  <c r="R957" i="3"/>
  <c r="Q962" i="3"/>
  <c r="P967" i="3"/>
  <c r="O972" i="3"/>
  <c r="N977" i="3"/>
  <c r="X977" i="3" s="1"/>
  <c r="M982" i="3"/>
  <c r="L987" i="3"/>
  <c r="K992" i="3"/>
  <c r="J997" i="3"/>
  <c r="P932" i="3"/>
  <c r="P940" i="3"/>
  <c r="J946" i="3"/>
  <c r="T952" i="3"/>
  <c r="K965" i="3"/>
  <c r="U987" i="3"/>
  <c r="L767" i="3"/>
  <c r="J386" i="3"/>
  <c r="S549" i="3"/>
  <c r="J611" i="3"/>
  <c r="S639" i="3"/>
  <c r="J670" i="3"/>
  <c r="O634" i="3"/>
  <c r="U534" i="3"/>
  <c r="U665" i="3"/>
  <c r="M748" i="3"/>
  <c r="J827" i="3"/>
  <c r="J685" i="3"/>
  <c r="M777" i="3"/>
  <c r="J856" i="3"/>
  <c r="P727" i="3"/>
  <c r="U782" i="3"/>
  <c r="L835" i="3"/>
  <c r="K888" i="3"/>
  <c r="I735" i="3"/>
  <c r="Q783" i="3"/>
  <c r="T824" i="3"/>
  <c r="L864" i="3"/>
  <c r="O652" i="3"/>
  <c r="L733" i="3"/>
  <c r="Q772" i="3"/>
  <c r="I812" i="3"/>
  <c r="N851" i="3"/>
  <c r="X851" i="3" s="1"/>
  <c r="R704" i="3"/>
  <c r="I707" i="3"/>
  <c r="N746" i="3"/>
  <c r="X746" i="3" s="1"/>
  <c r="S785" i="3"/>
  <c r="K825" i="3"/>
  <c r="P864" i="3"/>
  <c r="R740" i="3"/>
  <c r="O888" i="3"/>
  <c r="L930" i="3"/>
  <c r="Q969" i="3"/>
  <c r="P897" i="3"/>
  <c r="U794" i="3"/>
  <c r="O904" i="3"/>
  <c r="T943" i="3"/>
  <c r="L983" i="3"/>
  <c r="S860" i="3"/>
  <c r="I793" i="3"/>
  <c r="L887" i="3"/>
  <c r="U903" i="3"/>
  <c r="Q915" i="3"/>
  <c r="S929" i="3"/>
  <c r="M943" i="3"/>
  <c r="I955" i="3"/>
  <c r="K969" i="3"/>
  <c r="R982" i="3"/>
  <c r="N994" i="3"/>
  <c r="X994" i="3" s="1"/>
  <c r="P981" i="3"/>
  <c r="K981" i="3"/>
  <c r="N888" i="3"/>
  <c r="X888" i="3" s="1"/>
  <c r="S994" i="3"/>
  <c r="R753" i="3"/>
  <c r="O800" i="3"/>
  <c r="J857" i="3"/>
  <c r="K894" i="3"/>
  <c r="T905" i="3"/>
  <c r="I920" i="3"/>
  <c r="P933" i="3"/>
  <c r="L945" i="3"/>
  <c r="I960" i="3"/>
  <c r="S990" i="3"/>
  <c r="M762" i="3"/>
  <c r="U944" i="3"/>
  <c r="R721" i="3"/>
  <c r="I769" i="3"/>
  <c r="Q825" i="3"/>
  <c r="K876" i="3"/>
  <c r="U897" i="3"/>
  <c r="J912" i="3"/>
  <c r="Q925" i="3"/>
  <c r="M937" i="3"/>
  <c r="O951" i="3"/>
  <c r="I965" i="3"/>
  <c r="R976" i="3"/>
  <c r="T990" i="3"/>
  <c r="T960" i="3"/>
  <c r="J809" i="3"/>
  <c r="T981" i="3"/>
  <c r="Q734" i="3"/>
  <c r="I774" i="3"/>
  <c r="N813" i="3"/>
  <c r="X813" i="3" s="1"/>
  <c r="S852" i="3"/>
  <c r="R884" i="3"/>
  <c r="L899" i="3"/>
  <c r="J909" i="3"/>
  <c r="U918" i="3"/>
  <c r="S928" i="3"/>
  <c r="Q938" i="3"/>
  <c r="O948" i="3"/>
  <c r="M958" i="3"/>
  <c r="K968" i="3"/>
  <c r="I978" i="3"/>
  <c r="T987" i="3"/>
  <c r="R997" i="3"/>
  <c r="K941" i="3"/>
  <c r="O953" i="3"/>
  <c r="Q991" i="3"/>
  <c r="P878" i="3"/>
  <c r="T933" i="3"/>
  <c r="J967" i="3"/>
  <c r="O998" i="3"/>
  <c r="T722" i="3"/>
  <c r="P742" i="3"/>
  <c r="L762" i="3"/>
  <c r="U781" i="3"/>
  <c r="Q801" i="3"/>
  <c r="M821" i="3"/>
  <c r="I841" i="3"/>
  <c r="R860" i="3"/>
  <c r="R876" i="3"/>
  <c r="R889" i="3"/>
  <c r="L896" i="3"/>
  <c r="K901" i="3"/>
  <c r="J906" i="3"/>
  <c r="I911" i="3"/>
  <c r="U915" i="3"/>
  <c r="O921" i="3"/>
  <c r="N926" i="3"/>
  <c r="X926" i="3" s="1"/>
  <c r="M931" i="3"/>
  <c r="Q718" i="3"/>
  <c r="Q806" i="3"/>
  <c r="K906" i="3"/>
  <c r="O934" i="3"/>
  <c r="U968" i="3"/>
  <c r="M1000" i="3"/>
  <c r="Q994" i="3"/>
  <c r="S909" i="3"/>
  <c r="M570" i="3"/>
  <c r="O738" i="3"/>
  <c r="L846" i="3"/>
  <c r="K776" i="3"/>
  <c r="J778" i="3"/>
  <c r="R767" i="3"/>
  <c r="K696" i="3"/>
  <c r="L820" i="3"/>
  <c r="R964" i="3"/>
  <c r="U938" i="3"/>
  <c r="I915" i="3"/>
  <c r="S993" i="3"/>
  <c r="S986" i="3"/>
  <c r="O930" i="3"/>
  <c r="M678" i="3"/>
  <c r="P922" i="3"/>
  <c r="Q935" i="3"/>
  <c r="T847" i="3"/>
  <c r="N937" i="3"/>
  <c r="X937" i="3" s="1"/>
  <c r="U939" i="3"/>
  <c r="N995" i="3"/>
  <c r="X995" i="3" s="1"/>
  <c r="T818" i="3"/>
  <c r="Q895" i="3"/>
  <c r="S925" i="3"/>
  <c r="P389" i="3"/>
  <c r="M603" i="3"/>
  <c r="N608" i="3"/>
  <c r="X608" i="3" s="1"/>
  <c r="K679" i="3"/>
  <c r="U679" i="3"/>
  <c r="M644" i="3"/>
  <c r="K561" i="3"/>
  <c r="S675" i="3"/>
  <c r="K758" i="3"/>
  <c r="U836" i="3"/>
  <c r="N708" i="3"/>
  <c r="X708" i="3" s="1"/>
  <c r="K787" i="3"/>
  <c r="U865" i="3"/>
  <c r="K736" i="3"/>
  <c r="R789" i="3"/>
  <c r="I842" i="3"/>
  <c r="I602" i="3"/>
  <c r="S741" i="3"/>
  <c r="K789" i="3"/>
  <c r="S829" i="3"/>
  <c r="K869" i="3"/>
  <c r="L686" i="3"/>
  <c r="K738" i="3"/>
  <c r="P777" i="3"/>
  <c r="U816" i="3"/>
  <c r="M856" i="3"/>
  <c r="P710" i="3"/>
  <c r="U711" i="3"/>
  <c r="M751" i="3"/>
  <c r="R790" i="3"/>
  <c r="J830" i="3"/>
  <c r="O869" i="3"/>
  <c r="N760" i="3"/>
  <c r="X760" i="3" s="1"/>
  <c r="S895" i="3"/>
  <c r="K935" i="3"/>
  <c r="P974" i="3"/>
  <c r="Q924" i="3"/>
  <c r="Q814" i="3"/>
  <c r="N909" i="3"/>
  <c r="X909" i="3" s="1"/>
  <c r="S948" i="3"/>
  <c r="K988" i="3"/>
  <c r="I916" i="3"/>
  <c r="R812" i="3"/>
  <c r="I889" i="3"/>
  <c r="K905" i="3"/>
  <c r="R918" i="3"/>
  <c r="N930" i="3"/>
  <c r="X930" i="3" s="1"/>
  <c r="P944" i="3"/>
  <c r="J958" i="3"/>
  <c r="S969" i="3"/>
  <c r="U983" i="3"/>
  <c r="O997" i="3"/>
  <c r="K982" i="3"/>
  <c r="R986" i="3"/>
  <c r="Q916" i="3"/>
  <c r="J999" i="3"/>
  <c r="Q758" i="3"/>
  <c r="S812" i="3"/>
  <c r="P859" i="3"/>
  <c r="N895" i="3"/>
  <c r="X895" i="3" s="1"/>
  <c r="U908" i="3"/>
  <c r="Q920" i="3"/>
  <c r="S934" i="3"/>
  <c r="M948" i="3"/>
  <c r="Q960" i="3"/>
  <c r="M996" i="3"/>
  <c r="Q838" i="3"/>
  <c r="N947" i="3"/>
  <c r="X947" i="3" s="1"/>
  <c r="K727" i="3"/>
  <c r="M781" i="3"/>
  <c r="J828" i="3"/>
  <c r="R879" i="3"/>
  <c r="I901" i="3"/>
  <c r="R912" i="3"/>
  <c r="T926" i="3"/>
  <c r="N940" i="3"/>
  <c r="X940" i="3" s="1"/>
  <c r="J952" i="3"/>
  <c r="L966" i="3"/>
  <c r="S979" i="3"/>
  <c r="O991" i="3"/>
  <c r="S965" i="3"/>
  <c r="S876" i="3"/>
  <c r="Q988" i="3"/>
  <c r="J737" i="3"/>
  <c r="O776" i="3"/>
  <c r="T815" i="3"/>
  <c r="L855" i="3"/>
  <c r="O886" i="3"/>
  <c r="T899" i="3"/>
  <c r="R909" i="3"/>
  <c r="P919" i="3"/>
  <c r="N929" i="3"/>
  <c r="X929" i="3" s="1"/>
  <c r="L939" i="3"/>
  <c r="J949" i="3"/>
  <c r="U958" i="3"/>
  <c r="S968" i="3"/>
  <c r="Q978" i="3"/>
  <c r="O988" i="3"/>
  <c r="M998" i="3"/>
  <c r="S941" i="3"/>
  <c r="J954" i="3"/>
  <c r="U995" i="3"/>
  <c r="I890" i="3"/>
  <c r="K938" i="3"/>
  <c r="I972" i="3"/>
  <c r="M594" i="3"/>
  <c r="M725" i="3"/>
  <c r="I745" i="3"/>
  <c r="R764" i="3"/>
  <c r="N784" i="3"/>
  <c r="X784" i="3" s="1"/>
  <c r="J804" i="3"/>
  <c r="S823" i="3"/>
  <c r="O843" i="3"/>
  <c r="K863" i="3"/>
  <c r="O878" i="3"/>
  <c r="U890" i="3"/>
  <c r="T896" i="3"/>
  <c r="S901" i="3"/>
  <c r="R906" i="3"/>
  <c r="Q911" i="3"/>
  <c r="P916" i="3"/>
  <c r="J922" i="3"/>
  <c r="I927" i="3"/>
  <c r="U931" i="3"/>
  <c r="U722" i="3"/>
  <c r="S828" i="3"/>
  <c r="T909" i="3"/>
  <c r="S938" i="3"/>
  <c r="Q972" i="3"/>
  <c r="T1000" i="3"/>
  <c r="Q737" i="3"/>
  <c r="R991" i="3"/>
  <c r="I560" i="3"/>
  <c r="O767" i="3"/>
  <c r="J829" i="3"/>
  <c r="U819" i="3"/>
  <c r="O846" i="3"/>
  <c r="O741" i="3"/>
  <c r="M925" i="3"/>
  <c r="P899" i="3"/>
  <c r="P928" i="3"/>
  <c r="P964" i="3"/>
  <c r="J889" i="3"/>
  <c r="S958" i="3"/>
  <c r="R820" i="3"/>
  <c r="U961" i="3"/>
  <c r="M794" i="3"/>
  <c r="P881" i="3"/>
  <c r="J957" i="3"/>
  <c r="L984" i="3"/>
  <c r="I718" i="3"/>
  <c r="P838" i="3"/>
  <c r="O905" i="3"/>
  <c r="S930" i="3"/>
  <c r="S417" i="3"/>
  <c r="Q527" i="3"/>
  <c r="J666" i="3"/>
  <c r="R537" i="3"/>
  <c r="S689" i="3"/>
  <c r="K654" i="3"/>
  <c r="P587" i="3"/>
  <c r="K608" i="3"/>
  <c r="I768" i="3"/>
  <c r="S846" i="3"/>
  <c r="L718" i="3"/>
  <c r="I797" i="3"/>
  <c r="S875" i="3"/>
  <c r="P743" i="3"/>
  <c r="T795" i="3"/>
  <c r="S848" i="3"/>
  <c r="Q666" i="3"/>
  <c r="U747" i="3"/>
  <c r="R794" i="3"/>
  <c r="R834" i="3"/>
  <c r="J874" i="3"/>
  <c r="O700" i="3"/>
  <c r="J743" i="3"/>
  <c r="O782" i="3"/>
  <c r="T821" i="3"/>
  <c r="L861" i="3"/>
  <c r="O715" i="3"/>
  <c r="T716" i="3"/>
  <c r="L756" i="3"/>
  <c r="Q795" i="3"/>
  <c r="I835" i="3"/>
  <c r="N874" i="3"/>
  <c r="X874" i="3" s="1"/>
  <c r="J780" i="3"/>
  <c r="R900" i="3"/>
  <c r="J940" i="3"/>
  <c r="O979" i="3"/>
  <c r="L957" i="3"/>
  <c r="M834" i="3"/>
  <c r="M914" i="3"/>
  <c r="R953" i="3"/>
  <c r="J993" i="3"/>
  <c r="S946" i="3"/>
  <c r="N832" i="3"/>
  <c r="X832" i="3" s="1"/>
  <c r="I894" i="3"/>
  <c r="S905" i="3"/>
  <c r="U919" i="3"/>
  <c r="O933" i="3"/>
  <c r="K945" i="3"/>
  <c r="M959" i="3"/>
  <c r="T972" i="3"/>
  <c r="P984" i="3"/>
  <c r="R998" i="3"/>
  <c r="K990" i="3"/>
  <c r="S989" i="3"/>
  <c r="J927" i="3"/>
  <c r="I706" i="3"/>
  <c r="J761" i="3"/>
  <c r="R817" i="3"/>
  <c r="K871" i="3"/>
  <c r="I896" i="3"/>
  <c r="K910" i="3"/>
  <c r="R923" i="3"/>
  <c r="N935" i="3"/>
  <c r="X935" i="3" s="1"/>
  <c r="P949" i="3"/>
  <c r="U964" i="3"/>
  <c r="N999" i="3"/>
  <c r="X999" i="3" s="1"/>
  <c r="Q873" i="3"/>
  <c r="O966" i="3"/>
  <c r="Q729" i="3"/>
  <c r="L786" i="3"/>
  <c r="N840" i="3"/>
  <c r="X840" i="3" s="1"/>
  <c r="J881" i="3"/>
  <c r="L902" i="3"/>
  <c r="S915" i="3"/>
  <c r="O927" i="3"/>
  <c r="Q941" i="3"/>
  <c r="K955" i="3"/>
  <c r="T966" i="3"/>
  <c r="I981" i="3"/>
  <c r="P994" i="3"/>
  <c r="T968" i="3"/>
  <c r="O894" i="3"/>
  <c r="T997" i="3"/>
  <c r="I742" i="3"/>
  <c r="N781" i="3"/>
  <c r="X781" i="3" s="1"/>
  <c r="S820" i="3"/>
  <c r="K860" i="3"/>
  <c r="Q889" i="3"/>
  <c r="J901" i="3"/>
  <c r="U910" i="3"/>
  <c r="S920" i="3"/>
  <c r="Q930" i="3"/>
  <c r="O940" i="3"/>
  <c r="M950" i="3"/>
  <c r="K960" i="3"/>
  <c r="I970" i="3"/>
  <c r="T979" i="3"/>
  <c r="R989" i="3"/>
  <c r="P999" i="3"/>
  <c r="I943" i="3"/>
  <c r="U955" i="3"/>
  <c r="I701" i="3"/>
  <c r="J895" i="3"/>
  <c r="L941" i="3"/>
  <c r="R975" i="3"/>
  <c r="S648" i="3"/>
  <c r="S727" i="3"/>
  <c r="O747" i="3"/>
  <c r="K767" i="3"/>
  <c r="T786" i="3"/>
  <c r="P806" i="3"/>
  <c r="L826" i="3"/>
  <c r="U845" i="3"/>
  <c r="Q865" i="3"/>
  <c r="T879" i="3"/>
  <c r="I892" i="3"/>
  <c r="O897" i="3"/>
  <c r="N902" i="3"/>
  <c r="X902" i="3" s="1"/>
  <c r="M907" i="3"/>
  <c r="L912" i="3"/>
  <c r="K917" i="3"/>
  <c r="R922" i="3"/>
  <c r="Q927" i="3"/>
  <c r="K933" i="3"/>
  <c r="N725" i="3"/>
  <c r="X725" i="3" s="1"/>
  <c r="U850" i="3"/>
  <c r="U912" i="3"/>
  <c r="R943" i="3"/>
  <c r="M976" i="3"/>
  <c r="N749" i="3"/>
  <c r="X749" i="3" s="1"/>
  <c r="Q919" i="3"/>
  <c r="R962" i="3"/>
  <c r="I750" i="3"/>
  <c r="P945" i="3"/>
  <c r="I980" i="3"/>
  <c r="L730" i="3"/>
  <c r="U749" i="3"/>
  <c r="M789" i="3"/>
  <c r="I809" i="3"/>
  <c r="N848" i="3"/>
  <c r="X848" i="3" s="1"/>
  <c r="J868" i="3"/>
  <c r="Q881" i="3"/>
  <c r="J898" i="3"/>
  <c r="I903" i="3"/>
  <c r="U907" i="3"/>
  <c r="T912" i="3"/>
  <c r="M923" i="3"/>
  <c r="L928" i="3"/>
  <c r="S933" i="3"/>
  <c r="O870" i="3"/>
  <c r="L917" i="3"/>
  <c r="Q980" i="3"/>
  <c r="Q478" i="3"/>
  <c r="U678" i="3"/>
  <c r="K999" i="3"/>
  <c r="J970" i="3"/>
  <c r="I876" i="3"/>
  <c r="O925" i="3"/>
  <c r="K953" i="3"/>
  <c r="I979" i="3"/>
  <c r="J971" i="3"/>
  <c r="M858" i="3"/>
  <c r="U738" i="3"/>
  <c r="R887" i="3"/>
  <c r="R915" i="3"/>
  <c r="N943" i="3"/>
  <c r="X943" i="3" s="1"/>
  <c r="T977" i="3"/>
  <c r="T917" i="3"/>
  <c r="Q761" i="3"/>
  <c r="I865" i="3"/>
  <c r="U921" i="3"/>
  <c r="K947" i="3"/>
  <c r="T974" i="3"/>
  <c r="S764" i="3"/>
  <c r="M722" i="3"/>
  <c r="J801" i="3"/>
  <c r="I906" i="3"/>
  <c r="R925" i="3"/>
  <c r="N945" i="3"/>
  <c r="X945" i="3" s="1"/>
  <c r="J965" i="3"/>
  <c r="S984" i="3"/>
  <c r="S949" i="3"/>
  <c r="U920" i="3"/>
  <c r="O990" i="3"/>
  <c r="M757" i="3"/>
  <c r="N816" i="3"/>
  <c r="X816" i="3" s="1"/>
  <c r="S855" i="3"/>
  <c r="U899" i="3"/>
  <c r="R914" i="3"/>
  <c r="K772" i="3"/>
  <c r="U960" i="3"/>
  <c r="R465" i="3"/>
  <c r="M728" i="3"/>
  <c r="O875" i="3"/>
  <c r="M773" i="3"/>
  <c r="U967" i="3"/>
  <c r="M880" i="3"/>
  <c r="L905" i="3"/>
  <c r="Q742" i="3"/>
  <c r="M897" i="3"/>
  <c r="J976" i="3"/>
  <c r="O808" i="3"/>
  <c r="P927" i="3"/>
  <c r="S976" i="3"/>
  <c r="M928" i="3"/>
  <c r="O779" i="3"/>
  <c r="M888" i="3"/>
  <c r="T920" i="3"/>
  <c r="U786" i="3"/>
  <c r="T493" i="3"/>
  <c r="Q580" i="3"/>
  <c r="O705" i="3"/>
  <c r="P627" i="3"/>
  <c r="S529" i="3"/>
  <c r="I664" i="3"/>
  <c r="N610" i="3"/>
  <c r="X610" i="3" s="1"/>
  <c r="O687" i="3"/>
  <c r="T777" i="3"/>
  <c r="Q856" i="3"/>
  <c r="J728" i="3"/>
  <c r="T806" i="3"/>
  <c r="Q885" i="3"/>
  <c r="M750" i="3"/>
  <c r="Q802" i="3"/>
  <c r="U854" i="3"/>
  <c r="K697" i="3"/>
  <c r="R754" i="3"/>
  <c r="L800" i="3"/>
  <c r="Q839" i="3"/>
  <c r="I879" i="3"/>
  <c r="Q708" i="3"/>
  <c r="I748" i="3"/>
  <c r="N787" i="3"/>
  <c r="X787" i="3" s="1"/>
  <c r="S826" i="3"/>
  <c r="K866" i="3"/>
  <c r="N720" i="3"/>
  <c r="X720" i="3" s="1"/>
  <c r="S721" i="3"/>
  <c r="K761" i="3"/>
  <c r="P800" i="3"/>
  <c r="U839" i="3"/>
  <c r="M879" i="3"/>
  <c r="S799" i="3"/>
  <c r="Q905" i="3"/>
  <c r="I945" i="3"/>
  <c r="N984" i="3"/>
  <c r="X984" i="3" s="1"/>
  <c r="M992" i="3"/>
  <c r="I854" i="3"/>
  <c r="L919" i="3"/>
  <c r="Q958" i="3"/>
  <c r="I998" i="3"/>
  <c r="M984" i="3"/>
  <c r="J852" i="3"/>
  <c r="M895" i="3"/>
  <c r="T908" i="3"/>
  <c r="P920" i="3"/>
  <c r="R934" i="3"/>
  <c r="L948" i="3"/>
  <c r="U959" i="3"/>
  <c r="J974" i="3"/>
  <c r="Q987" i="3"/>
  <c r="M999" i="3"/>
  <c r="Q992" i="3"/>
  <c r="S732" i="3"/>
  <c r="Q932" i="3"/>
  <c r="K716" i="3"/>
  <c r="N773" i="3"/>
  <c r="X773" i="3" s="1"/>
  <c r="K820" i="3"/>
  <c r="M874" i="3"/>
  <c r="J899" i="3"/>
  <c r="S910" i="3"/>
  <c r="U924" i="3"/>
  <c r="O938" i="3"/>
  <c r="K950" i="3"/>
  <c r="S966" i="3"/>
  <c r="U971" i="3"/>
  <c r="L885" i="3"/>
  <c r="T973" i="3"/>
  <c r="U741" i="3"/>
  <c r="R788" i="3"/>
  <c r="M845" i="3"/>
  <c r="P889" i="3"/>
  <c r="T902" i="3"/>
  <c r="I917" i="3"/>
  <c r="P930" i="3"/>
  <c r="L942" i="3"/>
  <c r="N956" i="3"/>
  <c r="X956" i="3" s="1"/>
  <c r="U969" i="3"/>
  <c r="Q981" i="3"/>
  <c r="S995" i="3"/>
  <c r="Q983" i="3"/>
  <c r="N899" i="3"/>
  <c r="X899" i="3" s="1"/>
  <c r="U681" i="3"/>
  <c r="S788" i="3"/>
  <c r="K828" i="3"/>
  <c r="P867" i="3"/>
  <c r="R892" i="3"/>
  <c r="U902" i="3"/>
  <c r="S912" i="3"/>
  <c r="Q922" i="3"/>
  <c r="O932" i="3"/>
  <c r="M942" i="3"/>
  <c r="K952" i="3"/>
  <c r="I962" i="3"/>
  <c r="T971" i="3"/>
  <c r="R981" i="3"/>
  <c r="P991" i="3"/>
  <c r="T944" i="3"/>
  <c r="Q900" i="3"/>
  <c r="N684" i="3"/>
  <c r="X684" i="3" s="1"/>
  <c r="Q769" i="3"/>
  <c r="R828" i="3"/>
  <c r="S892" i="3"/>
  <c r="S917" i="3"/>
  <c r="R737" i="3"/>
  <c r="Q948" i="3"/>
  <c r="Q757" i="3"/>
  <c r="R1000" i="3"/>
  <c r="J930" i="3"/>
  <c r="J656" i="3"/>
  <c r="J884" i="3"/>
  <c r="O867" i="3"/>
  <c r="O996" i="3"/>
  <c r="L1000" i="3"/>
  <c r="L447" i="3"/>
  <c r="N480" i="3"/>
  <c r="X480" i="3" s="1"/>
  <c r="P603" i="3"/>
  <c r="U666" i="3"/>
  <c r="K556" i="3"/>
  <c r="T673" i="3"/>
  <c r="P626" i="3"/>
  <c r="U708" i="3"/>
  <c r="R787" i="3"/>
  <c r="O866" i="3"/>
  <c r="U737" i="3"/>
  <c r="R816" i="3"/>
  <c r="Q587" i="3"/>
  <c r="O756" i="3"/>
  <c r="N809" i="3"/>
  <c r="X809" i="3" s="1"/>
  <c r="R861" i="3"/>
  <c r="P708" i="3"/>
  <c r="O761" i="3"/>
  <c r="K805" i="3"/>
  <c r="P844" i="3"/>
  <c r="U883" i="3"/>
  <c r="P713" i="3"/>
  <c r="U752" i="3"/>
  <c r="M792" i="3"/>
  <c r="R831" i="3"/>
  <c r="K540" i="3"/>
  <c r="R569" i="3"/>
  <c r="R726" i="3"/>
  <c r="J766" i="3"/>
  <c r="O805" i="3"/>
  <c r="T844" i="3"/>
  <c r="L884" i="3"/>
  <c r="O819" i="3"/>
  <c r="P910" i="3"/>
  <c r="U949" i="3"/>
  <c r="M989" i="3"/>
  <c r="I710" i="3"/>
  <c r="N872" i="3"/>
  <c r="X872" i="3" s="1"/>
  <c r="K924" i="3"/>
  <c r="P963" i="3"/>
  <c r="L977" i="3"/>
  <c r="S704" i="3"/>
  <c r="J871" i="3"/>
  <c r="U895" i="3"/>
  <c r="J910" i="3"/>
  <c r="Q923" i="3"/>
  <c r="M935" i="3"/>
  <c r="O949" i="3"/>
  <c r="I963" i="3"/>
  <c r="R974" i="3"/>
  <c r="T988" i="3"/>
  <c r="K966" i="3"/>
  <c r="O994" i="3"/>
  <c r="R769" i="3"/>
  <c r="K954" i="3"/>
  <c r="J721" i="3"/>
  <c r="M778" i="3"/>
  <c r="O832" i="3"/>
  <c r="J876" i="3"/>
  <c r="M900" i="3"/>
  <c r="T913" i="3"/>
  <c r="P925" i="3"/>
  <c r="R939" i="3"/>
  <c r="L953" i="3"/>
  <c r="I968" i="3"/>
  <c r="P980" i="3"/>
  <c r="I908" i="3"/>
  <c r="K978" i="3"/>
  <c r="T746" i="3"/>
  <c r="I801" i="3"/>
  <c r="S847" i="3"/>
  <c r="S891" i="3"/>
  <c r="U905" i="3"/>
  <c r="Q917" i="3"/>
  <c r="S931" i="3"/>
  <c r="M945" i="3"/>
  <c r="I957" i="3"/>
  <c r="K971" i="3"/>
  <c r="R984" i="3"/>
  <c r="N996" i="3"/>
  <c r="X996" i="3" s="1"/>
  <c r="I991" i="3"/>
  <c r="L925" i="3"/>
  <c r="P707" i="3"/>
  <c r="M754" i="3"/>
  <c r="R793" i="3"/>
  <c r="J833" i="3"/>
  <c r="R871" i="3"/>
  <c r="M894" i="3"/>
  <c r="K904" i="3"/>
  <c r="I914" i="3"/>
  <c r="T923" i="3"/>
  <c r="R933" i="3"/>
  <c r="P943" i="3"/>
  <c r="N953" i="3"/>
  <c r="X953" i="3" s="1"/>
  <c r="L963" i="3"/>
  <c r="J973" i="3"/>
  <c r="U982" i="3"/>
  <c r="S992" i="3"/>
  <c r="N934" i="3"/>
  <c r="X934" i="3" s="1"/>
  <c r="M947" i="3"/>
  <c r="I967" i="3"/>
  <c r="I782" i="3"/>
  <c r="S906" i="3"/>
  <c r="T949" i="3"/>
  <c r="J983" i="3"/>
  <c r="L699" i="3"/>
  <c r="R732" i="3"/>
  <c r="N752" i="3"/>
  <c r="X752" i="3" s="1"/>
  <c r="J772" i="3"/>
  <c r="S791" i="3"/>
  <c r="O811" i="3"/>
  <c r="K831" i="3"/>
  <c r="T850" i="3"/>
  <c r="I870" i="3"/>
  <c r="N883" i="3"/>
  <c r="X883" i="3" s="1"/>
  <c r="Q893" i="3"/>
  <c r="R898" i="3"/>
  <c r="Q903" i="3"/>
  <c r="P908" i="3"/>
  <c r="O913" i="3"/>
  <c r="N918" i="3"/>
  <c r="X918" i="3" s="1"/>
  <c r="U923" i="3"/>
  <c r="T928" i="3"/>
  <c r="I935" i="3"/>
  <c r="J745" i="3"/>
  <c r="O883" i="3"/>
  <c r="M920" i="3"/>
  <c r="M952" i="3"/>
  <c r="U984" i="3"/>
  <c r="P736" i="3"/>
  <c r="Q876" i="3"/>
  <c r="L920" i="3"/>
  <c r="J654" i="3"/>
  <c r="L817" i="3"/>
  <c r="R717" i="3"/>
  <c r="N881" i="3"/>
  <c r="X881" i="3" s="1"/>
  <c r="M859" i="3"/>
  <c r="O692" i="3"/>
  <c r="T780" i="3"/>
  <c r="R605" i="3"/>
  <c r="M978" i="3"/>
  <c r="L940" i="3"/>
  <c r="O978" i="3"/>
  <c r="N741" i="3"/>
  <c r="X741" i="3" s="1"/>
  <c r="S918" i="3"/>
  <c r="U936" i="3"/>
  <c r="R936" i="3"/>
  <c r="R729" i="3"/>
  <c r="T907" i="3"/>
  <c r="Q986" i="3"/>
  <c r="N963" i="3"/>
  <c r="X963" i="3" s="1"/>
  <c r="K799" i="3"/>
  <c r="P900" i="3"/>
  <c r="R930" i="3"/>
  <c r="I996" i="3"/>
  <c r="L542" i="3"/>
  <c r="U557" i="3"/>
  <c r="Q652" i="3"/>
  <c r="M706" i="3"/>
  <c r="M582" i="3"/>
  <c r="R683" i="3"/>
  <c r="N636" i="3"/>
  <c r="X636" i="3" s="1"/>
  <c r="S718" i="3"/>
  <c r="P797" i="3"/>
  <c r="M876" i="3"/>
  <c r="S747" i="3"/>
  <c r="P826" i="3"/>
  <c r="K683" i="3"/>
  <c r="L763" i="3"/>
  <c r="P815" i="3"/>
  <c r="O868" i="3"/>
  <c r="M715" i="3"/>
  <c r="I767" i="3"/>
  <c r="J810" i="3"/>
  <c r="O849" i="3"/>
  <c r="T888" i="3"/>
  <c r="O718" i="3"/>
  <c r="T757" i="3"/>
  <c r="L797" i="3"/>
  <c r="Q836" i="3"/>
  <c r="O628" i="3"/>
  <c r="P639" i="3"/>
  <c r="Q731" i="3"/>
  <c r="I771" i="3"/>
  <c r="N810" i="3"/>
  <c r="X810" i="3" s="1"/>
  <c r="S849" i="3"/>
  <c r="K889" i="3"/>
  <c r="K839" i="3"/>
  <c r="O915" i="3"/>
  <c r="T954" i="3"/>
  <c r="L994" i="3"/>
  <c r="T735" i="3"/>
  <c r="N885" i="3"/>
  <c r="X885" i="3" s="1"/>
  <c r="J929" i="3"/>
  <c r="O968" i="3"/>
  <c r="T993" i="3"/>
  <c r="U733" i="3"/>
  <c r="L874" i="3"/>
  <c r="I899" i="3"/>
  <c r="R910" i="3"/>
  <c r="T924" i="3"/>
  <c r="N938" i="3"/>
  <c r="X938" i="3" s="1"/>
  <c r="J950" i="3"/>
  <c r="L964" i="3"/>
  <c r="S977" i="3"/>
  <c r="O989" i="3"/>
  <c r="L969" i="3"/>
  <c r="O945" i="3"/>
  <c r="O784" i="3"/>
  <c r="S962" i="3"/>
  <c r="I734" i="3"/>
  <c r="S780" i="3"/>
  <c r="N837" i="3"/>
  <c r="X837" i="3" s="1"/>
  <c r="K884" i="3"/>
  <c r="U900" i="3"/>
  <c r="J915" i="3"/>
  <c r="Q928" i="3"/>
  <c r="M940" i="3"/>
  <c r="O954" i="3"/>
  <c r="K974" i="3"/>
  <c r="I983" i="3"/>
  <c r="N915" i="3"/>
  <c r="X915" i="3" s="1"/>
  <c r="R999" i="3"/>
  <c r="M749" i="3"/>
  <c r="U805" i="3"/>
  <c r="J860" i="3"/>
  <c r="Q892" i="3"/>
  <c r="K907" i="3"/>
  <c r="R920" i="3"/>
  <c r="N932" i="3"/>
  <c r="X932" i="3" s="1"/>
  <c r="P946" i="3"/>
  <c r="J960" i="3"/>
  <c r="S971" i="3"/>
  <c r="U985" i="3"/>
  <c r="O999" i="3"/>
  <c r="M995" i="3"/>
  <c r="M936" i="3"/>
  <c r="O712" i="3"/>
  <c r="S756" i="3"/>
  <c r="K796" i="3"/>
  <c r="P835" i="3"/>
  <c r="J873" i="3"/>
  <c r="U894" i="3"/>
  <c r="S904" i="3"/>
  <c r="Q914" i="3"/>
  <c r="O924" i="3"/>
  <c r="M934" i="3"/>
  <c r="K944" i="3"/>
  <c r="I954" i="3"/>
  <c r="T963" i="3"/>
  <c r="R973" i="3"/>
  <c r="P983" i="3"/>
  <c r="N993" i="3"/>
  <c r="X993" i="3" s="1"/>
  <c r="L936" i="3"/>
  <c r="P948" i="3"/>
  <c r="O969" i="3"/>
  <c r="L799" i="3"/>
  <c r="K914" i="3"/>
  <c r="S954" i="3"/>
  <c r="P985" i="3"/>
  <c r="K708" i="3"/>
  <c r="K735" i="3"/>
  <c r="T754" i="3"/>
  <c r="P774" i="3"/>
  <c r="L794" i="3"/>
  <c r="U813" i="3"/>
  <c r="Q833" i="3"/>
  <c r="M853" i="3"/>
  <c r="S871" i="3"/>
  <c r="S884" i="3"/>
  <c r="N894" i="3"/>
  <c r="X894" i="3" s="1"/>
  <c r="M899" i="3"/>
  <c r="L904" i="3"/>
  <c r="K909" i="3"/>
  <c r="J914" i="3"/>
  <c r="I919" i="3"/>
  <c r="P924" i="3"/>
  <c r="O929" i="3"/>
  <c r="T936" i="3"/>
  <c r="N757" i="3"/>
  <c r="X757" i="3" s="1"/>
  <c r="J892" i="3"/>
  <c r="I924" i="3"/>
  <c r="I956" i="3"/>
  <c r="N987" i="3"/>
  <c r="X987" i="3" s="1"/>
  <c r="S595" i="3"/>
  <c r="Q606" i="3"/>
  <c r="L646" i="3"/>
  <c r="Q728" i="3"/>
  <c r="K886" i="3"/>
  <c r="N836" i="3"/>
  <c r="X836" i="3" s="1"/>
  <c r="I770" i="3"/>
  <c r="M822" i="3"/>
  <c r="Q874" i="3"/>
  <c r="J722" i="3"/>
  <c r="I815" i="3"/>
  <c r="N854" i="3"/>
  <c r="X854" i="3" s="1"/>
  <c r="S893" i="3"/>
  <c r="N723" i="3"/>
  <c r="X723" i="3" s="1"/>
  <c r="K802" i="3"/>
  <c r="P841" i="3"/>
  <c r="T667" i="3"/>
  <c r="U775" i="3"/>
  <c r="R854" i="3"/>
  <c r="J894" i="3"/>
  <c r="T858" i="3"/>
  <c r="N920" i="3"/>
  <c r="X920" i="3" s="1"/>
  <c r="P755" i="3"/>
  <c r="Q894" i="3"/>
  <c r="I934" i="3"/>
  <c r="N973" i="3"/>
  <c r="X973" i="3" s="1"/>
  <c r="Q753" i="3"/>
  <c r="L900" i="3"/>
  <c r="Q939" i="3"/>
  <c r="T964" i="3"/>
  <c r="P992" i="3"/>
  <c r="J962" i="3"/>
  <c r="R967" i="3"/>
  <c r="T839" i="3"/>
  <c r="I904" i="3"/>
  <c r="T929" i="3"/>
  <c r="J955" i="3"/>
  <c r="U638" i="3"/>
  <c r="N808" i="3"/>
  <c r="X808" i="3" s="1"/>
  <c r="S907" i="3"/>
  <c r="O935" i="3"/>
  <c r="M961" i="3"/>
  <c r="P986" i="3"/>
  <c r="O942" i="3"/>
  <c r="R761" i="3"/>
  <c r="K896" i="3"/>
  <c r="T915" i="3"/>
  <c r="P935" i="3"/>
  <c r="L955" i="3"/>
  <c r="U974" i="3"/>
  <c r="J938" i="3"/>
  <c r="L831" i="3"/>
  <c r="R959" i="3"/>
  <c r="J713" i="3"/>
  <c r="I777" i="3"/>
  <c r="J836" i="3"/>
  <c r="P873" i="3"/>
  <c r="I895" i="3"/>
  <c r="T904" i="3"/>
  <c r="L976" i="3"/>
  <c r="R927" i="3"/>
  <c r="Q624" i="3"/>
  <c r="L603" i="3"/>
  <c r="L719" i="3"/>
  <c r="S708" i="3"/>
  <c r="N954" i="3"/>
  <c r="X954" i="3" s="1"/>
  <c r="K852" i="3"/>
  <c r="M980" i="3"/>
  <c r="T910" i="3"/>
  <c r="Q989" i="3"/>
  <c r="J769" i="3"/>
  <c r="R917" i="3"/>
  <c r="U966" i="3"/>
  <c r="O848" i="3"/>
  <c r="S759" i="3"/>
  <c r="U874" i="3"/>
  <c r="M915" i="3"/>
  <c r="L901" i="3"/>
  <c r="I692" i="3"/>
  <c r="P606" i="3"/>
  <c r="P693" i="3"/>
  <c r="N807" i="3"/>
  <c r="X807" i="3" s="1"/>
  <c r="T707" i="3"/>
  <c r="P772" i="3"/>
  <c r="S762" i="3"/>
  <c r="M815" i="3"/>
  <c r="S959" i="3"/>
  <c r="S913" i="3"/>
  <c r="J793" i="3"/>
  <c r="J896" i="3"/>
  <c r="O840" i="3"/>
  <c r="I975" i="3"/>
  <c r="R796" i="3"/>
  <c r="P886" i="3"/>
  <c r="K925" i="3"/>
  <c r="U896" i="3"/>
  <c r="T368" i="3"/>
  <c r="L599" i="3"/>
  <c r="L728" i="3"/>
  <c r="J807" i="3"/>
  <c r="Q859" i="3"/>
  <c r="L775" i="3"/>
  <c r="T900" i="3"/>
  <c r="Q979" i="3"/>
  <c r="I798" i="3"/>
  <c r="Q944" i="3"/>
  <c r="P766" i="3"/>
  <c r="L950" i="3"/>
  <c r="N971" i="3"/>
  <c r="X971" i="3" s="1"/>
  <c r="I898" i="3"/>
  <c r="L947" i="3"/>
  <c r="Q951" i="3"/>
  <c r="J740" i="3"/>
  <c r="L858" i="3"/>
  <c r="N910" i="3"/>
  <c r="X910" i="3" s="1"/>
  <c r="Q964" i="3"/>
  <c r="X13" i="3"/>
  <c r="X53" i="3"/>
  <c r="X50" i="3"/>
  <c r="X58" i="3"/>
  <c r="X19" i="3"/>
  <c r="X11" i="3"/>
  <c r="X59" i="3"/>
  <c r="X101" i="3"/>
  <c r="X79" i="3"/>
  <c r="X9" i="3"/>
  <c r="X63" i="3"/>
  <c r="X57" i="3"/>
  <c r="X80" i="3"/>
  <c r="X54" i="3"/>
  <c r="X71" i="3"/>
  <c r="X144" i="3"/>
  <c r="X177" i="3"/>
  <c r="X134" i="3"/>
  <c r="X104" i="3"/>
  <c r="X94" i="3"/>
  <c r="X189" i="3"/>
  <c r="X199" i="3"/>
  <c r="X196" i="3"/>
  <c r="X159" i="3"/>
  <c r="X267" i="3"/>
  <c r="X307" i="3"/>
  <c r="X320" i="3"/>
  <c r="X274" i="3"/>
  <c r="X251" i="3"/>
  <c r="X305" i="3"/>
  <c r="X373" i="3"/>
  <c r="X329" i="3"/>
  <c r="X191" i="3"/>
  <c r="X346" i="3"/>
  <c r="X371" i="3"/>
  <c r="X316" i="3"/>
  <c r="X386" i="3"/>
  <c r="X448" i="3"/>
  <c r="X510" i="3"/>
  <c r="X461" i="3"/>
  <c r="X531" i="3"/>
  <c r="X496" i="3"/>
  <c r="X482" i="3"/>
  <c r="X521" i="3"/>
  <c r="X529" i="3"/>
  <c r="X602" i="3"/>
  <c r="X618" i="3"/>
  <c r="X588" i="3"/>
  <c r="X593" i="3"/>
  <c r="X601" i="3"/>
  <c r="X503" i="3"/>
  <c r="X421" i="3"/>
  <c r="X484" i="3"/>
  <c r="X492" i="3"/>
  <c r="X630" i="3"/>
  <c r="X624" i="3"/>
  <c r="X678" i="3"/>
  <c r="X702" i="3"/>
  <c r="X699" i="3"/>
  <c r="X713" i="3"/>
  <c r="X774" i="3"/>
  <c r="X762" i="3"/>
  <c r="X824" i="3"/>
  <c r="X864" i="3"/>
  <c r="X823" i="3"/>
  <c r="X839" i="3"/>
  <c r="X847" i="3"/>
  <c r="X788" i="3"/>
  <c r="X828" i="3"/>
  <c r="X852" i="3"/>
  <c r="X728" i="3"/>
  <c r="X819" i="3"/>
  <c r="X948" i="3"/>
  <c r="X931" i="3"/>
  <c r="X73" i="3"/>
  <c r="X116" i="3"/>
  <c r="X99" i="3"/>
  <c r="X190" i="3"/>
  <c r="X298" i="3"/>
  <c r="X292" i="3"/>
  <c r="X275" i="3"/>
  <c r="X485" i="3"/>
  <c r="X18" i="3"/>
  <c r="X55" i="3"/>
  <c r="X14" i="3"/>
  <c r="X27" i="3"/>
  <c r="X43" i="3"/>
  <c r="X8" i="3"/>
  <c r="X24" i="3"/>
  <c r="X56" i="3"/>
  <c r="X78" i="3"/>
  <c r="X64" i="3"/>
  <c r="X32" i="3"/>
  <c r="X48" i="3"/>
  <c r="X60" i="3"/>
  <c r="X65" i="3"/>
  <c r="X128" i="3"/>
  <c r="X117" i="3"/>
  <c r="X90" i="3"/>
  <c r="X108" i="3"/>
  <c r="X124" i="3"/>
  <c r="X113" i="3"/>
  <c r="X160" i="3"/>
  <c r="X176" i="3"/>
  <c r="X184" i="3"/>
  <c r="X111" i="3"/>
  <c r="X157" i="3"/>
  <c r="X173" i="3"/>
  <c r="X132" i="3"/>
  <c r="X156" i="3"/>
  <c r="X204" i="3"/>
  <c r="X153" i="3"/>
  <c r="X201" i="3"/>
  <c r="X138" i="3"/>
  <c r="X126" i="3"/>
  <c r="X178" i="3"/>
  <c r="X194" i="3"/>
  <c r="X248" i="3"/>
  <c r="X352" i="3"/>
  <c r="X360" i="3"/>
  <c r="X91" i="3"/>
  <c r="X151" i="3"/>
  <c r="X213" i="3"/>
  <c r="X285" i="3"/>
  <c r="X341" i="3"/>
  <c r="X357" i="3"/>
  <c r="X365" i="3"/>
  <c r="X75" i="3"/>
  <c r="X127" i="3"/>
  <c r="X220" i="3"/>
  <c r="X332" i="3"/>
  <c r="X131" i="3"/>
  <c r="X313" i="3"/>
  <c r="X321" i="3"/>
  <c r="X143" i="3"/>
  <c r="X179" i="3"/>
  <c r="X259" i="3"/>
  <c r="X150" i="3"/>
  <c r="X226" i="3"/>
  <c r="X408" i="3"/>
  <c r="X416" i="3"/>
  <c r="X187" i="3"/>
  <c r="X215" i="3"/>
  <c r="X279" i="3"/>
  <c r="X311" i="3"/>
  <c r="X343" i="3"/>
  <c r="X405" i="3"/>
  <c r="X214" i="3"/>
  <c r="X262" i="3"/>
  <c r="X195" i="3"/>
  <c r="X235" i="3"/>
  <c r="X142" i="3"/>
  <c r="X266" i="3"/>
  <c r="X282" i="3"/>
  <c r="X388" i="3"/>
  <c r="X396" i="3"/>
  <c r="X444" i="3"/>
  <c r="X223" i="3"/>
  <c r="X351" i="3"/>
  <c r="X286" i="3"/>
  <c r="X487" i="3"/>
  <c r="X443" i="3"/>
  <c r="X426" i="3"/>
  <c r="X497" i="3"/>
  <c r="X467" i="3"/>
  <c r="X542" i="3"/>
  <c r="X446" i="3"/>
  <c r="X475" i="3"/>
  <c r="X491" i="3"/>
  <c r="X435" i="3"/>
  <c r="X310" i="3"/>
  <c r="X455" i="3"/>
  <c r="X498" i="3"/>
  <c r="X530" i="3"/>
  <c r="X572" i="3"/>
  <c r="X512" i="3"/>
  <c r="X528" i="3"/>
  <c r="X591" i="3"/>
  <c r="X682" i="3"/>
  <c r="X504" i="3"/>
  <c r="X615" i="3"/>
  <c r="X681" i="3"/>
  <c r="X595" i="3"/>
  <c r="X690" i="3"/>
  <c r="X587" i="3"/>
  <c r="X710" i="3"/>
  <c r="X827" i="3"/>
  <c r="X26" i="3"/>
  <c r="X39" i="3"/>
  <c r="X30" i="3"/>
  <c r="X325" i="3"/>
  <c r="P3" i="3" l="1"/>
  <c r="O3" i="3" s="1"/>
  <c r="P4" i="3"/>
  <c r="O4" i="3" s="1"/>
  <c r="D14" i="1" s="1"/>
  <c r="Z8" i="3"/>
  <c r="AA879" i="3"/>
  <c r="Z880" i="3"/>
  <c r="W992" i="3"/>
  <c r="G992" i="3"/>
  <c r="H992" i="3"/>
  <c r="W983" i="3"/>
  <c r="H983" i="3"/>
  <c r="G983" i="3"/>
  <c r="W970" i="3"/>
  <c r="G970" i="3"/>
  <c r="H970" i="3"/>
  <c r="Z896" i="3"/>
  <c r="AA895" i="3"/>
  <c r="Z939" i="3"/>
  <c r="AA938" i="3"/>
  <c r="W930" i="3"/>
  <c r="H930" i="3"/>
  <c r="G930" i="3"/>
  <c r="AA987" i="3"/>
  <c r="Z988" i="3"/>
  <c r="W940" i="3"/>
  <c r="H940" i="3"/>
  <c r="G940" i="3"/>
  <c r="AA959" i="3"/>
  <c r="Z960" i="3"/>
  <c r="Z944" i="3"/>
  <c r="AA943" i="3"/>
  <c r="Z940" i="3"/>
  <c r="AA939" i="3"/>
  <c r="AA951" i="3"/>
  <c r="Z952" i="3"/>
  <c r="W996" i="3"/>
  <c r="G996" i="3"/>
  <c r="H996" i="3"/>
  <c r="W932" i="3"/>
  <c r="H932" i="3"/>
  <c r="G932" i="3"/>
  <c r="Z932" i="3"/>
  <c r="AA931" i="3"/>
  <c r="W991" i="3"/>
  <c r="G991" i="3"/>
  <c r="H991" i="3"/>
  <c r="AA986" i="3"/>
  <c r="Z987" i="3"/>
  <c r="W927" i="3"/>
  <c r="H927" i="3"/>
  <c r="G927" i="3"/>
  <c r="AA922" i="3"/>
  <c r="Z923" i="3"/>
  <c r="AA839" i="3"/>
  <c r="Z840" i="3"/>
  <c r="W780" i="3"/>
  <c r="H780" i="3"/>
  <c r="G780" i="3"/>
  <c r="W978" i="3"/>
  <c r="H978" i="3"/>
  <c r="G978" i="3"/>
  <c r="Z974" i="3"/>
  <c r="AA973" i="3"/>
  <c r="W914" i="3"/>
  <c r="G914" i="3"/>
  <c r="H914" i="3"/>
  <c r="AA909" i="3"/>
  <c r="Z910" i="3"/>
  <c r="AA787" i="3"/>
  <c r="Z788" i="3"/>
  <c r="W728" i="3"/>
  <c r="H728" i="3"/>
  <c r="G728" i="3"/>
  <c r="AA903" i="3"/>
  <c r="Z904" i="3"/>
  <c r="W981" i="3"/>
  <c r="G981" i="3"/>
  <c r="H981" i="3"/>
  <c r="Z977" i="3"/>
  <c r="AA976" i="3"/>
  <c r="W917" i="3"/>
  <c r="G917" i="3"/>
  <c r="H917" i="3"/>
  <c r="Z913" i="3"/>
  <c r="AA912" i="3"/>
  <c r="Z800" i="3"/>
  <c r="AA799" i="3"/>
  <c r="W740" i="3"/>
  <c r="H740" i="3"/>
  <c r="G740" i="3"/>
  <c r="W848" i="3"/>
  <c r="H848" i="3"/>
  <c r="G848" i="3"/>
  <c r="W979" i="3"/>
  <c r="H979" i="3"/>
  <c r="G979" i="3"/>
  <c r="AA974" i="3"/>
  <c r="Z975" i="3"/>
  <c r="W915" i="3"/>
  <c r="G915" i="3"/>
  <c r="H915" i="3"/>
  <c r="Z911" i="3"/>
  <c r="AA910" i="3"/>
  <c r="Z792" i="3"/>
  <c r="AA791" i="3"/>
  <c r="W732" i="3"/>
  <c r="G732" i="3"/>
  <c r="H732" i="3"/>
  <c r="W966" i="3"/>
  <c r="G966" i="3"/>
  <c r="H966" i="3"/>
  <c r="Z962" i="3"/>
  <c r="AA961" i="3"/>
  <c r="W902" i="3"/>
  <c r="G902" i="3"/>
  <c r="H902" i="3"/>
  <c r="AA897" i="3"/>
  <c r="Z898" i="3"/>
  <c r="Z740" i="3"/>
  <c r="AA739" i="3"/>
  <c r="G674" i="3"/>
  <c r="W674" i="3"/>
  <c r="H674" i="3"/>
  <c r="W953" i="3"/>
  <c r="G953" i="3"/>
  <c r="H953" i="3"/>
  <c r="AA948" i="3"/>
  <c r="Z949" i="3"/>
  <c r="W889" i="3"/>
  <c r="H889" i="3"/>
  <c r="G889" i="3"/>
  <c r="AA884" i="3"/>
  <c r="Z885" i="3"/>
  <c r="W864" i="3"/>
  <c r="H864" i="3"/>
  <c r="G864" i="3"/>
  <c r="AA687" i="3"/>
  <c r="Z688" i="3"/>
  <c r="W800" i="3"/>
  <c r="G800" i="3"/>
  <c r="H800" i="3"/>
  <c r="W736" i="3"/>
  <c r="G736" i="3"/>
  <c r="H736" i="3"/>
  <c r="W855" i="3"/>
  <c r="H855" i="3"/>
  <c r="G855" i="3"/>
  <c r="AA850" i="3"/>
  <c r="Z851" i="3"/>
  <c r="W791" i="3"/>
  <c r="G791" i="3"/>
  <c r="H791" i="3"/>
  <c r="AA786" i="3"/>
  <c r="Z787" i="3"/>
  <c r="W727" i="3"/>
  <c r="H727" i="3"/>
  <c r="G727" i="3"/>
  <c r="Z723" i="3"/>
  <c r="AA722" i="3"/>
  <c r="W682" i="3"/>
  <c r="H682" i="3"/>
  <c r="G682" i="3"/>
  <c r="AA665" i="3"/>
  <c r="Z666" i="3"/>
  <c r="W606" i="3"/>
  <c r="H606" i="3"/>
  <c r="G606" i="3"/>
  <c r="Z545" i="3"/>
  <c r="AA544" i="3"/>
  <c r="W858" i="3"/>
  <c r="G858" i="3"/>
  <c r="H858" i="3"/>
  <c r="Z854" i="3"/>
  <c r="AA853" i="3"/>
  <c r="W794" i="3"/>
  <c r="G794" i="3"/>
  <c r="H794" i="3"/>
  <c r="Z790" i="3"/>
  <c r="AA789" i="3"/>
  <c r="W730" i="3"/>
  <c r="H730" i="3"/>
  <c r="G730" i="3"/>
  <c r="Z726" i="3"/>
  <c r="AA725" i="3"/>
  <c r="AA677" i="3"/>
  <c r="Z678" i="3"/>
  <c r="W618" i="3"/>
  <c r="H618" i="3"/>
  <c r="G618" i="3"/>
  <c r="Z593" i="3"/>
  <c r="AA592" i="3"/>
  <c r="W489" i="3"/>
  <c r="G489" i="3"/>
  <c r="H489" i="3"/>
  <c r="W805" i="3"/>
  <c r="G805" i="3"/>
  <c r="H805" i="3"/>
  <c r="Z801" i="3"/>
  <c r="AA800" i="3"/>
  <c r="W741" i="3"/>
  <c r="H741" i="3"/>
  <c r="G741" i="3"/>
  <c r="Z737" i="3"/>
  <c r="AA736" i="3"/>
  <c r="W662" i="3"/>
  <c r="H662" i="3"/>
  <c r="G662" i="3"/>
  <c r="W827" i="3"/>
  <c r="H827" i="3"/>
  <c r="G827" i="3"/>
  <c r="Z823" i="3"/>
  <c r="AA822" i="3"/>
  <c r="W763" i="3"/>
  <c r="G763" i="3"/>
  <c r="H763" i="3"/>
  <c r="AA758" i="3"/>
  <c r="Z759" i="3"/>
  <c r="W699" i="3"/>
  <c r="G699" i="3"/>
  <c r="H699" i="3"/>
  <c r="AA694" i="3"/>
  <c r="Z695" i="3"/>
  <c r="W830" i="3"/>
  <c r="H830" i="3"/>
  <c r="G830" i="3"/>
  <c r="AA825" i="3"/>
  <c r="Z826" i="3"/>
  <c r="W766" i="3"/>
  <c r="G766" i="3"/>
  <c r="H766" i="3"/>
  <c r="AA761" i="3"/>
  <c r="Z762" i="3"/>
  <c r="W702" i="3"/>
  <c r="H702" i="3"/>
  <c r="G702" i="3"/>
  <c r="Z698" i="3"/>
  <c r="AA697" i="3"/>
  <c r="W833" i="3"/>
  <c r="H833" i="3"/>
  <c r="G833" i="3"/>
  <c r="Z829" i="3"/>
  <c r="AA828" i="3"/>
  <c r="W769" i="3"/>
  <c r="G769" i="3"/>
  <c r="H769" i="3"/>
  <c r="AA764" i="3"/>
  <c r="Z765" i="3"/>
  <c r="W705" i="3"/>
  <c r="H705" i="3"/>
  <c r="G705" i="3"/>
  <c r="AA700" i="3"/>
  <c r="Z701" i="3"/>
  <c r="W621" i="3"/>
  <c r="H621" i="3"/>
  <c r="G621" i="3"/>
  <c r="AA616" i="3"/>
  <c r="Z617" i="3"/>
  <c r="W545" i="3"/>
  <c r="G545" i="3"/>
  <c r="H545" i="3"/>
  <c r="W656" i="3"/>
  <c r="G656" i="3"/>
  <c r="H656" i="3"/>
  <c r="Z652" i="3"/>
  <c r="AA651" i="3"/>
  <c r="W643" i="3"/>
  <c r="H643" i="3"/>
  <c r="G643" i="3"/>
  <c r="AA638" i="3"/>
  <c r="Z639" i="3"/>
  <c r="W673" i="3"/>
  <c r="H673" i="3"/>
  <c r="G673" i="3"/>
  <c r="AA668" i="3"/>
  <c r="Z669" i="3"/>
  <c r="W609" i="3"/>
  <c r="H609" i="3"/>
  <c r="G609" i="3"/>
  <c r="AA604" i="3"/>
  <c r="Z605" i="3"/>
  <c r="AA556" i="3"/>
  <c r="Z557" i="3"/>
  <c r="Z324" i="3"/>
  <c r="AA323" i="3"/>
  <c r="AA679" i="3"/>
  <c r="Z680" i="3"/>
  <c r="W620" i="3"/>
  <c r="G620" i="3"/>
  <c r="H620" i="3"/>
  <c r="AA615" i="3"/>
  <c r="Z616" i="3"/>
  <c r="W600" i="3"/>
  <c r="G600" i="3"/>
  <c r="H600" i="3"/>
  <c r="W541" i="3"/>
  <c r="G541" i="3"/>
  <c r="H541" i="3"/>
  <c r="W655" i="3"/>
  <c r="H655" i="3"/>
  <c r="G655" i="3"/>
  <c r="Z651" i="3"/>
  <c r="AA650" i="3"/>
  <c r="W592" i="3"/>
  <c r="G592" i="3"/>
  <c r="H592" i="3"/>
  <c r="Z588" i="3"/>
  <c r="AA587" i="3"/>
  <c r="W528" i="3"/>
  <c r="H528" i="3"/>
  <c r="G528" i="3"/>
  <c r="H469" i="3"/>
  <c r="W469" i="3"/>
  <c r="G469" i="3"/>
  <c r="W563" i="3"/>
  <c r="G563" i="3"/>
  <c r="H563" i="3"/>
  <c r="AA558" i="3"/>
  <c r="Z559" i="3"/>
  <c r="W598" i="3"/>
  <c r="H598" i="3"/>
  <c r="G598" i="3"/>
  <c r="AA593" i="3"/>
  <c r="Z594" i="3"/>
  <c r="W534" i="3"/>
  <c r="H534" i="3"/>
  <c r="G534" i="3"/>
  <c r="Z530" i="3"/>
  <c r="AA529" i="3"/>
  <c r="W493" i="3"/>
  <c r="G493" i="3"/>
  <c r="H493" i="3"/>
  <c r="AA599" i="3"/>
  <c r="Z600" i="3"/>
  <c r="W540" i="3"/>
  <c r="H540" i="3"/>
  <c r="G540" i="3"/>
  <c r="AA535" i="3"/>
  <c r="Z536" i="3"/>
  <c r="W516" i="3"/>
  <c r="H516" i="3"/>
  <c r="G516" i="3"/>
  <c r="W591" i="3"/>
  <c r="H591" i="3"/>
  <c r="G591" i="3"/>
  <c r="AA586" i="3"/>
  <c r="Z587" i="3"/>
  <c r="W527" i="3"/>
  <c r="H527" i="3"/>
  <c r="G527" i="3"/>
  <c r="H465" i="3"/>
  <c r="W465" i="3"/>
  <c r="G465" i="3"/>
  <c r="Z598" i="3"/>
  <c r="AA597" i="3"/>
  <c r="W538" i="3"/>
  <c r="G538" i="3"/>
  <c r="H538" i="3"/>
  <c r="AA533" i="3"/>
  <c r="Z534" i="3"/>
  <c r="W509" i="3"/>
  <c r="G509" i="3"/>
  <c r="H509" i="3"/>
  <c r="W508" i="3"/>
  <c r="G508" i="3"/>
  <c r="H508" i="3"/>
  <c r="AA503" i="3"/>
  <c r="Z504" i="3"/>
  <c r="W519" i="3"/>
  <c r="H519" i="3"/>
  <c r="G519" i="3"/>
  <c r="Z515" i="3"/>
  <c r="AA514" i="3"/>
  <c r="W455" i="3"/>
  <c r="H455" i="3"/>
  <c r="G455" i="3"/>
  <c r="Z451" i="3"/>
  <c r="AA450" i="3"/>
  <c r="G466" i="3"/>
  <c r="H466" i="3"/>
  <c r="W466" i="3"/>
  <c r="AA461" i="3"/>
  <c r="Z462" i="3"/>
  <c r="AA407" i="3"/>
  <c r="Z408" i="3"/>
  <c r="G472" i="3"/>
  <c r="W472" i="3"/>
  <c r="H472" i="3"/>
  <c r="AA467" i="3"/>
  <c r="Z468" i="3"/>
  <c r="AA431" i="3"/>
  <c r="Z432" i="3"/>
  <c r="W372" i="3"/>
  <c r="G372" i="3"/>
  <c r="H372" i="3"/>
  <c r="Z308" i="3"/>
  <c r="AA307" i="3"/>
  <c r="G483" i="3"/>
  <c r="H483" i="3"/>
  <c r="W483" i="3"/>
  <c r="AA478" i="3"/>
  <c r="Z479" i="3"/>
  <c r="H416" i="3"/>
  <c r="G416" i="3"/>
  <c r="W416" i="3"/>
  <c r="H494" i="3"/>
  <c r="W494" i="3"/>
  <c r="G494" i="3"/>
  <c r="AA489" i="3"/>
  <c r="Z490" i="3"/>
  <c r="G344" i="3"/>
  <c r="W344" i="3"/>
  <c r="H344" i="3"/>
  <c r="W427" i="3"/>
  <c r="G427" i="3"/>
  <c r="H427" i="3"/>
  <c r="Z423" i="3"/>
  <c r="AA422" i="3"/>
  <c r="W289" i="3"/>
  <c r="G289" i="3"/>
  <c r="H289" i="3"/>
  <c r="H438" i="3"/>
  <c r="G438" i="3"/>
  <c r="W438" i="3"/>
  <c r="AA433" i="3"/>
  <c r="Z434" i="3"/>
  <c r="G374" i="3"/>
  <c r="W374" i="3"/>
  <c r="H374" i="3"/>
  <c r="AA369" i="3"/>
  <c r="Z370" i="3"/>
  <c r="AA315" i="3"/>
  <c r="Z316" i="3"/>
  <c r="AA444" i="3"/>
  <c r="Z445" i="3"/>
  <c r="W385" i="3"/>
  <c r="G385" i="3"/>
  <c r="H385" i="3"/>
  <c r="Z381" i="3"/>
  <c r="AA380" i="3"/>
  <c r="Z360" i="3"/>
  <c r="AA359" i="3"/>
  <c r="W300" i="3"/>
  <c r="G300" i="3"/>
  <c r="H300" i="3"/>
  <c r="G391" i="3"/>
  <c r="H391" i="3"/>
  <c r="W391" i="3"/>
  <c r="AA386" i="3"/>
  <c r="Z387" i="3"/>
  <c r="G324" i="3"/>
  <c r="H324" i="3"/>
  <c r="W324" i="3"/>
  <c r="G402" i="3"/>
  <c r="H402" i="3"/>
  <c r="W402" i="3"/>
  <c r="AA397" i="3"/>
  <c r="Z398" i="3"/>
  <c r="AA211" i="3"/>
  <c r="Z212" i="3"/>
  <c r="W389" i="3"/>
  <c r="G389" i="3"/>
  <c r="H389" i="3"/>
  <c r="AA384" i="3"/>
  <c r="Z385" i="3"/>
  <c r="G316" i="3"/>
  <c r="W316" i="3"/>
  <c r="H316" i="3"/>
  <c r="G339" i="3"/>
  <c r="W339" i="3"/>
  <c r="H339" i="3"/>
  <c r="AA334" i="3"/>
  <c r="Z335" i="3"/>
  <c r="Z288" i="3"/>
  <c r="AA287" i="3"/>
  <c r="W350" i="3"/>
  <c r="H350" i="3"/>
  <c r="G350" i="3"/>
  <c r="Z346" i="3"/>
  <c r="AA345" i="3"/>
  <c r="H337" i="3"/>
  <c r="W337" i="3"/>
  <c r="G337" i="3"/>
  <c r="AA332" i="3"/>
  <c r="Z333" i="3"/>
  <c r="G283" i="3"/>
  <c r="H283" i="3"/>
  <c r="W283" i="3"/>
  <c r="W343" i="3"/>
  <c r="H343" i="3"/>
  <c r="G343" i="3"/>
  <c r="Z339" i="3"/>
  <c r="AA338" i="3"/>
  <c r="H354" i="3"/>
  <c r="G354" i="3"/>
  <c r="W354" i="3"/>
  <c r="Z350" i="3"/>
  <c r="AA349" i="3"/>
  <c r="G341" i="3"/>
  <c r="W341" i="3"/>
  <c r="H341" i="3"/>
  <c r="AA336" i="3"/>
  <c r="Z337" i="3"/>
  <c r="G251" i="3"/>
  <c r="W251" i="3"/>
  <c r="H251" i="3"/>
  <c r="Z247" i="3"/>
  <c r="AA246" i="3"/>
  <c r="Z196" i="3"/>
  <c r="AA195" i="3"/>
  <c r="Z152" i="3"/>
  <c r="AA151" i="3"/>
  <c r="W278" i="3"/>
  <c r="G278" i="3"/>
  <c r="H278" i="3"/>
  <c r="AA273" i="3"/>
  <c r="Z274" i="3"/>
  <c r="G214" i="3"/>
  <c r="H214" i="3"/>
  <c r="W214" i="3"/>
  <c r="Z210" i="3"/>
  <c r="AA209" i="3"/>
  <c r="H233" i="3"/>
  <c r="W233" i="3"/>
  <c r="G233" i="3"/>
  <c r="AA228" i="3"/>
  <c r="Z229" i="3"/>
  <c r="H199" i="3"/>
  <c r="W199" i="3"/>
  <c r="G199" i="3"/>
  <c r="G239" i="3"/>
  <c r="W239" i="3"/>
  <c r="H239" i="3"/>
  <c r="Z235" i="3"/>
  <c r="AA234" i="3"/>
  <c r="W250" i="3"/>
  <c r="G250" i="3"/>
  <c r="H250" i="3"/>
  <c r="Z246" i="3"/>
  <c r="AA245" i="3"/>
  <c r="Z192" i="3"/>
  <c r="AA191" i="3"/>
  <c r="G261" i="3"/>
  <c r="H261" i="3"/>
  <c r="W261" i="3"/>
  <c r="AA256" i="3"/>
  <c r="Z257" i="3"/>
  <c r="W176" i="3"/>
  <c r="H176" i="3"/>
  <c r="G176" i="3"/>
  <c r="W175" i="3"/>
  <c r="H175" i="3"/>
  <c r="G175" i="3"/>
  <c r="Z171" i="3"/>
  <c r="AA170" i="3"/>
  <c r="H194" i="3"/>
  <c r="W194" i="3"/>
  <c r="G194" i="3"/>
  <c r="Z190" i="3"/>
  <c r="AA189" i="3"/>
  <c r="Z87" i="3"/>
  <c r="AA86" i="3"/>
  <c r="AA192" i="3"/>
  <c r="Z193" i="3"/>
  <c r="AA155" i="3"/>
  <c r="Z156" i="3"/>
  <c r="H163" i="3"/>
  <c r="W163" i="3"/>
  <c r="G163" i="3"/>
  <c r="G198" i="3"/>
  <c r="H198" i="3"/>
  <c r="W198" i="3"/>
  <c r="AA193" i="3"/>
  <c r="Z194" i="3"/>
  <c r="W124" i="3"/>
  <c r="H124" i="3"/>
  <c r="G124" i="3"/>
  <c r="W169" i="3"/>
  <c r="G169" i="3"/>
  <c r="H169" i="3"/>
  <c r="Z165" i="3"/>
  <c r="AA164" i="3"/>
  <c r="W127" i="3"/>
  <c r="G127" i="3"/>
  <c r="H127" i="3"/>
  <c r="Z123" i="3"/>
  <c r="AA122" i="3"/>
  <c r="AA114" i="3"/>
  <c r="Z115" i="3"/>
  <c r="H103" i="3"/>
  <c r="G103" i="3"/>
  <c r="W103" i="3"/>
  <c r="W130" i="3"/>
  <c r="H130" i="3"/>
  <c r="G130" i="3"/>
  <c r="AA125" i="3"/>
  <c r="Z126" i="3"/>
  <c r="Z111" i="3"/>
  <c r="AA110" i="3"/>
  <c r="H131" i="3"/>
  <c r="W131" i="3"/>
  <c r="G131" i="3"/>
  <c r="AA126" i="3"/>
  <c r="Z127" i="3"/>
  <c r="AA121" i="3"/>
  <c r="Z122" i="3"/>
  <c r="H75" i="3"/>
  <c r="G75" i="3"/>
  <c r="W75" i="3"/>
  <c r="G150" i="3"/>
  <c r="H150" i="3"/>
  <c r="W150" i="3"/>
  <c r="AA145" i="3"/>
  <c r="Z146" i="3"/>
  <c r="AA64" i="3"/>
  <c r="Z65" i="3"/>
  <c r="G129" i="3"/>
  <c r="W129" i="3"/>
  <c r="H129" i="3"/>
  <c r="Z125" i="3"/>
  <c r="AA124" i="3"/>
  <c r="W102" i="3"/>
  <c r="G102" i="3"/>
  <c r="H102" i="3"/>
  <c r="AA97" i="3"/>
  <c r="Z98" i="3"/>
  <c r="AA116" i="3"/>
  <c r="Z117" i="3"/>
  <c r="W109" i="3"/>
  <c r="G109" i="3"/>
  <c r="H109" i="3"/>
  <c r="Z105" i="3"/>
  <c r="AA104" i="3"/>
  <c r="W112" i="3"/>
  <c r="G112" i="3"/>
  <c r="H112" i="3"/>
  <c r="AA107" i="3"/>
  <c r="Z108" i="3"/>
  <c r="H67" i="3"/>
  <c r="W67" i="3"/>
  <c r="G67" i="3"/>
  <c r="W64" i="3"/>
  <c r="G64" i="3"/>
  <c r="H64" i="3"/>
  <c r="AA59" i="3"/>
  <c r="Z60" i="3"/>
  <c r="W62" i="3"/>
  <c r="G62" i="3"/>
  <c r="H62" i="3"/>
  <c r="W56" i="3"/>
  <c r="G56" i="3"/>
  <c r="H56" i="3"/>
  <c r="H65" i="3"/>
  <c r="W65" i="3"/>
  <c r="G65" i="3"/>
  <c r="AA60" i="3"/>
  <c r="Z61" i="3"/>
  <c r="H68" i="3"/>
  <c r="W68" i="3"/>
  <c r="G68" i="3"/>
  <c r="AA63" i="3"/>
  <c r="Z64" i="3"/>
  <c r="G71" i="3"/>
  <c r="H71" i="3"/>
  <c r="W71" i="3"/>
  <c r="Z67" i="3"/>
  <c r="AA66" i="3"/>
  <c r="H74" i="3"/>
  <c r="G74" i="3"/>
  <c r="W74" i="3"/>
  <c r="Z70" i="3"/>
  <c r="AA69" i="3"/>
  <c r="AA11" i="3"/>
  <c r="Z12" i="3"/>
  <c r="G7" i="3"/>
  <c r="H7" i="3"/>
  <c r="J4" i="3"/>
  <c r="W7" i="3"/>
  <c r="W10" i="3"/>
  <c r="H10" i="3"/>
  <c r="G10" i="3"/>
  <c r="W868" i="3"/>
  <c r="G868" i="3"/>
  <c r="H868" i="3"/>
  <c r="W760" i="3"/>
  <c r="G760" i="3"/>
  <c r="H760" i="3"/>
  <c r="Z768" i="3"/>
  <c r="AA767" i="3"/>
  <c r="W928" i="3"/>
  <c r="G928" i="3"/>
  <c r="H928" i="3"/>
  <c r="AA999" i="3"/>
  <c r="Z1000" i="3"/>
  <c r="W984" i="3"/>
  <c r="G984" i="3"/>
  <c r="H984" i="3"/>
  <c r="AA923" i="3"/>
  <c r="Z924" i="3"/>
  <c r="AA935" i="3"/>
  <c r="Z936" i="3"/>
  <c r="Z980" i="3"/>
  <c r="AA979" i="3"/>
  <c r="W976" i="3"/>
  <c r="G976" i="3"/>
  <c r="H976" i="3"/>
  <c r="W988" i="3"/>
  <c r="G988" i="3"/>
  <c r="H988" i="3"/>
  <c r="W968" i="3"/>
  <c r="G968" i="3"/>
  <c r="H968" i="3"/>
  <c r="W892" i="3"/>
  <c r="H892" i="3"/>
  <c r="G892" i="3"/>
  <c r="Z872" i="3"/>
  <c r="AA871" i="3"/>
  <c r="W951" i="3"/>
  <c r="H951" i="3"/>
  <c r="G951" i="3"/>
  <c r="AA946" i="3"/>
  <c r="Z947" i="3"/>
  <c r="W887" i="3"/>
  <c r="H887" i="3"/>
  <c r="G887" i="3"/>
  <c r="Z883" i="3"/>
  <c r="AA882" i="3"/>
  <c r="AA997" i="3"/>
  <c r="Z998" i="3"/>
  <c r="W938" i="3"/>
  <c r="H938" i="3"/>
  <c r="G938" i="3"/>
  <c r="Z934" i="3"/>
  <c r="AA933" i="3"/>
  <c r="W874" i="3"/>
  <c r="G874" i="3"/>
  <c r="H874" i="3"/>
  <c r="Z870" i="3"/>
  <c r="AA869" i="3"/>
  <c r="W824" i="3"/>
  <c r="G824" i="3"/>
  <c r="H824" i="3"/>
  <c r="AA1000" i="3"/>
  <c r="W941" i="3"/>
  <c r="H941" i="3"/>
  <c r="G941" i="3"/>
  <c r="AA936" i="3"/>
  <c r="Z937" i="3"/>
  <c r="W877" i="3"/>
  <c r="G877" i="3"/>
  <c r="H877" i="3"/>
  <c r="AA872" i="3"/>
  <c r="Z873" i="3"/>
  <c r="W836" i="3"/>
  <c r="G836" i="3"/>
  <c r="H836" i="3"/>
  <c r="W720" i="3"/>
  <c r="H720" i="3"/>
  <c r="G720" i="3"/>
  <c r="Z900" i="3"/>
  <c r="AA899" i="3"/>
  <c r="AA998" i="3"/>
  <c r="Z999" i="3"/>
  <c r="W939" i="3"/>
  <c r="H939" i="3"/>
  <c r="G939" i="3"/>
  <c r="AA934" i="3"/>
  <c r="Z935" i="3"/>
  <c r="W875" i="3"/>
  <c r="G875" i="3"/>
  <c r="H875" i="3"/>
  <c r="Z871" i="3"/>
  <c r="AA870" i="3"/>
  <c r="W828" i="3"/>
  <c r="G828" i="3"/>
  <c r="H828" i="3"/>
  <c r="AA891" i="3"/>
  <c r="Z892" i="3"/>
  <c r="W880" i="3"/>
  <c r="G880" i="3"/>
  <c r="H880" i="3"/>
  <c r="W990" i="3"/>
  <c r="G990" i="3"/>
  <c r="H990" i="3"/>
  <c r="AA985" i="3"/>
  <c r="Z986" i="3"/>
  <c r="W926" i="3"/>
  <c r="G926" i="3"/>
  <c r="H926" i="3"/>
  <c r="AA921" i="3"/>
  <c r="Z922" i="3"/>
  <c r="Z836" i="3"/>
  <c r="AA835" i="3"/>
  <c r="W776" i="3"/>
  <c r="G776" i="3"/>
  <c r="H776" i="3"/>
  <c r="W977" i="3"/>
  <c r="G977" i="3"/>
  <c r="H977" i="3"/>
  <c r="AA972" i="3"/>
  <c r="Z973" i="3"/>
  <c r="W913" i="3"/>
  <c r="H913" i="3"/>
  <c r="G913" i="3"/>
  <c r="AA908" i="3"/>
  <c r="Z909" i="3"/>
  <c r="AA783" i="3"/>
  <c r="Z784" i="3"/>
  <c r="W724" i="3"/>
  <c r="G724" i="3"/>
  <c r="H724" i="3"/>
  <c r="W815" i="3"/>
  <c r="G815" i="3"/>
  <c r="H815" i="3"/>
  <c r="Z811" i="3"/>
  <c r="AA810" i="3"/>
  <c r="W751" i="3"/>
  <c r="G751" i="3"/>
  <c r="H751" i="3"/>
  <c r="AA746" i="3"/>
  <c r="Z747" i="3"/>
  <c r="W687" i="3"/>
  <c r="G687" i="3"/>
  <c r="H687" i="3"/>
  <c r="W818" i="3"/>
  <c r="H818" i="3"/>
  <c r="G818" i="3"/>
  <c r="Z814" i="3"/>
  <c r="AA813" i="3"/>
  <c r="W754" i="3"/>
  <c r="H754" i="3"/>
  <c r="G754" i="3"/>
  <c r="AA749" i="3"/>
  <c r="Z750" i="3"/>
  <c r="W690" i="3"/>
  <c r="G690" i="3"/>
  <c r="H690" i="3"/>
  <c r="AA685" i="3"/>
  <c r="Z686" i="3"/>
  <c r="W829" i="3"/>
  <c r="H829" i="3"/>
  <c r="G829" i="3"/>
  <c r="AA824" i="3"/>
  <c r="Z825" i="3"/>
  <c r="W765" i="3"/>
  <c r="G765" i="3"/>
  <c r="H765" i="3"/>
  <c r="Z761" i="3"/>
  <c r="AA760" i="3"/>
  <c r="W701" i="3"/>
  <c r="H701" i="3"/>
  <c r="G701" i="3"/>
  <c r="Z697" i="3"/>
  <c r="AA696" i="3"/>
  <c r="Z638" i="3"/>
  <c r="AA637" i="3"/>
  <c r="W851" i="3"/>
  <c r="H851" i="3"/>
  <c r="G851" i="3"/>
  <c r="AA846" i="3"/>
  <c r="Z847" i="3"/>
  <c r="W787" i="3"/>
  <c r="H787" i="3"/>
  <c r="G787" i="3"/>
  <c r="Z783" i="3"/>
  <c r="AA782" i="3"/>
  <c r="W723" i="3"/>
  <c r="G723" i="3"/>
  <c r="H723" i="3"/>
  <c r="AA718" i="3"/>
  <c r="Z719" i="3"/>
  <c r="AA649" i="3"/>
  <c r="Z650" i="3"/>
  <c r="W854" i="3"/>
  <c r="G854" i="3"/>
  <c r="H854" i="3"/>
  <c r="Z850" i="3"/>
  <c r="AA849" i="3"/>
  <c r="W790" i="3"/>
  <c r="G790" i="3"/>
  <c r="H790" i="3"/>
  <c r="Z786" i="3"/>
  <c r="AA785" i="3"/>
  <c r="W726" i="3"/>
  <c r="G726" i="3"/>
  <c r="H726" i="3"/>
  <c r="AA721" i="3"/>
  <c r="Z722" i="3"/>
  <c r="Z681" i="3"/>
  <c r="AA680" i="3"/>
  <c r="Z662" i="3"/>
  <c r="AA661" i="3"/>
  <c r="W602" i="3"/>
  <c r="H602" i="3"/>
  <c r="G602" i="3"/>
  <c r="AA528" i="3"/>
  <c r="Z529" i="3"/>
  <c r="W857" i="3"/>
  <c r="H857" i="3"/>
  <c r="G857" i="3"/>
  <c r="Z853" i="3"/>
  <c r="AA852" i="3"/>
  <c r="W793" i="3"/>
  <c r="G793" i="3"/>
  <c r="H793" i="3"/>
  <c r="AA788" i="3"/>
  <c r="Z789" i="3"/>
  <c r="W729" i="3"/>
  <c r="G729" i="3"/>
  <c r="H729" i="3"/>
  <c r="Z725" i="3"/>
  <c r="AA724" i="3"/>
  <c r="AA673" i="3"/>
  <c r="Z674" i="3"/>
  <c r="W614" i="3"/>
  <c r="G614" i="3"/>
  <c r="H614" i="3"/>
  <c r="AA576" i="3"/>
  <c r="Z577" i="3"/>
  <c r="W645" i="3"/>
  <c r="H645" i="3"/>
  <c r="G645" i="3"/>
  <c r="Z641" i="3"/>
  <c r="AA640" i="3"/>
  <c r="W521" i="3"/>
  <c r="G521" i="3"/>
  <c r="H521" i="3"/>
  <c r="W680" i="3"/>
  <c r="H680" i="3"/>
  <c r="G680" i="3"/>
  <c r="AA675" i="3"/>
  <c r="Z676" i="3"/>
  <c r="W616" i="3"/>
  <c r="G616" i="3"/>
  <c r="H616" i="3"/>
  <c r="AA611" i="3"/>
  <c r="Z612" i="3"/>
  <c r="Z585" i="3"/>
  <c r="AA584" i="3"/>
  <c r="W525" i="3"/>
  <c r="H525" i="3"/>
  <c r="G525" i="3"/>
  <c r="G457" i="3"/>
  <c r="H457" i="3"/>
  <c r="W457" i="3"/>
  <c r="W667" i="3"/>
  <c r="H667" i="3"/>
  <c r="G667" i="3"/>
  <c r="Z663" i="3"/>
  <c r="AA662" i="3"/>
  <c r="W603" i="3"/>
  <c r="G603" i="3"/>
  <c r="H603" i="3"/>
  <c r="Z533" i="3"/>
  <c r="AA532" i="3"/>
  <c r="W633" i="3"/>
  <c r="H633" i="3"/>
  <c r="G633" i="3"/>
  <c r="Z629" i="3"/>
  <c r="AA628" i="3"/>
  <c r="W593" i="3"/>
  <c r="G593" i="3"/>
  <c r="H593" i="3"/>
  <c r="W644" i="3"/>
  <c r="G644" i="3"/>
  <c r="H644" i="3"/>
  <c r="AA639" i="3"/>
  <c r="Z640" i="3"/>
  <c r="W679" i="3"/>
  <c r="H679" i="3"/>
  <c r="G679" i="3"/>
  <c r="AA674" i="3"/>
  <c r="Z675" i="3"/>
  <c r="W615" i="3"/>
  <c r="H615" i="3"/>
  <c r="G615" i="3"/>
  <c r="AA610" i="3"/>
  <c r="Z611" i="3"/>
  <c r="AA580" i="3"/>
  <c r="Z581" i="3"/>
  <c r="W552" i="3"/>
  <c r="H552" i="3"/>
  <c r="G552" i="3"/>
  <c r="Z548" i="3"/>
  <c r="AA547" i="3"/>
  <c r="W587" i="3"/>
  <c r="H587" i="3"/>
  <c r="G587" i="3"/>
  <c r="AA582" i="3"/>
  <c r="Z583" i="3"/>
  <c r="Z509" i="3"/>
  <c r="AA508" i="3"/>
  <c r="G449" i="3"/>
  <c r="H449" i="3"/>
  <c r="W449" i="3"/>
  <c r="W558" i="3"/>
  <c r="G558" i="3"/>
  <c r="H558" i="3"/>
  <c r="Z554" i="3"/>
  <c r="AA553" i="3"/>
  <c r="Z388" i="3"/>
  <c r="AA387" i="3"/>
  <c r="W564" i="3"/>
  <c r="G564" i="3"/>
  <c r="H564" i="3"/>
  <c r="AA559" i="3"/>
  <c r="Z560" i="3"/>
  <c r="W551" i="3"/>
  <c r="G551" i="3"/>
  <c r="H551" i="3"/>
  <c r="Z547" i="3"/>
  <c r="AA546" i="3"/>
  <c r="W562" i="3"/>
  <c r="G562" i="3"/>
  <c r="H562" i="3"/>
  <c r="Z558" i="3"/>
  <c r="AA557" i="3"/>
  <c r="H468" i="3"/>
  <c r="G468" i="3"/>
  <c r="W468" i="3"/>
  <c r="Z464" i="3"/>
  <c r="AA463" i="3"/>
  <c r="Z416" i="3"/>
  <c r="AA415" i="3"/>
  <c r="H479" i="3"/>
  <c r="W479" i="3"/>
  <c r="G479" i="3"/>
  <c r="AA474" i="3"/>
  <c r="Z475" i="3"/>
  <c r="G400" i="3"/>
  <c r="W400" i="3"/>
  <c r="H400" i="3"/>
  <c r="G490" i="3"/>
  <c r="H490" i="3"/>
  <c r="W490" i="3"/>
  <c r="Z486" i="3"/>
  <c r="AA485" i="3"/>
  <c r="G444" i="3"/>
  <c r="W444" i="3"/>
  <c r="H444" i="3"/>
  <c r="G496" i="3"/>
  <c r="H496" i="3"/>
  <c r="W496" i="3"/>
  <c r="AA491" i="3"/>
  <c r="Z492" i="3"/>
  <c r="W507" i="3"/>
  <c r="H507" i="3"/>
  <c r="G507" i="3"/>
  <c r="AA502" i="3"/>
  <c r="Z503" i="3"/>
  <c r="W518" i="3"/>
  <c r="G518" i="3"/>
  <c r="H518" i="3"/>
  <c r="AA513" i="3"/>
  <c r="Z514" i="3"/>
  <c r="G454" i="3"/>
  <c r="H454" i="3"/>
  <c r="W454" i="3"/>
  <c r="AA449" i="3"/>
  <c r="Z450" i="3"/>
  <c r="AA446" i="3"/>
  <c r="Z447" i="3"/>
  <c r="G387" i="3"/>
  <c r="W387" i="3"/>
  <c r="H387" i="3"/>
  <c r="AA382" i="3"/>
  <c r="Z383" i="3"/>
  <c r="G308" i="3"/>
  <c r="W308" i="3"/>
  <c r="H308" i="3"/>
  <c r="AA284" i="3"/>
  <c r="Z285" i="3"/>
  <c r="W398" i="3"/>
  <c r="G398" i="3"/>
  <c r="H398" i="3"/>
  <c r="Z394" i="3"/>
  <c r="AA393" i="3"/>
  <c r="W352" i="3"/>
  <c r="G352" i="3"/>
  <c r="H352" i="3"/>
  <c r="G409" i="3"/>
  <c r="W409" i="3"/>
  <c r="H409" i="3"/>
  <c r="AA404" i="3"/>
  <c r="Z405" i="3"/>
  <c r="W415" i="3"/>
  <c r="H415" i="3"/>
  <c r="G415" i="3"/>
  <c r="AA410" i="3"/>
  <c r="Z411" i="3"/>
  <c r="G426" i="3"/>
  <c r="W426" i="3"/>
  <c r="H426" i="3"/>
  <c r="AA421" i="3"/>
  <c r="Z422" i="3"/>
  <c r="G280" i="3"/>
  <c r="H280" i="3"/>
  <c r="W280" i="3"/>
  <c r="G413" i="3"/>
  <c r="H413" i="3"/>
  <c r="W413" i="3"/>
  <c r="AA408" i="3"/>
  <c r="Z409" i="3"/>
  <c r="W363" i="3"/>
  <c r="G363" i="3"/>
  <c r="H363" i="3"/>
  <c r="AA358" i="3"/>
  <c r="Z359" i="3"/>
  <c r="H299" i="3"/>
  <c r="G299" i="3"/>
  <c r="W299" i="3"/>
  <c r="Z295" i="3"/>
  <c r="AA294" i="3"/>
  <c r="H310" i="3"/>
  <c r="G310" i="3"/>
  <c r="W310" i="3"/>
  <c r="Z306" i="3"/>
  <c r="AA305" i="3"/>
  <c r="W288" i="3"/>
  <c r="H288" i="3"/>
  <c r="G288" i="3"/>
  <c r="AA235" i="3"/>
  <c r="Z236" i="3"/>
  <c r="H361" i="3"/>
  <c r="W361" i="3"/>
  <c r="G361" i="3"/>
  <c r="AA356" i="3"/>
  <c r="Z357" i="3"/>
  <c r="G297" i="3"/>
  <c r="H297" i="3"/>
  <c r="W297" i="3"/>
  <c r="H367" i="3"/>
  <c r="G367" i="3"/>
  <c r="W367" i="3"/>
  <c r="Z363" i="3"/>
  <c r="AA362" i="3"/>
  <c r="G303" i="3"/>
  <c r="H303" i="3"/>
  <c r="W303" i="3"/>
  <c r="Z299" i="3"/>
  <c r="AA298" i="3"/>
  <c r="W284" i="3"/>
  <c r="G284" i="3"/>
  <c r="H284" i="3"/>
  <c r="G314" i="3"/>
  <c r="W314" i="3"/>
  <c r="H314" i="3"/>
  <c r="Z310" i="3"/>
  <c r="AA309" i="3"/>
  <c r="AA251" i="3"/>
  <c r="Z252" i="3"/>
  <c r="G365" i="3"/>
  <c r="W365" i="3"/>
  <c r="H365" i="3"/>
  <c r="AA360" i="3"/>
  <c r="Z361" i="3"/>
  <c r="G301" i="3"/>
  <c r="H301" i="3"/>
  <c r="W301" i="3"/>
  <c r="Z297" i="3"/>
  <c r="AA296" i="3"/>
  <c r="H275" i="3"/>
  <c r="W275" i="3"/>
  <c r="G275" i="3"/>
  <c r="Z271" i="3"/>
  <c r="AA270" i="3"/>
  <c r="H211" i="3"/>
  <c r="W211" i="3"/>
  <c r="G211" i="3"/>
  <c r="G238" i="3"/>
  <c r="H238" i="3"/>
  <c r="W238" i="3"/>
  <c r="AA233" i="3"/>
  <c r="Z234" i="3"/>
  <c r="AA199" i="3"/>
  <c r="Z200" i="3"/>
  <c r="G257" i="3"/>
  <c r="H257" i="3"/>
  <c r="W257" i="3"/>
  <c r="AA252" i="3"/>
  <c r="Z253" i="3"/>
  <c r="H159" i="3"/>
  <c r="W159" i="3"/>
  <c r="G159" i="3"/>
  <c r="H263" i="3"/>
  <c r="W263" i="3"/>
  <c r="G263" i="3"/>
  <c r="AA258" i="3"/>
  <c r="Z259" i="3"/>
  <c r="G200" i="3"/>
  <c r="W200" i="3"/>
  <c r="H200" i="3"/>
  <c r="H184" i="3"/>
  <c r="G184" i="3"/>
  <c r="W184" i="3"/>
  <c r="H83" i="3"/>
  <c r="W83" i="3"/>
  <c r="G83" i="3"/>
  <c r="G274" i="3"/>
  <c r="W274" i="3"/>
  <c r="H274" i="3"/>
  <c r="Z270" i="3"/>
  <c r="AA269" i="3"/>
  <c r="W210" i="3"/>
  <c r="H210" i="3"/>
  <c r="G210" i="3"/>
  <c r="W285" i="3"/>
  <c r="H285" i="3"/>
  <c r="G285" i="3"/>
  <c r="AA280" i="3"/>
  <c r="Z281" i="3"/>
  <c r="G221" i="3"/>
  <c r="W221" i="3"/>
  <c r="H221" i="3"/>
  <c r="Z217" i="3"/>
  <c r="AA216" i="3"/>
  <c r="AA194" i="3"/>
  <c r="Z195" i="3"/>
  <c r="H128" i="3"/>
  <c r="G128" i="3"/>
  <c r="W128" i="3"/>
  <c r="W187" i="3"/>
  <c r="H187" i="3"/>
  <c r="G187" i="3"/>
  <c r="AA182" i="3"/>
  <c r="Z183" i="3"/>
  <c r="AA139" i="3"/>
  <c r="Z140" i="3"/>
  <c r="W193" i="3"/>
  <c r="H193" i="3"/>
  <c r="G193" i="3"/>
  <c r="Z189" i="3"/>
  <c r="AA188" i="3"/>
  <c r="AA146" i="3"/>
  <c r="Z147" i="3"/>
  <c r="G154" i="3"/>
  <c r="W154" i="3"/>
  <c r="H154" i="3"/>
  <c r="AA149" i="3"/>
  <c r="Z150" i="3"/>
  <c r="H155" i="3"/>
  <c r="W155" i="3"/>
  <c r="G155" i="3"/>
  <c r="AA150" i="3"/>
  <c r="Z151" i="3"/>
  <c r="W111" i="3"/>
  <c r="G111" i="3"/>
  <c r="H111" i="3"/>
  <c r="AA119" i="3"/>
  <c r="Z120" i="3"/>
  <c r="Z95" i="3"/>
  <c r="AA94" i="3"/>
  <c r="W153" i="3"/>
  <c r="G153" i="3"/>
  <c r="H153" i="3"/>
  <c r="AA148" i="3"/>
  <c r="Z149" i="3"/>
  <c r="H61" i="3"/>
  <c r="W61" i="3"/>
  <c r="G61" i="3"/>
  <c r="G92" i="3"/>
  <c r="W92" i="3"/>
  <c r="H92" i="3"/>
  <c r="Z88" i="3"/>
  <c r="AA87" i="3"/>
  <c r="G80" i="3"/>
  <c r="H80" i="3"/>
  <c r="W80" i="3"/>
  <c r="W90" i="3"/>
  <c r="H90" i="3"/>
  <c r="G90" i="3"/>
  <c r="AA85" i="3"/>
  <c r="Z86" i="3"/>
  <c r="AA76" i="3"/>
  <c r="Z77" i="3"/>
  <c r="AA72" i="3"/>
  <c r="Z73" i="3"/>
  <c r="AA39" i="3"/>
  <c r="Z40" i="3"/>
  <c r="AA81" i="3"/>
  <c r="Z82" i="3"/>
  <c r="AA35" i="3"/>
  <c r="Z36" i="3"/>
  <c r="AA41" i="3"/>
  <c r="Z42" i="3"/>
  <c r="Z48" i="3"/>
  <c r="AA47" i="3"/>
  <c r="W53" i="3"/>
  <c r="G53" i="3"/>
  <c r="H53" i="3"/>
  <c r="W31" i="3"/>
  <c r="G31" i="3"/>
  <c r="H31" i="3"/>
  <c r="AA26" i="3"/>
  <c r="Z27" i="3"/>
  <c r="H34" i="3"/>
  <c r="W34" i="3"/>
  <c r="G34" i="3"/>
  <c r="AA29" i="3"/>
  <c r="Z30" i="3"/>
  <c r="H27" i="3"/>
  <c r="G27" i="3"/>
  <c r="W27" i="3"/>
  <c r="Z23" i="3"/>
  <c r="AA22" i="3"/>
  <c r="G25" i="3"/>
  <c r="H25" i="3"/>
  <c r="W25" i="3"/>
  <c r="Z21" i="3"/>
  <c r="AA20" i="3"/>
  <c r="Z972" i="3"/>
  <c r="AA971" i="3"/>
  <c r="W999" i="3"/>
  <c r="H999" i="3"/>
  <c r="G999" i="3"/>
  <c r="W925" i="3"/>
  <c r="H925" i="3"/>
  <c r="G925" i="3"/>
  <c r="W876" i="3"/>
  <c r="H876" i="3"/>
  <c r="G876" i="3"/>
  <c r="Z915" i="3"/>
  <c r="AA914" i="3"/>
  <c r="W980" i="3"/>
  <c r="H980" i="3"/>
  <c r="G980" i="3"/>
  <c r="W960" i="3"/>
  <c r="H960" i="3"/>
  <c r="G960" i="3"/>
  <c r="AA919" i="3"/>
  <c r="Z920" i="3"/>
  <c r="W972" i="3"/>
  <c r="G972" i="3"/>
  <c r="H972" i="3"/>
  <c r="AA927" i="3"/>
  <c r="Z928" i="3"/>
  <c r="W900" i="3"/>
  <c r="H900" i="3"/>
  <c r="G900" i="3"/>
  <c r="W975" i="3"/>
  <c r="G975" i="3"/>
  <c r="H975" i="3"/>
  <c r="Z971" i="3"/>
  <c r="AA970" i="3"/>
  <c r="W911" i="3"/>
  <c r="G911" i="3"/>
  <c r="H911" i="3"/>
  <c r="Z907" i="3"/>
  <c r="AA906" i="3"/>
  <c r="AA775" i="3"/>
  <c r="Z776" i="3"/>
  <c r="W716" i="3"/>
  <c r="G716" i="3"/>
  <c r="H716" i="3"/>
  <c r="W962" i="3"/>
  <c r="G962" i="3"/>
  <c r="H962" i="3"/>
  <c r="Z958" i="3"/>
  <c r="AA957" i="3"/>
  <c r="W898" i="3"/>
  <c r="G898" i="3"/>
  <c r="H898" i="3"/>
  <c r="Z894" i="3"/>
  <c r="AA893" i="3"/>
  <c r="AA723" i="3"/>
  <c r="Z724" i="3"/>
  <c r="Z912" i="3"/>
  <c r="AA911" i="3"/>
  <c r="W965" i="3"/>
  <c r="H965" i="3"/>
  <c r="G965" i="3"/>
  <c r="Z961" i="3"/>
  <c r="AA960" i="3"/>
  <c r="W901" i="3"/>
  <c r="G901" i="3"/>
  <c r="H901" i="3"/>
  <c r="Z897" i="3"/>
  <c r="AA896" i="3"/>
  <c r="AA735" i="3"/>
  <c r="Z736" i="3"/>
  <c r="W658" i="3"/>
  <c r="G658" i="3"/>
  <c r="H658" i="3"/>
  <c r="AA843" i="3"/>
  <c r="Z844" i="3"/>
  <c r="W784" i="3"/>
  <c r="G784" i="3"/>
  <c r="H784" i="3"/>
  <c r="W963" i="3"/>
  <c r="G963" i="3"/>
  <c r="H963" i="3"/>
  <c r="Z959" i="3"/>
  <c r="AA958" i="3"/>
  <c r="W899" i="3"/>
  <c r="G899" i="3"/>
  <c r="H899" i="3"/>
  <c r="Z895" i="3"/>
  <c r="AA894" i="3"/>
  <c r="AA727" i="3"/>
  <c r="Z728" i="3"/>
  <c r="W950" i="3"/>
  <c r="G950" i="3"/>
  <c r="H950" i="3"/>
  <c r="Z946" i="3"/>
  <c r="AA945" i="3"/>
  <c r="W886" i="3"/>
  <c r="G886" i="3"/>
  <c r="H886" i="3"/>
  <c r="AA881" i="3"/>
  <c r="Z882" i="3"/>
  <c r="AA996" i="3"/>
  <c r="Z997" i="3"/>
  <c r="W937" i="3"/>
  <c r="H937" i="3"/>
  <c r="G937" i="3"/>
  <c r="Z933" i="3"/>
  <c r="AA932" i="3"/>
  <c r="W873" i="3"/>
  <c r="H873" i="3"/>
  <c r="G873" i="3"/>
  <c r="Z869" i="3"/>
  <c r="AA868" i="3"/>
  <c r="W820" i="3"/>
  <c r="H820" i="3"/>
  <c r="G820" i="3"/>
  <c r="Z682" i="3"/>
  <c r="AA681" i="3"/>
  <c r="AA859" i="3"/>
  <c r="Z860" i="3"/>
  <c r="AA795" i="3"/>
  <c r="Z796" i="3"/>
  <c r="AA731" i="3"/>
  <c r="Z732" i="3"/>
  <c r="W839" i="3"/>
  <c r="G839" i="3"/>
  <c r="H839" i="3"/>
  <c r="AA834" i="3"/>
  <c r="Z835" i="3"/>
  <c r="W775" i="3"/>
  <c r="G775" i="3"/>
  <c r="H775" i="3"/>
  <c r="AA770" i="3"/>
  <c r="Z771" i="3"/>
  <c r="W711" i="3"/>
  <c r="G711" i="3"/>
  <c r="H711" i="3"/>
  <c r="AA706" i="3"/>
  <c r="Z707" i="3"/>
  <c r="Z602" i="3"/>
  <c r="AA601" i="3"/>
  <c r="AA524" i="3"/>
  <c r="Z525" i="3"/>
  <c r="W842" i="3"/>
  <c r="G842" i="3"/>
  <c r="H842" i="3"/>
  <c r="AA837" i="3"/>
  <c r="Z838" i="3"/>
  <c r="W778" i="3"/>
  <c r="H778" i="3"/>
  <c r="G778" i="3"/>
  <c r="Z774" i="3"/>
  <c r="AA773" i="3"/>
  <c r="W714" i="3"/>
  <c r="G714" i="3"/>
  <c r="H714" i="3"/>
  <c r="AA709" i="3"/>
  <c r="Z710" i="3"/>
  <c r="Z614" i="3"/>
  <c r="AA613" i="3"/>
  <c r="W853" i="3"/>
  <c r="H853" i="3"/>
  <c r="G853" i="3"/>
  <c r="Z849" i="3"/>
  <c r="AA848" i="3"/>
  <c r="W789" i="3"/>
  <c r="H789" i="3"/>
  <c r="G789" i="3"/>
  <c r="Z785" i="3"/>
  <c r="AA784" i="3"/>
  <c r="W725" i="3"/>
  <c r="G725" i="3"/>
  <c r="H725" i="3"/>
  <c r="AA720" i="3"/>
  <c r="Z721" i="3"/>
  <c r="AA657" i="3"/>
  <c r="Z658" i="3"/>
  <c r="AA484" i="3"/>
  <c r="Z485" i="3"/>
  <c r="W811" i="3"/>
  <c r="H811" i="3"/>
  <c r="G811" i="3"/>
  <c r="AA806" i="3"/>
  <c r="Z807" i="3"/>
  <c r="W747" i="3"/>
  <c r="G747" i="3"/>
  <c r="H747" i="3"/>
  <c r="AA742" i="3"/>
  <c r="Z743" i="3"/>
  <c r="W549" i="3"/>
  <c r="H549" i="3"/>
  <c r="G549" i="3"/>
  <c r="W814" i="3"/>
  <c r="G814" i="3"/>
  <c r="H814" i="3"/>
  <c r="AA809" i="3"/>
  <c r="Z810" i="3"/>
  <c r="W750" i="3"/>
  <c r="G750" i="3"/>
  <c r="H750" i="3"/>
  <c r="AA745" i="3"/>
  <c r="Z746" i="3"/>
  <c r="W686" i="3"/>
  <c r="H686" i="3"/>
  <c r="G686" i="3"/>
  <c r="W597" i="3"/>
  <c r="G597" i="3"/>
  <c r="H597" i="3"/>
  <c r="W817" i="3"/>
  <c r="H817" i="3"/>
  <c r="G817" i="3"/>
  <c r="Z813" i="3"/>
  <c r="AA812" i="3"/>
  <c r="W753" i="3"/>
  <c r="G753" i="3"/>
  <c r="H753" i="3"/>
  <c r="AA748" i="3"/>
  <c r="Z749" i="3"/>
  <c r="W689" i="3"/>
  <c r="G689" i="3"/>
  <c r="H689" i="3"/>
  <c r="AA684" i="3"/>
  <c r="Z685" i="3"/>
  <c r="W565" i="3"/>
  <c r="H565" i="3"/>
  <c r="G565" i="3"/>
  <c r="W669" i="3"/>
  <c r="G669" i="3"/>
  <c r="H669" i="3"/>
  <c r="AA664" i="3"/>
  <c r="Z665" i="3"/>
  <c r="W605" i="3"/>
  <c r="G605" i="3"/>
  <c r="H605" i="3"/>
  <c r="AA540" i="3"/>
  <c r="Z541" i="3"/>
  <c r="Z517" i="3"/>
  <c r="AA516" i="3"/>
  <c r="W640" i="3"/>
  <c r="H640" i="3"/>
  <c r="G640" i="3"/>
  <c r="AA635" i="3"/>
  <c r="Z636" i="3"/>
  <c r="W627" i="3"/>
  <c r="H627" i="3"/>
  <c r="G627" i="3"/>
  <c r="Z623" i="3"/>
  <c r="AA622" i="3"/>
  <c r="W569" i="3"/>
  <c r="G569" i="3"/>
  <c r="H569" i="3"/>
  <c r="W657" i="3"/>
  <c r="G657" i="3"/>
  <c r="H657" i="3"/>
  <c r="Z653" i="3"/>
  <c r="AA652" i="3"/>
  <c r="W668" i="3"/>
  <c r="H668" i="3"/>
  <c r="G668" i="3"/>
  <c r="AA663" i="3"/>
  <c r="Z664" i="3"/>
  <c r="W604" i="3"/>
  <c r="G604" i="3"/>
  <c r="H604" i="3"/>
  <c r="Z537" i="3"/>
  <c r="AA536" i="3"/>
  <c r="W639" i="3"/>
  <c r="H639" i="3"/>
  <c r="G639" i="3"/>
  <c r="Z635" i="3"/>
  <c r="AA634" i="3"/>
  <c r="W576" i="3"/>
  <c r="H576" i="3"/>
  <c r="G576" i="3"/>
  <c r="Z572" i="3"/>
  <c r="AA571" i="3"/>
  <c r="AA519" i="3"/>
  <c r="Z520" i="3"/>
  <c r="AA464" i="3"/>
  <c r="Z465" i="3"/>
  <c r="W547" i="3"/>
  <c r="G547" i="3"/>
  <c r="H547" i="3"/>
  <c r="Z543" i="3"/>
  <c r="AA542" i="3"/>
  <c r="W582" i="3"/>
  <c r="H582" i="3"/>
  <c r="G582" i="3"/>
  <c r="Z578" i="3"/>
  <c r="AA577" i="3"/>
  <c r="AB577" i="3" s="1"/>
  <c r="Z489" i="3"/>
  <c r="AA488" i="3"/>
  <c r="W588" i="3"/>
  <c r="H588" i="3"/>
  <c r="G588" i="3"/>
  <c r="AA583" i="3"/>
  <c r="Z584" i="3"/>
  <c r="AA512" i="3"/>
  <c r="Z513" i="3"/>
  <c r="W453" i="3"/>
  <c r="H453" i="3"/>
  <c r="G453" i="3"/>
  <c r="W575" i="3"/>
  <c r="H575" i="3"/>
  <c r="G575" i="3"/>
  <c r="AA570" i="3"/>
  <c r="Z571" i="3"/>
  <c r="AA517" i="3"/>
  <c r="Z518" i="3"/>
  <c r="Z461" i="3"/>
  <c r="AA460" i="3"/>
  <c r="W586" i="3"/>
  <c r="G586" i="3"/>
  <c r="H586" i="3"/>
  <c r="Z582" i="3"/>
  <c r="AA581" i="3"/>
  <c r="AA504" i="3"/>
  <c r="Z505" i="3"/>
  <c r="G492" i="3"/>
  <c r="H492" i="3"/>
  <c r="W492" i="3"/>
  <c r="Z488" i="3"/>
  <c r="AA487" i="3"/>
  <c r="W312" i="3"/>
  <c r="G312" i="3"/>
  <c r="H312" i="3"/>
  <c r="W503" i="3"/>
  <c r="G503" i="3"/>
  <c r="H503" i="3"/>
  <c r="AA498" i="3"/>
  <c r="Z499" i="3"/>
  <c r="W514" i="3"/>
  <c r="G514" i="3"/>
  <c r="H514" i="3"/>
  <c r="AA509" i="3"/>
  <c r="Z510" i="3"/>
  <c r="W450" i="3"/>
  <c r="H450" i="3"/>
  <c r="G450" i="3"/>
  <c r="W520" i="3"/>
  <c r="G520" i="3"/>
  <c r="H520" i="3"/>
  <c r="AA515" i="3"/>
  <c r="Z516" i="3"/>
  <c r="G456" i="3"/>
  <c r="W456" i="3"/>
  <c r="H456" i="3"/>
  <c r="Z452" i="3"/>
  <c r="AA451" i="3"/>
  <c r="G467" i="3"/>
  <c r="H467" i="3"/>
  <c r="W467" i="3"/>
  <c r="AA462" i="3"/>
  <c r="Z463" i="3"/>
  <c r="AA411" i="3"/>
  <c r="Z412" i="3"/>
  <c r="H478" i="3"/>
  <c r="W478" i="3"/>
  <c r="G478" i="3"/>
  <c r="AA473" i="3"/>
  <c r="Z474" i="3"/>
  <c r="W396" i="3"/>
  <c r="G396" i="3"/>
  <c r="H396" i="3"/>
  <c r="W411" i="3"/>
  <c r="G411" i="3"/>
  <c r="H411" i="3"/>
  <c r="Z407" i="3"/>
  <c r="AA406" i="3"/>
  <c r="G422" i="3"/>
  <c r="W422" i="3"/>
  <c r="H422" i="3"/>
  <c r="AA417" i="3"/>
  <c r="Z418" i="3"/>
  <c r="Z368" i="3"/>
  <c r="AA367" i="3"/>
  <c r="G216" i="3"/>
  <c r="H216" i="3"/>
  <c r="W216" i="3"/>
  <c r="H433" i="3"/>
  <c r="W433" i="3"/>
  <c r="G433" i="3"/>
  <c r="Z429" i="3"/>
  <c r="AA428" i="3"/>
  <c r="H369" i="3"/>
  <c r="W369" i="3"/>
  <c r="G369" i="3"/>
  <c r="AA295" i="3"/>
  <c r="Z296" i="3"/>
  <c r="G439" i="3"/>
  <c r="W439" i="3"/>
  <c r="H439" i="3"/>
  <c r="Z435" i="3"/>
  <c r="AA434" i="3"/>
  <c r="G375" i="3"/>
  <c r="W375" i="3"/>
  <c r="H375" i="3"/>
  <c r="Z371" i="3"/>
  <c r="AA370" i="3"/>
  <c r="AA319" i="3"/>
  <c r="Z320" i="3"/>
  <c r="AA445" i="3"/>
  <c r="Z446" i="3"/>
  <c r="G386" i="3"/>
  <c r="H386" i="3"/>
  <c r="W386" i="3"/>
  <c r="Z382" i="3"/>
  <c r="AA381" i="3"/>
  <c r="Z364" i="3"/>
  <c r="AA363" i="3"/>
  <c r="AB363" i="3" s="1"/>
  <c r="G304" i="3"/>
  <c r="W304" i="3"/>
  <c r="H304" i="3"/>
  <c r="Z144" i="3"/>
  <c r="AA143" i="3"/>
  <c r="W437" i="3"/>
  <c r="G437" i="3"/>
  <c r="H437" i="3"/>
  <c r="AA432" i="3"/>
  <c r="Z433" i="3"/>
  <c r="H373" i="3"/>
  <c r="W373" i="3"/>
  <c r="G373" i="3"/>
  <c r="AA311" i="3"/>
  <c r="Z312" i="3"/>
  <c r="W323" i="3"/>
  <c r="G323" i="3"/>
  <c r="H323" i="3"/>
  <c r="AA318" i="3"/>
  <c r="Z319" i="3"/>
  <c r="W228" i="3"/>
  <c r="G228" i="3"/>
  <c r="H228" i="3"/>
  <c r="W334" i="3"/>
  <c r="H334" i="3"/>
  <c r="G334" i="3"/>
  <c r="AA329" i="3"/>
  <c r="Z330" i="3"/>
  <c r="G272" i="3"/>
  <c r="H272" i="3"/>
  <c r="W272" i="3"/>
  <c r="H321" i="3"/>
  <c r="G321" i="3"/>
  <c r="W321" i="3"/>
  <c r="Z317" i="3"/>
  <c r="AA316" i="3"/>
  <c r="AA279" i="3"/>
  <c r="Z280" i="3"/>
  <c r="G220" i="3"/>
  <c r="W220" i="3"/>
  <c r="H220" i="3"/>
  <c r="W327" i="3"/>
  <c r="G327" i="3"/>
  <c r="H327" i="3"/>
  <c r="Z323" i="3"/>
  <c r="AA322" i="3"/>
  <c r="AA292" i="3"/>
  <c r="Z293" i="3"/>
  <c r="G244" i="3"/>
  <c r="H244" i="3"/>
  <c r="W244" i="3"/>
  <c r="H338" i="3"/>
  <c r="G338" i="3"/>
  <c r="W338" i="3"/>
  <c r="AA333" i="3"/>
  <c r="Z334" i="3"/>
  <c r="W325" i="3"/>
  <c r="G325" i="3"/>
  <c r="H325" i="3"/>
  <c r="Z321" i="3"/>
  <c r="AA320" i="3"/>
  <c r="H236" i="3"/>
  <c r="G236" i="3"/>
  <c r="W236" i="3"/>
  <c r="H235" i="3"/>
  <c r="G235" i="3"/>
  <c r="W235" i="3"/>
  <c r="Z231" i="3"/>
  <c r="AA230" i="3"/>
  <c r="Z204" i="3"/>
  <c r="AA203" i="3"/>
  <c r="W132" i="3"/>
  <c r="H132" i="3"/>
  <c r="G132" i="3"/>
  <c r="H262" i="3"/>
  <c r="W262" i="3"/>
  <c r="G262" i="3"/>
  <c r="AA257" i="3"/>
  <c r="Z258" i="3"/>
  <c r="G180" i="3"/>
  <c r="W180" i="3"/>
  <c r="H180" i="3"/>
  <c r="H281" i="3"/>
  <c r="G281" i="3"/>
  <c r="W281" i="3"/>
  <c r="AA276" i="3"/>
  <c r="Z277" i="3"/>
  <c r="G217" i="3"/>
  <c r="H217" i="3"/>
  <c r="W217" i="3"/>
  <c r="Z213" i="3"/>
  <c r="AA212" i="3"/>
  <c r="G287" i="3"/>
  <c r="H287" i="3"/>
  <c r="W287" i="3"/>
  <c r="AA282" i="3"/>
  <c r="Z283" i="3"/>
  <c r="H223" i="3"/>
  <c r="W223" i="3"/>
  <c r="G223" i="3"/>
  <c r="Z219" i="3"/>
  <c r="AA218" i="3"/>
  <c r="AA293" i="3"/>
  <c r="Z294" i="3"/>
  <c r="G234" i="3"/>
  <c r="H234" i="3"/>
  <c r="W234" i="3"/>
  <c r="AA229" i="3"/>
  <c r="Z230" i="3"/>
  <c r="W245" i="3"/>
  <c r="G245" i="3"/>
  <c r="H245" i="3"/>
  <c r="AA240" i="3"/>
  <c r="Z241" i="3"/>
  <c r="AA171" i="3"/>
  <c r="Z172" i="3"/>
  <c r="G178" i="3"/>
  <c r="W178" i="3"/>
  <c r="H178" i="3"/>
  <c r="AA173" i="3"/>
  <c r="Z174" i="3"/>
  <c r="H181" i="3"/>
  <c r="G181" i="3"/>
  <c r="W181" i="3"/>
  <c r="AA176" i="3"/>
  <c r="Z177" i="3"/>
  <c r="Z207" i="3"/>
  <c r="AA206" i="3"/>
  <c r="G182" i="3"/>
  <c r="H182" i="3"/>
  <c r="W182" i="3"/>
  <c r="AA177" i="3"/>
  <c r="Z178" i="3"/>
  <c r="AA98" i="3"/>
  <c r="Z99" i="3"/>
  <c r="G141" i="3"/>
  <c r="H141" i="3"/>
  <c r="W141" i="3"/>
  <c r="Z137" i="3"/>
  <c r="AA136" i="3"/>
  <c r="H134" i="3"/>
  <c r="W134" i="3"/>
  <c r="G134" i="3"/>
  <c r="AA129" i="3"/>
  <c r="Z130" i="3"/>
  <c r="H118" i="3"/>
  <c r="W118" i="3"/>
  <c r="G118" i="3"/>
  <c r="W86" i="3"/>
  <c r="H86" i="3"/>
  <c r="G86" i="3"/>
  <c r="W105" i="3"/>
  <c r="H105" i="3"/>
  <c r="G105" i="3"/>
  <c r="AA100" i="3"/>
  <c r="Z101" i="3"/>
  <c r="H29" i="3"/>
  <c r="G29" i="3"/>
  <c r="W29" i="3"/>
  <c r="G114" i="3"/>
  <c r="W114" i="3"/>
  <c r="H114" i="3"/>
  <c r="AA109" i="3"/>
  <c r="Z110" i="3"/>
  <c r="W13" i="3"/>
  <c r="G13" i="3"/>
  <c r="H13" i="3"/>
  <c r="H93" i="3"/>
  <c r="W93" i="3"/>
  <c r="G93" i="3"/>
  <c r="Z89" i="3"/>
  <c r="AA88" i="3"/>
  <c r="W96" i="3"/>
  <c r="G96" i="3"/>
  <c r="H96" i="3"/>
  <c r="AA91" i="3"/>
  <c r="Z92" i="3"/>
  <c r="AA62" i="3"/>
  <c r="Z63" i="3"/>
  <c r="H28" i="3"/>
  <c r="W28" i="3"/>
  <c r="G28" i="3"/>
  <c r="G24" i="3"/>
  <c r="H24" i="3"/>
  <c r="W24" i="3"/>
  <c r="G30" i="3"/>
  <c r="H30" i="3"/>
  <c r="W30" i="3"/>
  <c r="H36" i="3"/>
  <c r="G36" i="3"/>
  <c r="W36" i="3"/>
  <c r="Z33" i="3"/>
  <c r="AA32" i="3"/>
  <c r="W48" i="3"/>
  <c r="G48" i="3"/>
  <c r="H48" i="3"/>
  <c r="H55" i="3"/>
  <c r="W55" i="3"/>
  <c r="G55" i="3"/>
  <c r="AA50" i="3"/>
  <c r="Z51" i="3"/>
  <c r="G58" i="3"/>
  <c r="H58" i="3"/>
  <c r="W58" i="3"/>
  <c r="Z54" i="3"/>
  <c r="AA53" i="3"/>
  <c r="W51" i="3"/>
  <c r="G51" i="3"/>
  <c r="H51" i="3"/>
  <c r="Z47" i="3"/>
  <c r="AA46" i="3"/>
  <c r="G49" i="3"/>
  <c r="H49" i="3"/>
  <c r="W49" i="3"/>
  <c r="AA44" i="3"/>
  <c r="Z45" i="3"/>
  <c r="AA975" i="3"/>
  <c r="Z976" i="3"/>
  <c r="W964" i="3"/>
  <c r="G964" i="3"/>
  <c r="H964" i="3"/>
  <c r="AA963" i="3"/>
  <c r="Z964" i="3"/>
  <c r="AA930" i="3"/>
  <c r="Z931" i="3"/>
  <c r="AA866" i="3"/>
  <c r="Z867" i="3"/>
  <c r="W812" i="3"/>
  <c r="G812" i="3"/>
  <c r="H812" i="3"/>
  <c r="W986" i="3"/>
  <c r="G986" i="3"/>
  <c r="H986" i="3"/>
  <c r="W922" i="3"/>
  <c r="G922" i="3"/>
  <c r="H922" i="3"/>
  <c r="AA819" i="3"/>
  <c r="Z820" i="3"/>
  <c r="W989" i="3"/>
  <c r="G989" i="3"/>
  <c r="H989" i="3"/>
  <c r="AA715" i="3"/>
  <c r="Z716" i="3"/>
  <c r="W987" i="3"/>
  <c r="G987" i="3"/>
  <c r="H987" i="3"/>
  <c r="AA918" i="3"/>
  <c r="Z919" i="3"/>
  <c r="AA823" i="3"/>
  <c r="Z824" i="3"/>
  <c r="W764" i="3"/>
  <c r="H764" i="3"/>
  <c r="G764" i="3"/>
  <c r="W888" i="3"/>
  <c r="G888" i="3"/>
  <c r="H888" i="3"/>
  <c r="Z868" i="3"/>
  <c r="AA867" i="3"/>
  <c r="W974" i="3"/>
  <c r="G974" i="3"/>
  <c r="H974" i="3"/>
  <c r="AA969" i="3"/>
  <c r="Z970" i="3"/>
  <c r="W910" i="3"/>
  <c r="G910" i="3"/>
  <c r="H910" i="3"/>
  <c r="Z906" i="3"/>
  <c r="AA905" i="3"/>
  <c r="AA771" i="3"/>
  <c r="Z772" i="3"/>
  <c r="W712" i="3"/>
  <c r="G712" i="3"/>
  <c r="H712" i="3"/>
  <c r="W961" i="3"/>
  <c r="H961" i="3"/>
  <c r="G961" i="3"/>
  <c r="Z957" i="3"/>
  <c r="AA956" i="3"/>
  <c r="W897" i="3"/>
  <c r="G897" i="3"/>
  <c r="H897" i="3"/>
  <c r="Z893" i="3"/>
  <c r="AA892" i="3"/>
  <c r="AB892" i="3" s="1"/>
  <c r="AA719" i="3"/>
  <c r="Z720" i="3"/>
  <c r="W832" i="3"/>
  <c r="H832" i="3"/>
  <c r="G832" i="3"/>
  <c r="W863" i="3"/>
  <c r="H863" i="3"/>
  <c r="G863" i="3"/>
  <c r="Z859" i="3"/>
  <c r="AA858" i="3"/>
  <c r="W799" i="3"/>
  <c r="G799" i="3"/>
  <c r="H799" i="3"/>
  <c r="Z795" i="3"/>
  <c r="AA794" i="3"/>
  <c r="W735" i="3"/>
  <c r="G735" i="3"/>
  <c r="H735" i="3"/>
  <c r="Z731" i="3"/>
  <c r="AA730" i="3"/>
  <c r="W638" i="3"/>
  <c r="G638" i="3"/>
  <c r="H638" i="3"/>
  <c r="Z862" i="3"/>
  <c r="AA861" i="3"/>
  <c r="W802" i="3"/>
  <c r="H802" i="3"/>
  <c r="G802" i="3"/>
  <c r="Z798" i="3"/>
  <c r="AA797" i="3"/>
  <c r="AA733" i="3"/>
  <c r="Z734" i="3"/>
  <c r="W650" i="3"/>
  <c r="G650" i="3"/>
  <c r="H650" i="3"/>
  <c r="W813" i="3"/>
  <c r="G813" i="3"/>
  <c r="H813" i="3"/>
  <c r="Z809" i="3"/>
  <c r="AA808" i="3"/>
  <c r="W749" i="3"/>
  <c r="H749" i="3"/>
  <c r="G749" i="3"/>
  <c r="AA744" i="3"/>
  <c r="Z745" i="3"/>
  <c r="W685" i="3"/>
  <c r="H685" i="3"/>
  <c r="G685" i="3"/>
  <c r="W581" i="3"/>
  <c r="G581" i="3"/>
  <c r="H581" i="3"/>
  <c r="G440" i="3"/>
  <c r="W440" i="3"/>
  <c r="H440" i="3"/>
  <c r="W835" i="3"/>
  <c r="H835" i="3"/>
  <c r="G835" i="3"/>
  <c r="AA830" i="3"/>
  <c r="Z831" i="3"/>
  <c r="W771" i="3"/>
  <c r="G771" i="3"/>
  <c r="H771" i="3"/>
  <c r="AA766" i="3"/>
  <c r="Z767" i="3"/>
  <c r="W707" i="3"/>
  <c r="G707" i="3"/>
  <c r="H707" i="3"/>
  <c r="AA702" i="3"/>
  <c r="Z703" i="3"/>
  <c r="W838" i="3"/>
  <c r="H838" i="3"/>
  <c r="G838" i="3"/>
  <c r="Z834" i="3"/>
  <c r="AA833" i="3"/>
  <c r="W774" i="3"/>
  <c r="G774" i="3"/>
  <c r="H774" i="3"/>
  <c r="Z770" i="3"/>
  <c r="AA769" i="3"/>
  <c r="W710" i="3"/>
  <c r="G710" i="3"/>
  <c r="H710" i="3"/>
  <c r="Z706" i="3"/>
  <c r="AA705" i="3"/>
  <c r="W841" i="3"/>
  <c r="H841" i="3"/>
  <c r="G841" i="3"/>
  <c r="Z837" i="3"/>
  <c r="AA836" i="3"/>
  <c r="W777" i="3"/>
  <c r="G777" i="3"/>
  <c r="H777" i="3"/>
  <c r="Z773" i="3"/>
  <c r="AA772" i="3"/>
  <c r="W713" i="3"/>
  <c r="G713" i="3"/>
  <c r="H713" i="3"/>
  <c r="Z709" i="3"/>
  <c r="AA708" i="3"/>
  <c r="AA609" i="3"/>
  <c r="Z610" i="3"/>
  <c r="W629" i="3"/>
  <c r="G629" i="3"/>
  <c r="H629" i="3"/>
  <c r="AA624" i="3"/>
  <c r="Z625" i="3"/>
  <c r="W577" i="3"/>
  <c r="G577" i="3"/>
  <c r="H577" i="3"/>
  <c r="G376" i="3"/>
  <c r="H376" i="3"/>
  <c r="W376" i="3"/>
  <c r="W664" i="3"/>
  <c r="H664" i="3"/>
  <c r="G664" i="3"/>
  <c r="Z660" i="3"/>
  <c r="AA659" i="3"/>
  <c r="W651" i="3"/>
  <c r="H651" i="3"/>
  <c r="G651" i="3"/>
  <c r="Z647" i="3"/>
  <c r="AA646" i="3"/>
  <c r="W681" i="3"/>
  <c r="G681" i="3"/>
  <c r="H681" i="3"/>
  <c r="AA676" i="3"/>
  <c r="Z677" i="3"/>
  <c r="W617" i="3"/>
  <c r="G617" i="3"/>
  <c r="H617" i="3"/>
  <c r="AA612" i="3"/>
  <c r="Z613" i="3"/>
  <c r="AA588" i="3"/>
  <c r="Z589" i="3"/>
  <c r="W529" i="3"/>
  <c r="G529" i="3"/>
  <c r="H529" i="3"/>
  <c r="H473" i="3"/>
  <c r="G473" i="3"/>
  <c r="W473" i="3"/>
  <c r="W628" i="3"/>
  <c r="G628" i="3"/>
  <c r="H628" i="3"/>
  <c r="Z624" i="3"/>
  <c r="AA623" i="3"/>
  <c r="W573" i="3"/>
  <c r="G573" i="3"/>
  <c r="H573" i="3"/>
  <c r="W663" i="3"/>
  <c r="G663" i="3"/>
  <c r="H663" i="3"/>
  <c r="AA658" i="3"/>
  <c r="Z659" i="3"/>
  <c r="AA500" i="3"/>
  <c r="Z501" i="3"/>
  <c r="AA595" i="3"/>
  <c r="Z596" i="3"/>
  <c r="W536" i="3"/>
  <c r="H536" i="3"/>
  <c r="G536" i="3"/>
  <c r="AA531" i="3"/>
  <c r="Z532" i="3"/>
  <c r="W501" i="3"/>
  <c r="G501" i="3"/>
  <c r="H501" i="3"/>
  <c r="W571" i="3"/>
  <c r="H571" i="3"/>
  <c r="G571" i="3"/>
  <c r="AA566" i="3"/>
  <c r="Z567" i="3"/>
  <c r="W542" i="3"/>
  <c r="G542" i="3"/>
  <c r="H542" i="3"/>
  <c r="Z538" i="3"/>
  <c r="AA537" i="3"/>
  <c r="AA520" i="3"/>
  <c r="Z521" i="3"/>
  <c r="AA366" i="3"/>
  <c r="Z367" i="3"/>
  <c r="W548" i="3"/>
  <c r="G548" i="3"/>
  <c r="H548" i="3"/>
  <c r="Z544" i="3"/>
  <c r="AA543" i="3"/>
  <c r="W599" i="3"/>
  <c r="H599" i="3"/>
  <c r="G599" i="3"/>
  <c r="Z595" i="3"/>
  <c r="AA594" i="3"/>
  <c r="W535" i="3"/>
  <c r="G535" i="3"/>
  <c r="H535" i="3"/>
  <c r="AA530" i="3"/>
  <c r="Z531" i="3"/>
  <c r="W497" i="3"/>
  <c r="G497" i="3"/>
  <c r="H497" i="3"/>
  <c r="W546" i="3"/>
  <c r="H546" i="3"/>
  <c r="G546" i="3"/>
  <c r="AA541" i="3"/>
  <c r="Z542" i="3"/>
  <c r="AA511" i="3"/>
  <c r="Z512" i="3"/>
  <c r="W452" i="3"/>
  <c r="G452" i="3"/>
  <c r="H452" i="3"/>
  <c r="Z448" i="3"/>
  <c r="AA447" i="3"/>
  <c r="AA522" i="3"/>
  <c r="Z523" i="3"/>
  <c r="G463" i="3"/>
  <c r="W463" i="3"/>
  <c r="H463" i="3"/>
  <c r="AA458" i="3"/>
  <c r="Z459" i="3"/>
  <c r="AA395" i="3"/>
  <c r="Z396" i="3"/>
  <c r="W474" i="3"/>
  <c r="H474" i="3"/>
  <c r="G474" i="3"/>
  <c r="Z470" i="3"/>
  <c r="AA469" i="3"/>
  <c r="AA439" i="3"/>
  <c r="Z440" i="3"/>
  <c r="H380" i="3"/>
  <c r="G380" i="3"/>
  <c r="W380" i="3"/>
  <c r="Z340" i="3"/>
  <c r="AA339" i="3"/>
  <c r="H480" i="3"/>
  <c r="W480" i="3"/>
  <c r="G480" i="3"/>
  <c r="AA475" i="3"/>
  <c r="Z476" i="3"/>
  <c r="W404" i="3"/>
  <c r="H404" i="3"/>
  <c r="G404" i="3"/>
  <c r="AA243" i="3"/>
  <c r="Z244" i="3"/>
  <c r="H491" i="3"/>
  <c r="G491" i="3"/>
  <c r="W491" i="3"/>
  <c r="AA486" i="3"/>
  <c r="Z487" i="3"/>
  <c r="W296" i="3"/>
  <c r="H296" i="3"/>
  <c r="G296" i="3"/>
  <c r="W502" i="3"/>
  <c r="G502" i="3"/>
  <c r="H502" i="3"/>
  <c r="Z498" i="3"/>
  <c r="AA497" i="3"/>
  <c r="G435" i="3"/>
  <c r="W435" i="3"/>
  <c r="H435" i="3"/>
  <c r="Z431" i="3"/>
  <c r="AA430" i="3"/>
  <c r="G371" i="3"/>
  <c r="W371" i="3"/>
  <c r="H371" i="3"/>
  <c r="Z304" i="3"/>
  <c r="AA303" i="3"/>
  <c r="H446" i="3"/>
  <c r="W446" i="3"/>
  <c r="G446" i="3"/>
  <c r="Z442" i="3"/>
  <c r="AA441" i="3"/>
  <c r="G382" i="3"/>
  <c r="W382" i="3"/>
  <c r="H382" i="3"/>
  <c r="Z378" i="3"/>
  <c r="AA377" i="3"/>
  <c r="AA347" i="3"/>
  <c r="Z348" i="3"/>
  <c r="G393" i="3"/>
  <c r="H393" i="3"/>
  <c r="W393" i="3"/>
  <c r="AA388" i="3"/>
  <c r="AB388" i="3" s="1"/>
  <c r="Z389" i="3"/>
  <c r="G368" i="3"/>
  <c r="H368" i="3"/>
  <c r="W368" i="3"/>
  <c r="W332" i="3"/>
  <c r="G332" i="3"/>
  <c r="H332" i="3"/>
  <c r="H399" i="3"/>
  <c r="G399" i="3"/>
  <c r="W399" i="3"/>
  <c r="AA394" i="3"/>
  <c r="Z395" i="3"/>
  <c r="H356" i="3"/>
  <c r="G356" i="3"/>
  <c r="W356" i="3"/>
  <c r="H410" i="3"/>
  <c r="W410" i="3"/>
  <c r="G410" i="3"/>
  <c r="AA405" i="3"/>
  <c r="Z406" i="3"/>
  <c r="H397" i="3"/>
  <c r="W397" i="3"/>
  <c r="G397" i="3"/>
  <c r="AA392" i="3"/>
  <c r="Z393" i="3"/>
  <c r="G348" i="3"/>
  <c r="W348" i="3"/>
  <c r="H348" i="3"/>
  <c r="G347" i="3"/>
  <c r="H347" i="3"/>
  <c r="W347" i="3"/>
  <c r="Z343" i="3"/>
  <c r="AA342" i="3"/>
  <c r="G358" i="3"/>
  <c r="H358" i="3"/>
  <c r="W358" i="3"/>
  <c r="AA353" i="3"/>
  <c r="Z354" i="3"/>
  <c r="W294" i="3"/>
  <c r="H294" i="3"/>
  <c r="G294" i="3"/>
  <c r="H345" i="3"/>
  <c r="G345" i="3"/>
  <c r="W345" i="3"/>
  <c r="AA340" i="3"/>
  <c r="Z341" i="3"/>
  <c r="H351" i="3"/>
  <c r="G351" i="3"/>
  <c r="W351" i="3"/>
  <c r="Z347" i="3"/>
  <c r="AA346" i="3"/>
  <c r="W291" i="3"/>
  <c r="G291" i="3"/>
  <c r="H291" i="3"/>
  <c r="W362" i="3"/>
  <c r="H362" i="3"/>
  <c r="G362" i="3"/>
  <c r="AA357" i="3"/>
  <c r="Z358" i="3"/>
  <c r="G298" i="3"/>
  <c r="W298" i="3"/>
  <c r="H298" i="3"/>
  <c r="G349" i="3"/>
  <c r="W349" i="3"/>
  <c r="H349" i="3"/>
  <c r="AA344" i="3"/>
  <c r="Z345" i="3"/>
  <c r="G259" i="3"/>
  <c r="H259" i="3"/>
  <c r="W259" i="3"/>
  <c r="Z255" i="3"/>
  <c r="AA254" i="3"/>
  <c r="H168" i="3"/>
  <c r="G168" i="3"/>
  <c r="W168" i="3"/>
  <c r="H286" i="3"/>
  <c r="G286" i="3"/>
  <c r="W286" i="3"/>
  <c r="Z282" i="3"/>
  <c r="AA281" i="3"/>
  <c r="H222" i="3"/>
  <c r="W222" i="3"/>
  <c r="G222" i="3"/>
  <c r="Z218" i="3"/>
  <c r="AA217" i="3"/>
  <c r="W241" i="3"/>
  <c r="G241" i="3"/>
  <c r="H241" i="3"/>
  <c r="AA236" i="3"/>
  <c r="Z237" i="3"/>
  <c r="G247" i="3"/>
  <c r="W247" i="3"/>
  <c r="H247" i="3"/>
  <c r="Z243" i="3"/>
  <c r="AA242" i="3"/>
  <c r="AA179" i="3"/>
  <c r="Z180" i="3"/>
  <c r="G258" i="3"/>
  <c r="H258" i="3"/>
  <c r="W258" i="3"/>
  <c r="AA253" i="3"/>
  <c r="Z254" i="3"/>
  <c r="G164" i="3"/>
  <c r="W164" i="3"/>
  <c r="H164" i="3"/>
  <c r="W269" i="3"/>
  <c r="H269" i="3"/>
  <c r="G269" i="3"/>
  <c r="AA264" i="3"/>
  <c r="Z265" i="3"/>
  <c r="AA202" i="3"/>
  <c r="Z203" i="3"/>
  <c r="G183" i="3"/>
  <c r="W183" i="3"/>
  <c r="H183" i="3"/>
  <c r="AA178" i="3"/>
  <c r="Z179" i="3"/>
  <c r="AA123" i="3"/>
  <c r="Z124" i="3"/>
  <c r="G202" i="3"/>
  <c r="H202" i="3"/>
  <c r="W202" i="3"/>
  <c r="AA197" i="3"/>
  <c r="Z198" i="3"/>
  <c r="W140" i="3"/>
  <c r="H140" i="3"/>
  <c r="G140" i="3"/>
  <c r="G171" i="3"/>
  <c r="W171" i="3"/>
  <c r="H171" i="3"/>
  <c r="Z167" i="3"/>
  <c r="AA166" i="3"/>
  <c r="H206" i="3"/>
  <c r="G206" i="3"/>
  <c r="W206" i="3"/>
  <c r="Z202" i="3"/>
  <c r="AA201" i="3"/>
  <c r="H177" i="3"/>
  <c r="W177" i="3"/>
  <c r="G177" i="3"/>
  <c r="AA172" i="3"/>
  <c r="Z173" i="3"/>
  <c r="W135" i="3"/>
  <c r="G135" i="3"/>
  <c r="H135" i="3"/>
  <c r="Z131" i="3"/>
  <c r="AA130" i="3"/>
  <c r="G138" i="3"/>
  <c r="H138" i="3"/>
  <c r="W138" i="3"/>
  <c r="Z134" i="3"/>
  <c r="AA133" i="3"/>
  <c r="H139" i="3"/>
  <c r="W139" i="3"/>
  <c r="G139" i="3"/>
  <c r="Z135" i="3"/>
  <c r="AA134" i="3"/>
  <c r="AA118" i="3"/>
  <c r="Z119" i="3"/>
  <c r="Z34" i="3"/>
  <c r="AA33" i="3"/>
  <c r="W158" i="3"/>
  <c r="H158" i="3"/>
  <c r="G158" i="3"/>
  <c r="Z154" i="3"/>
  <c r="AA153" i="3"/>
  <c r="W107" i="3"/>
  <c r="G107" i="3"/>
  <c r="H107" i="3"/>
  <c r="G137" i="3"/>
  <c r="W137" i="3"/>
  <c r="H137" i="3"/>
  <c r="Z133" i="3"/>
  <c r="AA132" i="3"/>
  <c r="AA105" i="3"/>
  <c r="Z106" i="3"/>
  <c r="H59" i="3"/>
  <c r="W59" i="3"/>
  <c r="G59" i="3"/>
  <c r="G54" i="3"/>
  <c r="H54" i="3"/>
  <c r="W54" i="3"/>
  <c r="AA24" i="3"/>
  <c r="Z25" i="3"/>
  <c r="AA8" i="3"/>
  <c r="Z9" i="3"/>
  <c r="W117" i="3"/>
  <c r="G117" i="3"/>
  <c r="H117" i="3"/>
  <c r="Z113" i="3"/>
  <c r="AA112" i="3"/>
  <c r="W120" i="3"/>
  <c r="G120" i="3"/>
  <c r="H120" i="3"/>
  <c r="AA115" i="3"/>
  <c r="Z116" i="3"/>
  <c r="H72" i="3"/>
  <c r="W72" i="3"/>
  <c r="G72" i="3"/>
  <c r="AA67" i="3"/>
  <c r="Z68" i="3"/>
  <c r="G70" i="3"/>
  <c r="W70" i="3"/>
  <c r="H70" i="3"/>
  <c r="AA65" i="3"/>
  <c r="Z66" i="3"/>
  <c r="G73" i="3"/>
  <c r="W73" i="3"/>
  <c r="H73" i="3"/>
  <c r="AA68" i="3"/>
  <c r="Z69" i="3"/>
  <c r="AA9" i="3"/>
  <c r="Z10" i="3"/>
  <c r="H76" i="3"/>
  <c r="W76" i="3"/>
  <c r="G76" i="3"/>
  <c r="AA71" i="3"/>
  <c r="Z72" i="3"/>
  <c r="AA15" i="3"/>
  <c r="Z16" i="3"/>
  <c r="G79" i="3"/>
  <c r="W79" i="3"/>
  <c r="H79" i="3"/>
  <c r="Z75" i="3"/>
  <c r="AA74" i="3"/>
  <c r="H21" i="3"/>
  <c r="G21" i="3"/>
  <c r="W21" i="3"/>
  <c r="G82" i="3"/>
  <c r="W82" i="3"/>
  <c r="H82" i="3"/>
  <c r="AA77" i="3"/>
  <c r="Z78" i="3"/>
  <c r="AA27" i="3"/>
  <c r="Z28" i="3"/>
  <c r="H15" i="3"/>
  <c r="G15" i="3"/>
  <c r="W15" i="3"/>
  <c r="Z11" i="3"/>
  <c r="AA10" i="3"/>
  <c r="W18" i="3"/>
  <c r="G18" i="3"/>
  <c r="H18" i="3"/>
  <c r="AA13" i="3"/>
  <c r="Z14" i="3"/>
  <c r="W11" i="3"/>
  <c r="G11" i="3"/>
  <c r="H11" i="3"/>
  <c r="H9" i="3"/>
  <c r="W9" i="3"/>
  <c r="G9" i="3"/>
  <c r="AA955" i="3"/>
  <c r="Z956" i="3"/>
  <c r="Z968" i="3"/>
  <c r="AA967" i="3"/>
  <c r="W952" i="3"/>
  <c r="G952" i="3"/>
  <c r="H952" i="3"/>
  <c r="W1000" i="3"/>
  <c r="H1000" i="3"/>
  <c r="G1000" i="3"/>
  <c r="W959" i="3"/>
  <c r="H959" i="3"/>
  <c r="G959" i="3"/>
  <c r="AA954" i="3"/>
  <c r="Z955" i="3"/>
  <c r="W895" i="3"/>
  <c r="H895" i="3"/>
  <c r="G895" i="3"/>
  <c r="AA890" i="3"/>
  <c r="Z891" i="3"/>
  <c r="AA711" i="3"/>
  <c r="Z712" i="3"/>
  <c r="W946" i="3"/>
  <c r="G946" i="3"/>
  <c r="H946" i="3"/>
  <c r="AA941" i="3"/>
  <c r="Z942" i="3"/>
  <c r="W882" i="3"/>
  <c r="G882" i="3"/>
  <c r="H882" i="3"/>
  <c r="AA877" i="3"/>
  <c r="Z878" i="3"/>
  <c r="W856" i="3"/>
  <c r="G856" i="3"/>
  <c r="H856" i="3"/>
  <c r="AA669" i="3"/>
  <c r="Z670" i="3"/>
  <c r="W949" i="3"/>
  <c r="G949" i="3"/>
  <c r="H949" i="3"/>
  <c r="Z945" i="3"/>
  <c r="AA944" i="3"/>
  <c r="W885" i="3"/>
  <c r="H885" i="3"/>
  <c r="G885" i="3"/>
  <c r="AA880" i="3"/>
  <c r="Z881" i="3"/>
  <c r="Z780" i="3"/>
  <c r="AA779" i="3"/>
  <c r="W752" i="3"/>
  <c r="H752" i="3"/>
  <c r="G752" i="3"/>
  <c r="AA907" i="3"/>
  <c r="Z908" i="3"/>
  <c r="W947" i="3"/>
  <c r="H947" i="3"/>
  <c r="G947" i="3"/>
  <c r="AA942" i="3"/>
  <c r="Z943" i="3"/>
  <c r="W883" i="3"/>
  <c r="H883" i="3"/>
  <c r="G883" i="3"/>
  <c r="AA878" i="3"/>
  <c r="Z879" i="3"/>
  <c r="W860" i="3"/>
  <c r="G860" i="3"/>
  <c r="H860" i="3"/>
  <c r="W998" i="3"/>
  <c r="G998" i="3"/>
  <c r="H998" i="3"/>
  <c r="AA993" i="3"/>
  <c r="Z994" i="3"/>
  <c r="W934" i="3"/>
  <c r="H934" i="3"/>
  <c r="G934" i="3"/>
  <c r="AA929" i="3"/>
  <c r="Z930" i="3"/>
  <c r="W870" i="3"/>
  <c r="H870" i="3"/>
  <c r="G870" i="3"/>
  <c r="AA865" i="3"/>
  <c r="Z866" i="3"/>
  <c r="W808" i="3"/>
  <c r="G808" i="3"/>
  <c r="H808" i="3"/>
  <c r="W985" i="3"/>
  <c r="G985" i="3"/>
  <c r="H985" i="3"/>
  <c r="AA980" i="3"/>
  <c r="Z981" i="3"/>
  <c r="W921" i="3"/>
  <c r="G921" i="3"/>
  <c r="H921" i="3"/>
  <c r="AA916" i="3"/>
  <c r="Z917" i="3"/>
  <c r="Z816" i="3"/>
  <c r="AA815" i="3"/>
  <c r="W756" i="3"/>
  <c r="G756" i="3"/>
  <c r="H756" i="3"/>
  <c r="W768" i="3"/>
  <c r="H768" i="3"/>
  <c r="G768" i="3"/>
  <c r="W823" i="3"/>
  <c r="G823" i="3"/>
  <c r="H823" i="3"/>
  <c r="AA818" i="3"/>
  <c r="Z819" i="3"/>
  <c r="W759" i="3"/>
  <c r="G759" i="3"/>
  <c r="H759" i="3"/>
  <c r="Z755" i="3"/>
  <c r="AA754" i="3"/>
  <c r="W695" i="3"/>
  <c r="G695" i="3"/>
  <c r="H695" i="3"/>
  <c r="Z691" i="3"/>
  <c r="AA690" i="3"/>
  <c r="W826" i="3"/>
  <c r="G826" i="3"/>
  <c r="H826" i="3"/>
  <c r="AA821" i="3"/>
  <c r="Z822" i="3"/>
  <c r="W762" i="3"/>
  <c r="G762" i="3"/>
  <c r="H762" i="3"/>
  <c r="Z758" i="3"/>
  <c r="AA757" i="3"/>
  <c r="W698" i="3"/>
  <c r="G698" i="3"/>
  <c r="H698" i="3"/>
  <c r="AA693" i="3"/>
  <c r="Z694" i="3"/>
  <c r="W837" i="3"/>
  <c r="H837" i="3"/>
  <c r="G837" i="3"/>
  <c r="Z833" i="3"/>
  <c r="AA832" i="3"/>
  <c r="W773" i="3"/>
  <c r="G773" i="3"/>
  <c r="H773" i="3"/>
  <c r="Z769" i="3"/>
  <c r="AA768" i="3"/>
  <c r="W709" i="3"/>
  <c r="G709" i="3"/>
  <c r="H709" i="3"/>
  <c r="AA704" i="3"/>
  <c r="Z705" i="3"/>
  <c r="W610" i="3"/>
  <c r="H610" i="3"/>
  <c r="G610" i="3"/>
  <c r="Z561" i="3"/>
  <c r="AA560" i="3"/>
  <c r="W859" i="3"/>
  <c r="G859" i="3"/>
  <c r="H859" i="3"/>
  <c r="AA854" i="3"/>
  <c r="Z855" i="3"/>
  <c r="W795" i="3"/>
  <c r="G795" i="3"/>
  <c r="H795" i="3"/>
  <c r="AA790" i="3"/>
  <c r="Z791" i="3"/>
  <c r="W731" i="3"/>
  <c r="G731" i="3"/>
  <c r="H731" i="3"/>
  <c r="AA726" i="3"/>
  <c r="Z727" i="3"/>
  <c r="W622" i="3"/>
  <c r="H622" i="3"/>
  <c r="G622" i="3"/>
  <c r="W862" i="3"/>
  <c r="G862" i="3"/>
  <c r="H862" i="3"/>
  <c r="AA857" i="3"/>
  <c r="Z858" i="3"/>
  <c r="W798" i="3"/>
  <c r="H798" i="3"/>
  <c r="G798" i="3"/>
  <c r="Z794" i="3"/>
  <c r="AA793" i="3"/>
  <c r="W734" i="3"/>
  <c r="H734" i="3"/>
  <c r="G734" i="3"/>
  <c r="AA729" i="3"/>
  <c r="Z730" i="3"/>
  <c r="W634" i="3"/>
  <c r="H634" i="3"/>
  <c r="G634" i="3"/>
  <c r="AA860" i="3"/>
  <c r="Z861" i="3"/>
  <c r="W801" i="3"/>
  <c r="G801" i="3"/>
  <c r="H801" i="3"/>
  <c r="AA796" i="3"/>
  <c r="AB796" i="3" s="1"/>
  <c r="Z797" i="3"/>
  <c r="W737" i="3"/>
  <c r="G737" i="3"/>
  <c r="H737" i="3"/>
  <c r="AA732" i="3"/>
  <c r="Z733" i="3"/>
  <c r="W646" i="3"/>
  <c r="H646" i="3"/>
  <c r="G646" i="3"/>
  <c r="W626" i="3"/>
  <c r="G626" i="3"/>
  <c r="H626" i="3"/>
  <c r="W653" i="3"/>
  <c r="G653" i="3"/>
  <c r="H653" i="3"/>
  <c r="AA648" i="3"/>
  <c r="Z649" i="3"/>
  <c r="AB649" i="3" s="1"/>
  <c r="Z684" i="3"/>
  <c r="AA683" i="3"/>
  <c r="W624" i="3"/>
  <c r="H624" i="3"/>
  <c r="G624" i="3"/>
  <c r="AA619" i="3"/>
  <c r="Z620" i="3"/>
  <c r="W557" i="3"/>
  <c r="G557" i="3"/>
  <c r="H557" i="3"/>
  <c r="AA371" i="3"/>
  <c r="AB371" i="3" s="1"/>
  <c r="Z372" i="3"/>
  <c r="W675" i="3"/>
  <c r="G675" i="3"/>
  <c r="H675" i="3"/>
  <c r="Z671" i="3"/>
  <c r="AA670" i="3"/>
  <c r="W611" i="3"/>
  <c r="H611" i="3"/>
  <c r="G611" i="3"/>
  <c r="Z607" i="3"/>
  <c r="AA606" i="3"/>
  <c r="AA564" i="3"/>
  <c r="Z565" i="3"/>
  <c r="W641" i="3"/>
  <c r="G641" i="3"/>
  <c r="H641" i="3"/>
  <c r="AA636" i="3"/>
  <c r="Z637" i="3"/>
  <c r="W652" i="3"/>
  <c r="H652" i="3"/>
  <c r="G652" i="3"/>
  <c r="AA647" i="3"/>
  <c r="Z648" i="3"/>
  <c r="AA682" i="3"/>
  <c r="Z683" i="3"/>
  <c r="W623" i="3"/>
  <c r="H623" i="3"/>
  <c r="G623" i="3"/>
  <c r="AA618" i="3"/>
  <c r="Z619" i="3"/>
  <c r="W553" i="3"/>
  <c r="H553" i="3"/>
  <c r="G553" i="3"/>
  <c r="W560" i="3"/>
  <c r="H560" i="3"/>
  <c r="G560" i="3"/>
  <c r="Z556" i="3"/>
  <c r="AA555" i="3"/>
  <c r="AA419" i="3"/>
  <c r="Z420" i="3"/>
  <c r="W595" i="3"/>
  <c r="H595" i="3"/>
  <c r="G595" i="3"/>
  <c r="Z591" i="3"/>
  <c r="AA590" i="3"/>
  <c r="W531" i="3"/>
  <c r="G531" i="3"/>
  <c r="H531" i="3"/>
  <c r="AA526" i="3"/>
  <c r="Z527" i="3"/>
  <c r="W481" i="3"/>
  <c r="G481" i="3"/>
  <c r="H481" i="3"/>
  <c r="W566" i="3"/>
  <c r="G566" i="3"/>
  <c r="H566" i="3"/>
  <c r="AA561" i="3"/>
  <c r="AB561" i="3" s="1"/>
  <c r="Z562" i="3"/>
  <c r="H328" i="3"/>
  <c r="G328" i="3"/>
  <c r="W328" i="3"/>
  <c r="W572" i="3"/>
  <c r="H572" i="3"/>
  <c r="G572" i="3"/>
  <c r="AA567" i="3"/>
  <c r="AB567" i="3" s="1"/>
  <c r="Z568" i="3"/>
  <c r="Z449" i="3"/>
  <c r="AA448" i="3"/>
  <c r="W559" i="3"/>
  <c r="H559" i="3"/>
  <c r="G559" i="3"/>
  <c r="Z555" i="3"/>
  <c r="AA554" i="3"/>
  <c r="AA403" i="3"/>
  <c r="Z404" i="3"/>
  <c r="W570" i="3"/>
  <c r="H570" i="3"/>
  <c r="G570" i="3"/>
  <c r="Z566" i="3"/>
  <c r="AA565" i="3"/>
  <c r="W517" i="3"/>
  <c r="G517" i="3"/>
  <c r="H517" i="3"/>
  <c r="W476" i="3"/>
  <c r="H476" i="3"/>
  <c r="G476" i="3"/>
  <c r="AA471" i="3"/>
  <c r="Z472" i="3"/>
  <c r="W388" i="3"/>
  <c r="G388" i="3"/>
  <c r="H388" i="3"/>
  <c r="G487" i="3"/>
  <c r="H487" i="3"/>
  <c r="W487" i="3"/>
  <c r="AA482" i="3"/>
  <c r="Z483" i="3"/>
  <c r="W432" i="3"/>
  <c r="H432" i="3"/>
  <c r="G432" i="3"/>
  <c r="W498" i="3"/>
  <c r="H498" i="3"/>
  <c r="G498" i="3"/>
  <c r="Z494" i="3"/>
  <c r="AA493" i="3"/>
  <c r="W504" i="3"/>
  <c r="H504" i="3"/>
  <c r="G504" i="3"/>
  <c r="Z500" i="3"/>
  <c r="AA499" i="3"/>
  <c r="AB499" i="3" s="1"/>
  <c r="W515" i="3"/>
  <c r="H515" i="3"/>
  <c r="G515" i="3"/>
  <c r="Z511" i="3"/>
  <c r="AA510" i="3"/>
  <c r="AB510" i="3" s="1"/>
  <c r="G451" i="3"/>
  <c r="H451" i="3"/>
  <c r="W451" i="3"/>
  <c r="AA521" i="3"/>
  <c r="Z522" i="3"/>
  <c r="H462" i="3"/>
  <c r="G462" i="3"/>
  <c r="W462" i="3"/>
  <c r="Z458" i="3"/>
  <c r="AA457" i="3"/>
  <c r="AA391" i="3"/>
  <c r="Z392" i="3"/>
  <c r="W395" i="3"/>
  <c r="G395" i="3"/>
  <c r="H395" i="3"/>
  <c r="AA390" i="3"/>
  <c r="Z391" i="3"/>
  <c r="G340" i="3"/>
  <c r="W340" i="3"/>
  <c r="H340" i="3"/>
  <c r="W406" i="3"/>
  <c r="G406" i="3"/>
  <c r="H406" i="3"/>
  <c r="AA401" i="3"/>
  <c r="Z402" i="3"/>
  <c r="Z276" i="3"/>
  <c r="AA275" i="3"/>
  <c r="G417" i="3"/>
  <c r="H417" i="3"/>
  <c r="W417" i="3"/>
  <c r="AA412" i="3"/>
  <c r="Z413" i="3"/>
  <c r="G423" i="3"/>
  <c r="H423" i="3"/>
  <c r="W423" i="3"/>
  <c r="AA418" i="3"/>
  <c r="Z419" i="3"/>
  <c r="W232" i="3"/>
  <c r="G232" i="3"/>
  <c r="H232" i="3"/>
  <c r="W434" i="3"/>
  <c r="G434" i="3"/>
  <c r="H434" i="3"/>
  <c r="AA429" i="3"/>
  <c r="Z430" i="3"/>
  <c r="H370" i="3"/>
  <c r="G370" i="3"/>
  <c r="W370" i="3"/>
  <c r="Z300" i="3"/>
  <c r="AA299" i="3"/>
  <c r="G421" i="3"/>
  <c r="W421" i="3"/>
  <c r="H421" i="3"/>
  <c r="AA416" i="3"/>
  <c r="Z417" i="3"/>
  <c r="H188" i="3"/>
  <c r="W188" i="3"/>
  <c r="G188" i="3"/>
  <c r="G307" i="3"/>
  <c r="H307" i="3"/>
  <c r="W307" i="3"/>
  <c r="Z303" i="3"/>
  <c r="AA302" i="3"/>
  <c r="AA223" i="3"/>
  <c r="Z224" i="3"/>
  <c r="G318" i="3"/>
  <c r="W318" i="3"/>
  <c r="H318" i="3"/>
  <c r="Z314" i="3"/>
  <c r="AA313" i="3"/>
  <c r="AA267" i="3"/>
  <c r="Z268" i="3"/>
  <c r="G208" i="3"/>
  <c r="W208" i="3"/>
  <c r="H208" i="3"/>
  <c r="Z365" i="3"/>
  <c r="AA364" i="3"/>
  <c r="G305" i="3"/>
  <c r="W305" i="3"/>
  <c r="H305" i="3"/>
  <c r="Z301" i="3"/>
  <c r="AA300" i="3"/>
  <c r="Z216" i="3"/>
  <c r="AA215" i="3"/>
  <c r="H311" i="3"/>
  <c r="G311" i="3"/>
  <c r="W311" i="3"/>
  <c r="Z307" i="3"/>
  <c r="AA306" i="3"/>
  <c r="AA239" i="3"/>
  <c r="Z240" i="3"/>
  <c r="G322" i="3"/>
  <c r="H322" i="3"/>
  <c r="W322" i="3"/>
  <c r="AA317" i="3"/>
  <c r="Z318" i="3"/>
  <c r="G292" i="3"/>
  <c r="H292" i="3"/>
  <c r="W292" i="3"/>
  <c r="H224" i="3"/>
  <c r="W224" i="3"/>
  <c r="G224" i="3"/>
  <c r="AA368" i="3"/>
  <c r="AB368" i="3" s="1"/>
  <c r="Z369" i="3"/>
  <c r="G309" i="3"/>
  <c r="W309" i="3"/>
  <c r="H309" i="3"/>
  <c r="AA304" i="3"/>
  <c r="Z305" i="3"/>
  <c r="AA286" i="3"/>
  <c r="Z287" i="3"/>
  <c r="Z232" i="3"/>
  <c r="AA231" i="3"/>
  <c r="G148" i="3"/>
  <c r="H148" i="3"/>
  <c r="W148" i="3"/>
  <c r="AA278" i="3"/>
  <c r="Z279" i="3"/>
  <c r="W219" i="3"/>
  <c r="G219" i="3"/>
  <c r="H219" i="3"/>
  <c r="Z215" i="3"/>
  <c r="AA214" i="3"/>
  <c r="H246" i="3"/>
  <c r="W246" i="3"/>
  <c r="G246" i="3"/>
  <c r="AA241" i="3"/>
  <c r="Z242" i="3"/>
  <c r="Z176" i="3"/>
  <c r="AA175" i="3"/>
  <c r="W265" i="3"/>
  <c r="G265" i="3"/>
  <c r="H265" i="3"/>
  <c r="AA260" i="3"/>
  <c r="Z261" i="3"/>
  <c r="H192" i="3"/>
  <c r="G192" i="3"/>
  <c r="W192" i="3"/>
  <c r="G271" i="3"/>
  <c r="H271" i="3"/>
  <c r="W271" i="3"/>
  <c r="Z267" i="3"/>
  <c r="AA266" i="3"/>
  <c r="G282" i="3"/>
  <c r="W282" i="3"/>
  <c r="H282" i="3"/>
  <c r="Z278" i="3"/>
  <c r="AA277" i="3"/>
  <c r="G218" i="3"/>
  <c r="W218" i="3"/>
  <c r="H218" i="3"/>
  <c r="Z214" i="3"/>
  <c r="AA213" i="3"/>
  <c r="G293" i="3"/>
  <c r="W293" i="3"/>
  <c r="H293" i="3"/>
  <c r="Z289" i="3"/>
  <c r="AA288" i="3"/>
  <c r="H229" i="3"/>
  <c r="W229" i="3"/>
  <c r="G229" i="3"/>
  <c r="Z225" i="3"/>
  <c r="AA224" i="3"/>
  <c r="H162" i="3"/>
  <c r="W162" i="3"/>
  <c r="G162" i="3"/>
  <c r="W165" i="3"/>
  <c r="G165" i="3"/>
  <c r="H165" i="3"/>
  <c r="AA159" i="3"/>
  <c r="Z160" i="3"/>
  <c r="W195" i="3"/>
  <c r="G195" i="3"/>
  <c r="H195" i="3"/>
  <c r="Z191" i="3"/>
  <c r="AA190" i="3"/>
  <c r="G160" i="3"/>
  <c r="W160" i="3"/>
  <c r="H160" i="3"/>
  <c r="H151" i="3"/>
  <c r="W151" i="3"/>
  <c r="G151" i="3"/>
  <c r="AA102" i="3"/>
  <c r="Z103" i="3"/>
  <c r="G166" i="3"/>
  <c r="H166" i="3"/>
  <c r="W166" i="3"/>
  <c r="AA152" i="3"/>
  <c r="Z153" i="3"/>
  <c r="W108" i="3"/>
  <c r="G108" i="3"/>
  <c r="H108" i="3"/>
  <c r="G201" i="3"/>
  <c r="W201" i="3"/>
  <c r="H201" i="3"/>
  <c r="AA196" i="3"/>
  <c r="Z197" i="3"/>
  <c r="G136" i="3"/>
  <c r="H136" i="3"/>
  <c r="W136" i="3"/>
  <c r="G115" i="3"/>
  <c r="H115" i="3"/>
  <c r="W115" i="3"/>
  <c r="G125" i="3"/>
  <c r="W125" i="3"/>
  <c r="H125" i="3"/>
  <c r="H110" i="3"/>
  <c r="G110" i="3"/>
  <c r="W110" i="3"/>
  <c r="H95" i="3"/>
  <c r="W95" i="3"/>
  <c r="G95" i="3"/>
  <c r="AA158" i="3"/>
  <c r="Z159" i="3"/>
  <c r="H161" i="3"/>
  <c r="W161" i="3"/>
  <c r="G161" i="3"/>
  <c r="Z157" i="3"/>
  <c r="AA156" i="3"/>
  <c r="AA113" i="3"/>
  <c r="Z114" i="3"/>
  <c r="H89" i="3"/>
  <c r="W89" i="3"/>
  <c r="G89" i="3"/>
  <c r="AA49" i="3"/>
  <c r="Z50" i="3"/>
  <c r="H100" i="3"/>
  <c r="W100" i="3"/>
  <c r="G100" i="3"/>
  <c r="AA95" i="3"/>
  <c r="AB95" i="3" s="1"/>
  <c r="Z96" i="3"/>
  <c r="H98" i="3"/>
  <c r="W98" i="3"/>
  <c r="G98" i="3"/>
  <c r="AA93" i="3"/>
  <c r="Z94" i="3"/>
  <c r="Z71" i="3"/>
  <c r="AA70" i="3"/>
  <c r="AA56" i="3"/>
  <c r="Z57" i="3"/>
  <c r="AA55" i="3"/>
  <c r="Z56" i="3"/>
  <c r="AA51" i="3"/>
  <c r="AB51" i="3" s="1"/>
  <c r="Z52" i="3"/>
  <c r="AA57" i="3"/>
  <c r="Z58" i="3"/>
  <c r="W16" i="3"/>
  <c r="G16" i="3"/>
  <c r="H16" i="3"/>
  <c r="G39" i="3"/>
  <c r="H39" i="3"/>
  <c r="W39" i="3"/>
  <c r="AA34" i="3"/>
  <c r="Z35" i="3"/>
  <c r="G42" i="3"/>
  <c r="W42" i="3"/>
  <c r="H42" i="3"/>
  <c r="AA37" i="3"/>
  <c r="Z38" i="3"/>
  <c r="W35" i="3"/>
  <c r="G35" i="3"/>
  <c r="H35" i="3"/>
  <c r="AA30" i="3"/>
  <c r="AB30" i="3" s="1"/>
  <c r="Z31" i="3"/>
  <c r="W33" i="3"/>
  <c r="G33" i="3"/>
  <c r="H33" i="3"/>
  <c r="AA28" i="3"/>
  <c r="Z29" i="3"/>
  <c r="W924" i="3"/>
  <c r="H924" i="3"/>
  <c r="G924" i="3"/>
  <c r="AA994" i="3"/>
  <c r="Z995" i="3"/>
  <c r="W935" i="3"/>
  <c r="H935" i="3"/>
  <c r="G935" i="3"/>
  <c r="AA981" i="3"/>
  <c r="Z982" i="3"/>
  <c r="Z918" i="3"/>
  <c r="AA917" i="3"/>
  <c r="AA984" i="3"/>
  <c r="Z985" i="3"/>
  <c r="AA920" i="3"/>
  <c r="Z921" i="3"/>
  <c r="Z832" i="3"/>
  <c r="AA831" i="3"/>
  <c r="W772" i="3"/>
  <c r="G772" i="3"/>
  <c r="H772" i="3"/>
  <c r="AA982" i="3"/>
  <c r="Z983" i="3"/>
  <c r="W923" i="3"/>
  <c r="G923" i="3"/>
  <c r="H923" i="3"/>
  <c r="W738" i="3"/>
  <c r="H738" i="3"/>
  <c r="G738" i="3"/>
  <c r="W919" i="3"/>
  <c r="G919" i="3"/>
  <c r="H919" i="3"/>
  <c r="Z808" i="3"/>
  <c r="AA807" i="3"/>
  <c r="AA965" i="3"/>
  <c r="Z966" i="3"/>
  <c r="Z902" i="3"/>
  <c r="AA901" i="3"/>
  <c r="AA755" i="3"/>
  <c r="Z756" i="3"/>
  <c r="W696" i="3"/>
  <c r="H696" i="3"/>
  <c r="G696" i="3"/>
  <c r="W908" i="3"/>
  <c r="H908" i="3"/>
  <c r="G908" i="3"/>
  <c r="W973" i="3"/>
  <c r="H973" i="3"/>
  <c r="G973" i="3"/>
  <c r="AA968" i="3"/>
  <c r="Z969" i="3"/>
  <c r="W909" i="3"/>
  <c r="G909" i="3"/>
  <c r="H909" i="3"/>
  <c r="AA904" i="3"/>
  <c r="Z905" i="3"/>
  <c r="W708" i="3"/>
  <c r="G708" i="3"/>
  <c r="H708" i="3"/>
  <c r="W816" i="3"/>
  <c r="G816" i="3"/>
  <c r="H816" i="3"/>
  <c r="W920" i="3"/>
  <c r="H920" i="3"/>
  <c r="G920" i="3"/>
  <c r="W971" i="3"/>
  <c r="G971" i="3"/>
  <c r="H971" i="3"/>
  <c r="AA966" i="3"/>
  <c r="Z967" i="3"/>
  <c r="W907" i="3"/>
  <c r="H907" i="3"/>
  <c r="G907" i="3"/>
  <c r="Z903" i="3"/>
  <c r="AA902" i="3"/>
  <c r="AA759" i="3"/>
  <c r="Z760" i="3"/>
  <c r="W700" i="3"/>
  <c r="H700" i="3"/>
  <c r="G700" i="3"/>
  <c r="W912" i="3"/>
  <c r="G912" i="3"/>
  <c r="H912" i="3"/>
  <c r="Z876" i="3"/>
  <c r="AA875" i="3"/>
  <c r="W958" i="3"/>
  <c r="H958" i="3"/>
  <c r="G958" i="3"/>
  <c r="AA953" i="3"/>
  <c r="Z954" i="3"/>
  <c r="W894" i="3"/>
  <c r="H894" i="3"/>
  <c r="G894" i="3"/>
  <c r="Z890" i="3"/>
  <c r="AA889" i="3"/>
  <c r="Z865" i="3"/>
  <c r="AA864" i="3"/>
  <c r="Z708" i="3"/>
  <c r="AA707" i="3"/>
  <c r="W945" i="3"/>
  <c r="H945" i="3"/>
  <c r="G945" i="3"/>
  <c r="Z941" i="3"/>
  <c r="AA940" i="3"/>
  <c r="W881" i="3"/>
  <c r="H881" i="3"/>
  <c r="G881" i="3"/>
  <c r="Z877" i="3"/>
  <c r="AA876" i="3"/>
  <c r="W852" i="3"/>
  <c r="G852" i="3"/>
  <c r="H852" i="3"/>
  <c r="Z654" i="3"/>
  <c r="AA653" i="3"/>
  <c r="AB653" i="3" s="1"/>
  <c r="AA827" i="3"/>
  <c r="Z828" i="3"/>
  <c r="W704" i="3"/>
  <c r="H704" i="3"/>
  <c r="G704" i="3"/>
  <c r="W847" i="3"/>
  <c r="H847" i="3"/>
  <c r="G847" i="3"/>
  <c r="AA842" i="3"/>
  <c r="Z843" i="3"/>
  <c r="W783" i="3"/>
  <c r="G783" i="3"/>
  <c r="H783" i="3"/>
  <c r="Z779" i="3"/>
  <c r="AA778" i="3"/>
  <c r="W719" i="3"/>
  <c r="G719" i="3"/>
  <c r="H719" i="3"/>
  <c r="AA714" i="3"/>
  <c r="Z715" i="3"/>
  <c r="AA633" i="3"/>
  <c r="Z634" i="3"/>
  <c r="W850" i="3"/>
  <c r="H850" i="3"/>
  <c r="G850" i="3"/>
  <c r="AA845" i="3"/>
  <c r="Z846" i="3"/>
  <c r="W786" i="3"/>
  <c r="H786" i="3"/>
  <c r="G786" i="3"/>
  <c r="AA781" i="3"/>
  <c r="Z782" i="3"/>
  <c r="W722" i="3"/>
  <c r="H722" i="3"/>
  <c r="G722" i="3"/>
  <c r="Z718" i="3"/>
  <c r="AA717" i="3"/>
  <c r="Z646" i="3"/>
  <c r="AA645" i="3"/>
  <c r="W861" i="3"/>
  <c r="H861" i="3"/>
  <c r="G861" i="3"/>
  <c r="Z857" i="3"/>
  <c r="AA856" i="3"/>
  <c r="W797" i="3"/>
  <c r="G797" i="3"/>
  <c r="H797" i="3"/>
  <c r="AA792" i="3"/>
  <c r="Z793" i="3"/>
  <c r="W733" i="3"/>
  <c r="G733" i="3"/>
  <c r="H733" i="3"/>
  <c r="Z729" i="3"/>
  <c r="AA728" i="3"/>
  <c r="W630" i="3"/>
  <c r="G630" i="3"/>
  <c r="H630" i="3"/>
  <c r="W819" i="3"/>
  <c r="G819" i="3"/>
  <c r="H819" i="3"/>
  <c r="Z815" i="3"/>
  <c r="AA814" i="3"/>
  <c r="W755" i="3"/>
  <c r="H755" i="3"/>
  <c r="G755" i="3"/>
  <c r="AA750" i="3"/>
  <c r="Z751" i="3"/>
  <c r="W691" i="3"/>
  <c r="H691" i="3"/>
  <c r="G691" i="3"/>
  <c r="Z687" i="3"/>
  <c r="AA686" i="3"/>
  <c r="W822" i="3"/>
  <c r="H822" i="3"/>
  <c r="G822" i="3"/>
  <c r="Z818" i="3"/>
  <c r="AA817" i="3"/>
  <c r="W758" i="3"/>
  <c r="G758" i="3"/>
  <c r="H758" i="3"/>
  <c r="Z754" i="3"/>
  <c r="AA753" i="3"/>
  <c r="W694" i="3"/>
  <c r="G694" i="3"/>
  <c r="H694" i="3"/>
  <c r="Z690" i="3"/>
  <c r="AA689" i="3"/>
  <c r="W825" i="3"/>
  <c r="G825" i="3"/>
  <c r="H825" i="3"/>
  <c r="AA820" i="3"/>
  <c r="Z821" i="3"/>
  <c r="W761" i="3"/>
  <c r="G761" i="3"/>
  <c r="H761" i="3"/>
  <c r="Z757" i="3"/>
  <c r="AA756" i="3"/>
  <c r="W697" i="3"/>
  <c r="G697" i="3"/>
  <c r="H697" i="3"/>
  <c r="Z693" i="3"/>
  <c r="AA692" i="3"/>
  <c r="W677" i="3"/>
  <c r="G677" i="3"/>
  <c r="H677" i="3"/>
  <c r="AA672" i="3"/>
  <c r="Z673" i="3"/>
  <c r="W613" i="3"/>
  <c r="G613" i="3"/>
  <c r="H613" i="3"/>
  <c r="AA608" i="3"/>
  <c r="Z609" i="3"/>
  <c r="Z573" i="3"/>
  <c r="AA572" i="3"/>
  <c r="W648" i="3"/>
  <c r="G648" i="3"/>
  <c r="H648" i="3"/>
  <c r="AA643" i="3"/>
  <c r="Z644" i="3"/>
  <c r="W635" i="3"/>
  <c r="H635" i="3"/>
  <c r="G635" i="3"/>
  <c r="AA630" i="3"/>
  <c r="Z631" i="3"/>
  <c r="W665" i="3"/>
  <c r="G665" i="3"/>
  <c r="H665" i="3"/>
  <c r="AA660" i="3"/>
  <c r="Z661" i="3"/>
  <c r="W601" i="3"/>
  <c r="G601" i="3"/>
  <c r="H601" i="3"/>
  <c r="W676" i="3"/>
  <c r="H676" i="3"/>
  <c r="G676" i="3"/>
  <c r="AA671" i="3"/>
  <c r="Z672" i="3"/>
  <c r="W612" i="3"/>
  <c r="H612" i="3"/>
  <c r="G612" i="3"/>
  <c r="AA607" i="3"/>
  <c r="Z608" i="3"/>
  <c r="AA568" i="3"/>
  <c r="Z569" i="3"/>
  <c r="W647" i="3"/>
  <c r="H647" i="3"/>
  <c r="G647" i="3"/>
  <c r="AA642" i="3"/>
  <c r="Z643" i="3"/>
  <c r="W584" i="3"/>
  <c r="H584" i="3"/>
  <c r="G584" i="3"/>
  <c r="AA579" i="3"/>
  <c r="Z580" i="3"/>
  <c r="Z497" i="3"/>
  <c r="AA496" i="3"/>
  <c r="W555" i="3"/>
  <c r="G555" i="3"/>
  <c r="H555" i="3"/>
  <c r="Z551" i="3"/>
  <c r="AA550" i="3"/>
  <c r="W590" i="3"/>
  <c r="G590" i="3"/>
  <c r="H590" i="3"/>
  <c r="AA585" i="3"/>
  <c r="Z586" i="3"/>
  <c r="W526" i="3"/>
  <c r="G526" i="3"/>
  <c r="H526" i="3"/>
  <c r="G461" i="3"/>
  <c r="W461" i="3"/>
  <c r="H461" i="3"/>
  <c r="W596" i="3"/>
  <c r="G596" i="3"/>
  <c r="H596" i="3"/>
  <c r="AA591" i="3"/>
  <c r="Z592" i="3"/>
  <c r="W532" i="3"/>
  <c r="G532" i="3"/>
  <c r="H532" i="3"/>
  <c r="AA527" i="3"/>
  <c r="Z528" i="3"/>
  <c r="W485" i="3"/>
  <c r="H485" i="3"/>
  <c r="G485" i="3"/>
  <c r="W583" i="3"/>
  <c r="G583" i="3"/>
  <c r="H583" i="3"/>
  <c r="AA578" i="3"/>
  <c r="Z579" i="3"/>
  <c r="AA492" i="3"/>
  <c r="Z493" i="3"/>
  <c r="W594" i="3"/>
  <c r="H594" i="3"/>
  <c r="G594" i="3"/>
  <c r="Z590" i="3"/>
  <c r="AA589" i="3"/>
  <c r="W530" i="3"/>
  <c r="H530" i="3"/>
  <c r="G530" i="3"/>
  <c r="Z526" i="3"/>
  <c r="AA525" i="3"/>
  <c r="W477" i="3"/>
  <c r="H477" i="3"/>
  <c r="G477" i="3"/>
  <c r="W500" i="3"/>
  <c r="G500" i="3"/>
  <c r="H500" i="3"/>
  <c r="Z496" i="3"/>
  <c r="AA495" i="3"/>
  <c r="W511" i="3"/>
  <c r="G511" i="3"/>
  <c r="H511" i="3"/>
  <c r="Z507" i="3"/>
  <c r="AA506" i="3"/>
  <c r="H447" i="3"/>
  <c r="G447" i="3"/>
  <c r="W447" i="3"/>
  <c r="G458" i="3"/>
  <c r="H458" i="3"/>
  <c r="W458" i="3"/>
  <c r="AA453" i="3"/>
  <c r="Z454" i="3"/>
  <c r="AA375" i="3"/>
  <c r="Z376" i="3"/>
  <c r="Z524" i="3"/>
  <c r="AA523" i="3"/>
  <c r="H464" i="3"/>
  <c r="W464" i="3"/>
  <c r="G464" i="3"/>
  <c r="AA459" i="3"/>
  <c r="Z460" i="3"/>
  <c r="Z400" i="3"/>
  <c r="AA399" i="3"/>
  <c r="W475" i="3"/>
  <c r="G475" i="3"/>
  <c r="H475" i="3"/>
  <c r="AA470" i="3"/>
  <c r="Z471" i="3"/>
  <c r="Z444" i="3"/>
  <c r="AA443" i="3"/>
  <c r="W384" i="3"/>
  <c r="G384" i="3"/>
  <c r="H384" i="3"/>
  <c r="AA355" i="3"/>
  <c r="Z356" i="3"/>
  <c r="W486" i="3"/>
  <c r="H486" i="3"/>
  <c r="G486" i="3"/>
  <c r="AA481" i="3"/>
  <c r="Z482" i="3"/>
  <c r="H428" i="3"/>
  <c r="G428" i="3"/>
  <c r="W428" i="3"/>
  <c r="G419" i="3"/>
  <c r="H419" i="3"/>
  <c r="W419" i="3"/>
  <c r="Z415" i="3"/>
  <c r="AA414" i="3"/>
  <c r="H430" i="3"/>
  <c r="W430" i="3"/>
  <c r="G430" i="3"/>
  <c r="Z426" i="3"/>
  <c r="AA425" i="3"/>
  <c r="W441" i="3"/>
  <c r="H441" i="3"/>
  <c r="G441" i="3"/>
  <c r="Z437" i="3"/>
  <c r="AA436" i="3"/>
  <c r="G377" i="3"/>
  <c r="H377" i="3"/>
  <c r="W377" i="3"/>
  <c r="AA372" i="3"/>
  <c r="Z373" i="3"/>
  <c r="AA327" i="3"/>
  <c r="Z328" i="3"/>
  <c r="AA442" i="3"/>
  <c r="Z443" i="3"/>
  <c r="G383" i="3"/>
  <c r="W383" i="3"/>
  <c r="H383" i="3"/>
  <c r="Z379" i="3"/>
  <c r="AA378" i="3"/>
  <c r="Z352" i="3"/>
  <c r="AA351" i="3"/>
  <c r="Z292" i="3"/>
  <c r="AA291" i="3"/>
  <c r="G394" i="3"/>
  <c r="H394" i="3"/>
  <c r="W394" i="3"/>
  <c r="AA389" i="3"/>
  <c r="Z390" i="3"/>
  <c r="G336" i="3"/>
  <c r="H336" i="3"/>
  <c r="W336" i="3"/>
  <c r="G445" i="3"/>
  <c r="W445" i="3"/>
  <c r="H445" i="3"/>
  <c r="Z441" i="3"/>
  <c r="AA440" i="3"/>
  <c r="G381" i="3"/>
  <c r="H381" i="3"/>
  <c r="W381" i="3"/>
  <c r="AA376" i="3"/>
  <c r="Z377" i="3"/>
  <c r="Z344" i="3"/>
  <c r="AA343" i="3"/>
  <c r="H331" i="3"/>
  <c r="G331" i="3"/>
  <c r="W331" i="3"/>
  <c r="AA326" i="3"/>
  <c r="Z327" i="3"/>
  <c r="W260" i="3"/>
  <c r="H260" i="3"/>
  <c r="G260" i="3"/>
  <c r="W342" i="3"/>
  <c r="H342" i="3"/>
  <c r="G342" i="3"/>
  <c r="Z338" i="3"/>
  <c r="AA337" i="3"/>
  <c r="Z284" i="3"/>
  <c r="AA283" i="3"/>
  <c r="G329" i="3"/>
  <c r="W329" i="3"/>
  <c r="H329" i="3"/>
  <c r="Z325" i="3"/>
  <c r="AA324" i="3"/>
  <c r="G252" i="3"/>
  <c r="W252" i="3"/>
  <c r="H252" i="3"/>
  <c r="G335" i="3"/>
  <c r="W335" i="3"/>
  <c r="H335" i="3"/>
  <c r="AA330" i="3"/>
  <c r="Z331" i="3"/>
  <c r="H276" i="3"/>
  <c r="W276" i="3"/>
  <c r="G276" i="3"/>
  <c r="G346" i="3"/>
  <c r="H346" i="3"/>
  <c r="W346" i="3"/>
  <c r="Z342" i="3"/>
  <c r="AA341" i="3"/>
  <c r="W333" i="3"/>
  <c r="G333" i="3"/>
  <c r="H333" i="3"/>
  <c r="AA328" i="3"/>
  <c r="Z329" i="3"/>
  <c r="W268" i="3"/>
  <c r="G268" i="3"/>
  <c r="H268" i="3"/>
  <c r="G243" i="3"/>
  <c r="H243" i="3"/>
  <c r="W243" i="3"/>
  <c r="Z239" i="3"/>
  <c r="AA238" i="3"/>
  <c r="AA163" i="3"/>
  <c r="Z164" i="3"/>
  <c r="H270" i="3"/>
  <c r="G270" i="3"/>
  <c r="W270" i="3"/>
  <c r="Z266" i="3"/>
  <c r="AA265" i="3"/>
  <c r="W204" i="3"/>
  <c r="G204" i="3"/>
  <c r="H204" i="3"/>
  <c r="G225" i="3"/>
  <c r="H225" i="3"/>
  <c r="W225" i="3"/>
  <c r="AA220" i="3"/>
  <c r="Z221" i="3"/>
  <c r="Z291" i="3"/>
  <c r="AA290" i="3"/>
  <c r="W231" i="3"/>
  <c r="G231" i="3"/>
  <c r="H231" i="3"/>
  <c r="AA226" i="3"/>
  <c r="Z227" i="3"/>
  <c r="G242" i="3"/>
  <c r="H242" i="3"/>
  <c r="W242" i="3"/>
  <c r="AA237" i="3"/>
  <c r="Z238" i="3"/>
  <c r="AA207" i="3"/>
  <c r="Z208" i="3"/>
  <c r="W253" i="3"/>
  <c r="G253" i="3"/>
  <c r="H253" i="3"/>
  <c r="Z249" i="3"/>
  <c r="AA248" i="3"/>
  <c r="G167" i="3"/>
  <c r="H167" i="3"/>
  <c r="W167" i="3"/>
  <c r="AA162" i="3"/>
  <c r="Z163" i="3"/>
  <c r="AA154" i="3"/>
  <c r="Z155" i="3"/>
  <c r="W116" i="3"/>
  <c r="G116" i="3"/>
  <c r="H116" i="3"/>
  <c r="H186" i="3"/>
  <c r="G186" i="3"/>
  <c r="W186" i="3"/>
  <c r="AA181" i="3"/>
  <c r="Z182" i="3"/>
  <c r="Z136" i="3"/>
  <c r="AA135" i="3"/>
  <c r="H189" i="3"/>
  <c r="W189" i="3"/>
  <c r="G189" i="3"/>
  <c r="AA184" i="3"/>
  <c r="Z185" i="3"/>
  <c r="Z148" i="3"/>
  <c r="AA147" i="3"/>
  <c r="G190" i="3"/>
  <c r="W190" i="3"/>
  <c r="H190" i="3"/>
  <c r="AA185" i="3"/>
  <c r="Z186" i="3"/>
  <c r="G152" i="3"/>
  <c r="H152" i="3"/>
  <c r="W152" i="3"/>
  <c r="H122" i="3"/>
  <c r="W122" i="3"/>
  <c r="G122" i="3"/>
  <c r="H149" i="3"/>
  <c r="G149" i="3"/>
  <c r="W149" i="3"/>
  <c r="AA144" i="3"/>
  <c r="Z145" i="3"/>
  <c r="W38" i="3"/>
  <c r="G38" i="3"/>
  <c r="H38" i="3"/>
  <c r="G123" i="3"/>
  <c r="H123" i="3"/>
  <c r="W123" i="3"/>
  <c r="Z107" i="3"/>
  <c r="AA106" i="3"/>
  <c r="H87" i="3"/>
  <c r="W87" i="3"/>
  <c r="G87" i="3"/>
  <c r="H142" i="3"/>
  <c r="W142" i="3"/>
  <c r="G142" i="3"/>
  <c r="AA137" i="3"/>
  <c r="Z138" i="3"/>
  <c r="G94" i="3"/>
  <c r="W94" i="3"/>
  <c r="H94" i="3"/>
  <c r="Z90" i="3"/>
  <c r="AA89" i="3"/>
  <c r="Z85" i="3"/>
  <c r="AA84" i="3"/>
  <c r="G113" i="3"/>
  <c r="W113" i="3"/>
  <c r="H113" i="3"/>
  <c r="AA108" i="3"/>
  <c r="Z109" i="3"/>
  <c r="Z76" i="3"/>
  <c r="AA75" i="3"/>
  <c r="AA117" i="3"/>
  <c r="Z118" i="3"/>
  <c r="H81" i="3"/>
  <c r="W81" i="3"/>
  <c r="G81" i="3"/>
  <c r="H101" i="3"/>
  <c r="G101" i="3"/>
  <c r="W101" i="3"/>
  <c r="AA96" i="3"/>
  <c r="Z97" i="3"/>
  <c r="W104" i="3"/>
  <c r="H104" i="3"/>
  <c r="G104" i="3"/>
  <c r="Z100" i="3"/>
  <c r="AA99" i="3"/>
  <c r="H44" i="3"/>
  <c r="W44" i="3"/>
  <c r="G44" i="3"/>
  <c r="W40" i="3"/>
  <c r="G40" i="3"/>
  <c r="H40" i="3"/>
  <c r="W46" i="3"/>
  <c r="G46" i="3"/>
  <c r="H46" i="3"/>
  <c r="G60" i="3"/>
  <c r="H60" i="3"/>
  <c r="W60" i="3"/>
  <c r="H52" i="3"/>
  <c r="G52" i="3"/>
  <c r="W52" i="3"/>
  <c r="H63" i="3"/>
  <c r="W63" i="3"/>
  <c r="G63" i="3"/>
  <c r="Z49" i="3"/>
  <c r="AA48" i="3"/>
  <c r="W66" i="3"/>
  <c r="G66" i="3"/>
  <c r="H66" i="3"/>
  <c r="AA61" i="3"/>
  <c r="Z62" i="3"/>
  <c r="Z59" i="3"/>
  <c r="AA58" i="3"/>
  <c r="Z55" i="3"/>
  <c r="AA54" i="3"/>
  <c r="AB54" i="3" s="1"/>
  <c r="W57" i="3"/>
  <c r="H57" i="3"/>
  <c r="G57" i="3"/>
  <c r="Z53" i="3"/>
  <c r="AA52" i="3"/>
  <c r="AB52" i="3" s="1"/>
  <c r="W871" i="3"/>
  <c r="G871" i="3"/>
  <c r="H871" i="3"/>
  <c r="W906" i="3"/>
  <c r="G906" i="3"/>
  <c r="H906" i="3"/>
  <c r="AA947" i="3"/>
  <c r="Z948" i="3"/>
  <c r="W956" i="3"/>
  <c r="H956" i="3"/>
  <c r="G956" i="3"/>
  <c r="W936" i="3"/>
  <c r="H936" i="3"/>
  <c r="G936" i="3"/>
  <c r="W943" i="3"/>
  <c r="H943" i="3"/>
  <c r="G943" i="3"/>
  <c r="W879" i="3"/>
  <c r="G879" i="3"/>
  <c r="H879" i="3"/>
  <c r="Z875" i="3"/>
  <c r="AA874" i="3"/>
  <c r="W844" i="3"/>
  <c r="G844" i="3"/>
  <c r="H844" i="3"/>
  <c r="W994" i="3"/>
  <c r="H994" i="3"/>
  <c r="G994" i="3"/>
  <c r="Z926" i="3"/>
  <c r="AA925" i="3"/>
  <c r="W866" i="3"/>
  <c r="H866" i="3"/>
  <c r="G866" i="3"/>
  <c r="AA851" i="3"/>
  <c r="Z852" i="3"/>
  <c r="W792" i="3"/>
  <c r="H792" i="3"/>
  <c r="G792" i="3"/>
  <c r="W916" i="3"/>
  <c r="G916" i="3"/>
  <c r="H916" i="3"/>
  <c r="W997" i="3"/>
  <c r="H997" i="3"/>
  <c r="G997" i="3"/>
  <c r="AA992" i="3"/>
  <c r="Z993" i="3"/>
  <c r="W933" i="3"/>
  <c r="H933" i="3"/>
  <c r="G933" i="3"/>
  <c r="AA928" i="3"/>
  <c r="Z929" i="3"/>
  <c r="W869" i="3"/>
  <c r="H869" i="3"/>
  <c r="G869" i="3"/>
  <c r="AA863" i="3"/>
  <c r="Z864" i="3"/>
  <c r="W804" i="3"/>
  <c r="H804" i="3"/>
  <c r="G804" i="3"/>
  <c r="AA747" i="3"/>
  <c r="Z748" i="3"/>
  <c r="W688" i="3"/>
  <c r="H688" i="3"/>
  <c r="G688" i="3"/>
  <c r="W904" i="3"/>
  <c r="G904" i="3"/>
  <c r="H904" i="3"/>
  <c r="G995" i="3"/>
  <c r="W995" i="3"/>
  <c r="H995" i="3"/>
  <c r="AA990" i="3"/>
  <c r="Z991" i="3"/>
  <c r="W931" i="3"/>
  <c r="G931" i="3"/>
  <c r="H931" i="3"/>
  <c r="AA926" i="3"/>
  <c r="Z927" i="3"/>
  <c r="W867" i="3"/>
  <c r="H867" i="3"/>
  <c r="G867" i="3"/>
  <c r="AA855" i="3"/>
  <c r="AB855" i="3" s="1"/>
  <c r="Z856" i="3"/>
  <c r="W796" i="3"/>
  <c r="H796" i="3"/>
  <c r="G796" i="3"/>
  <c r="W896" i="3"/>
  <c r="H896" i="3"/>
  <c r="G896" i="3"/>
  <c r="W982" i="3"/>
  <c r="H982" i="3"/>
  <c r="G982" i="3"/>
  <c r="AA977" i="3"/>
  <c r="Z978" i="3"/>
  <c r="W918" i="3"/>
  <c r="G918" i="3"/>
  <c r="H918" i="3"/>
  <c r="AA913" i="3"/>
  <c r="Z914" i="3"/>
  <c r="Z804" i="3"/>
  <c r="AA803" i="3"/>
  <c r="W744" i="3"/>
  <c r="H744" i="3"/>
  <c r="G744" i="3"/>
  <c r="AA915" i="3"/>
  <c r="Z916" i="3"/>
  <c r="W969" i="3"/>
  <c r="G969" i="3"/>
  <c r="H969" i="3"/>
  <c r="Z965" i="3"/>
  <c r="AA964" i="3"/>
  <c r="W905" i="3"/>
  <c r="H905" i="3"/>
  <c r="G905" i="3"/>
  <c r="AA900" i="3"/>
  <c r="Z901" i="3"/>
  <c r="Z752" i="3"/>
  <c r="AA751" i="3"/>
  <c r="W692" i="3"/>
  <c r="G692" i="3"/>
  <c r="H692" i="3"/>
  <c r="Z888" i="3"/>
  <c r="AA887" i="3"/>
  <c r="W807" i="3"/>
  <c r="H807" i="3"/>
  <c r="G807" i="3"/>
  <c r="Z803" i="3"/>
  <c r="AA802" i="3"/>
  <c r="W743" i="3"/>
  <c r="G743" i="3"/>
  <c r="H743" i="3"/>
  <c r="AA738" i="3"/>
  <c r="Z739" i="3"/>
  <c r="W670" i="3"/>
  <c r="G670" i="3"/>
  <c r="H670" i="3"/>
  <c r="W810" i="3"/>
  <c r="G810" i="3"/>
  <c r="H810" i="3"/>
  <c r="AA805" i="3"/>
  <c r="Z806" i="3"/>
  <c r="W746" i="3"/>
  <c r="H746" i="3"/>
  <c r="G746" i="3"/>
  <c r="Z742" i="3"/>
  <c r="AA741" i="3"/>
  <c r="W533" i="3"/>
  <c r="G533" i="3"/>
  <c r="H533" i="3"/>
  <c r="W821" i="3"/>
  <c r="G821" i="3"/>
  <c r="H821" i="3"/>
  <c r="Z817" i="3"/>
  <c r="AA816" i="3"/>
  <c r="W757" i="3"/>
  <c r="G757" i="3"/>
  <c r="H757" i="3"/>
  <c r="Z753" i="3"/>
  <c r="AA752" i="3"/>
  <c r="W693" i="3"/>
  <c r="G693" i="3"/>
  <c r="H693" i="3"/>
  <c r="Z689" i="3"/>
  <c r="AB689" i="3" s="1"/>
  <c r="AA688" i="3"/>
  <c r="W683" i="3"/>
  <c r="G683" i="3"/>
  <c r="H683" i="3"/>
  <c r="Z606" i="3"/>
  <c r="AA605" i="3"/>
  <c r="W843" i="3"/>
  <c r="H843" i="3"/>
  <c r="G843" i="3"/>
  <c r="AA838" i="3"/>
  <c r="Z839" i="3"/>
  <c r="W779" i="3"/>
  <c r="H779" i="3"/>
  <c r="G779" i="3"/>
  <c r="AA774" i="3"/>
  <c r="Z775" i="3"/>
  <c r="W715" i="3"/>
  <c r="G715" i="3"/>
  <c r="H715" i="3"/>
  <c r="Z711" i="3"/>
  <c r="AA710" i="3"/>
  <c r="AA617" i="3"/>
  <c r="Z618" i="3"/>
  <c r="W846" i="3"/>
  <c r="G846" i="3"/>
  <c r="H846" i="3"/>
  <c r="Z842" i="3"/>
  <c r="AA841" i="3"/>
  <c r="W782" i="3"/>
  <c r="G782" i="3"/>
  <c r="H782" i="3"/>
  <c r="Z778" i="3"/>
  <c r="AA777" i="3"/>
  <c r="W718" i="3"/>
  <c r="H718" i="3"/>
  <c r="G718" i="3"/>
  <c r="Z714" i="3"/>
  <c r="AA713" i="3"/>
  <c r="Z630" i="3"/>
  <c r="AA629" i="3"/>
  <c r="W849" i="3"/>
  <c r="H849" i="3"/>
  <c r="G849" i="3"/>
  <c r="Z845" i="3"/>
  <c r="AA844" i="3"/>
  <c r="W785" i="3"/>
  <c r="G785" i="3"/>
  <c r="H785" i="3"/>
  <c r="Z781" i="3"/>
  <c r="AA780" i="3"/>
  <c r="W721" i="3"/>
  <c r="H721" i="3"/>
  <c r="G721" i="3"/>
  <c r="Z717" i="3"/>
  <c r="AA716" i="3"/>
  <c r="AB716" i="3" s="1"/>
  <c r="Z642" i="3"/>
  <c r="AA641" i="3"/>
  <c r="AA621" i="3"/>
  <c r="Z622" i="3"/>
  <c r="W637" i="3"/>
  <c r="G637" i="3"/>
  <c r="H637" i="3"/>
  <c r="AA632" i="3"/>
  <c r="Z633" i="3"/>
  <c r="W672" i="3"/>
  <c r="G672" i="3"/>
  <c r="H672" i="3"/>
  <c r="AA667" i="3"/>
  <c r="Z668" i="3"/>
  <c r="W608" i="3"/>
  <c r="H608" i="3"/>
  <c r="G608" i="3"/>
  <c r="AA603" i="3"/>
  <c r="Z604" i="3"/>
  <c r="AA552" i="3"/>
  <c r="Z553" i="3"/>
  <c r="W659" i="3"/>
  <c r="H659" i="3"/>
  <c r="G659" i="3"/>
  <c r="AA654" i="3"/>
  <c r="Z655" i="3"/>
  <c r="W625" i="3"/>
  <c r="H625" i="3"/>
  <c r="G625" i="3"/>
  <c r="Z621" i="3"/>
  <c r="AA620" i="3"/>
  <c r="AA600" i="3"/>
  <c r="Z601" i="3"/>
  <c r="W561" i="3"/>
  <c r="G561" i="3"/>
  <c r="H561" i="3"/>
  <c r="AA435" i="3"/>
  <c r="Z436" i="3"/>
  <c r="W636" i="3"/>
  <c r="H636" i="3"/>
  <c r="G636" i="3"/>
  <c r="Z632" i="3"/>
  <c r="AA631" i="3"/>
  <c r="W671" i="3"/>
  <c r="H671" i="3"/>
  <c r="G671" i="3"/>
  <c r="Z667" i="3"/>
  <c r="AA666" i="3"/>
  <c r="W607" i="3"/>
  <c r="H607" i="3"/>
  <c r="G607" i="3"/>
  <c r="AA602" i="3"/>
  <c r="Z603" i="3"/>
  <c r="AA548" i="3"/>
  <c r="AB548" i="3" s="1"/>
  <c r="Z549" i="3"/>
  <c r="W544" i="3"/>
  <c r="H544" i="3"/>
  <c r="G544" i="3"/>
  <c r="Z540" i="3"/>
  <c r="AA539" i="3"/>
  <c r="W524" i="3"/>
  <c r="H524" i="3"/>
  <c r="G524" i="3"/>
  <c r="W579" i="3"/>
  <c r="G579" i="3"/>
  <c r="H579" i="3"/>
  <c r="Z575" i="3"/>
  <c r="AA574" i="3"/>
  <c r="Z477" i="3"/>
  <c r="AA476" i="3"/>
  <c r="G408" i="3"/>
  <c r="W408" i="3"/>
  <c r="H408" i="3"/>
  <c r="W550" i="3"/>
  <c r="H550" i="3"/>
  <c r="G550" i="3"/>
  <c r="Z546" i="3"/>
  <c r="AA545" i="3"/>
  <c r="W556" i="3"/>
  <c r="H556" i="3"/>
  <c r="G556" i="3"/>
  <c r="Z552" i="3"/>
  <c r="AA551" i="3"/>
  <c r="W543" i="3"/>
  <c r="G543" i="3"/>
  <c r="H543" i="3"/>
  <c r="Z539" i="3"/>
  <c r="AA538" i="3"/>
  <c r="W522" i="3"/>
  <c r="G522" i="3"/>
  <c r="H522" i="3"/>
  <c r="W554" i="3"/>
  <c r="G554" i="3"/>
  <c r="H554" i="3"/>
  <c r="Z550" i="3"/>
  <c r="AA549" i="3"/>
  <c r="H460" i="3"/>
  <c r="G460" i="3"/>
  <c r="W460" i="3"/>
  <c r="AA455" i="3"/>
  <c r="Z456" i="3"/>
  <c r="Z384" i="3"/>
  <c r="AA383" i="3"/>
  <c r="G471" i="3"/>
  <c r="H471" i="3"/>
  <c r="W471" i="3"/>
  <c r="AA466" i="3"/>
  <c r="Z467" i="3"/>
  <c r="AA427" i="3"/>
  <c r="Z428" i="3"/>
  <c r="H482" i="3"/>
  <c r="W482" i="3"/>
  <c r="G482" i="3"/>
  <c r="AA477" i="3"/>
  <c r="Z478" i="3"/>
  <c r="G412" i="3"/>
  <c r="W412" i="3"/>
  <c r="H412" i="3"/>
  <c r="G488" i="3"/>
  <c r="H488" i="3"/>
  <c r="W488" i="3"/>
  <c r="AA483" i="3"/>
  <c r="Z484" i="3"/>
  <c r="H436" i="3"/>
  <c r="G436" i="3"/>
  <c r="W436" i="3"/>
  <c r="W499" i="3"/>
  <c r="G499" i="3"/>
  <c r="H499" i="3"/>
  <c r="Z495" i="3"/>
  <c r="AA494" i="3"/>
  <c r="AA183" i="3"/>
  <c r="Z184" i="3"/>
  <c r="W510" i="3"/>
  <c r="G510" i="3"/>
  <c r="H510" i="3"/>
  <c r="AA505" i="3"/>
  <c r="AB505" i="3" s="1"/>
  <c r="Z506" i="3"/>
  <c r="G443" i="3"/>
  <c r="H443" i="3"/>
  <c r="W443" i="3"/>
  <c r="AA438" i="3"/>
  <c r="Z439" i="3"/>
  <c r="W379" i="3"/>
  <c r="G379" i="3"/>
  <c r="H379" i="3"/>
  <c r="Z375" i="3"/>
  <c r="AA374" i="3"/>
  <c r="Z336" i="3"/>
  <c r="AA335" i="3"/>
  <c r="G390" i="3"/>
  <c r="W390" i="3"/>
  <c r="H390" i="3"/>
  <c r="Z386" i="3"/>
  <c r="AA385" i="3"/>
  <c r="G320" i="3"/>
  <c r="H320" i="3"/>
  <c r="W320" i="3"/>
  <c r="W401" i="3"/>
  <c r="H401" i="3"/>
  <c r="G401" i="3"/>
  <c r="AA396" i="3"/>
  <c r="AB396" i="3" s="1"/>
  <c r="Z397" i="3"/>
  <c r="G364" i="3"/>
  <c r="H364" i="3"/>
  <c r="W364" i="3"/>
  <c r="G407" i="3"/>
  <c r="H407" i="3"/>
  <c r="W407" i="3"/>
  <c r="Z403" i="3"/>
  <c r="AA402" i="3"/>
  <c r="W418" i="3"/>
  <c r="G418" i="3"/>
  <c r="H418" i="3"/>
  <c r="Z414" i="3"/>
  <c r="AA413" i="3"/>
  <c r="H405" i="3"/>
  <c r="G405" i="3"/>
  <c r="W405" i="3"/>
  <c r="Z401" i="3"/>
  <c r="AA400" i="3"/>
  <c r="Z260" i="3"/>
  <c r="AA259" i="3"/>
  <c r="H355" i="3"/>
  <c r="G355" i="3"/>
  <c r="W355" i="3"/>
  <c r="Z351" i="3"/>
  <c r="AA350" i="3"/>
  <c r="H366" i="3"/>
  <c r="G366" i="3"/>
  <c r="W366" i="3"/>
  <c r="Z362" i="3"/>
  <c r="AA361" i="3"/>
  <c r="H302" i="3"/>
  <c r="W302" i="3"/>
  <c r="G302" i="3"/>
  <c r="AA297" i="3"/>
  <c r="Z298" i="3"/>
  <c r="G353" i="3"/>
  <c r="H353" i="3"/>
  <c r="W353" i="3"/>
  <c r="AA348" i="3"/>
  <c r="Z349" i="3"/>
  <c r="H359" i="3"/>
  <c r="W359" i="3"/>
  <c r="G359" i="3"/>
  <c r="AA354" i="3"/>
  <c r="Z355" i="3"/>
  <c r="H295" i="3"/>
  <c r="G295" i="3"/>
  <c r="W295" i="3"/>
  <c r="AA167" i="3"/>
  <c r="Z168" i="3"/>
  <c r="AA365" i="3"/>
  <c r="Z366" i="3"/>
  <c r="G306" i="3"/>
  <c r="H306" i="3"/>
  <c r="W306" i="3"/>
  <c r="AA301" i="3"/>
  <c r="Z302" i="3"/>
  <c r="AA219" i="3"/>
  <c r="Z220" i="3"/>
  <c r="H357" i="3"/>
  <c r="W357" i="3"/>
  <c r="G357" i="3"/>
  <c r="AA352" i="3"/>
  <c r="Z353" i="3"/>
  <c r="H205" i="3"/>
  <c r="W205" i="3"/>
  <c r="G205" i="3"/>
  <c r="W267" i="3"/>
  <c r="H267" i="3"/>
  <c r="G267" i="3"/>
  <c r="AA262" i="3"/>
  <c r="Z263" i="3"/>
  <c r="AA160" i="3"/>
  <c r="Z161" i="3"/>
  <c r="Z290" i="3"/>
  <c r="AA289" i="3"/>
  <c r="W230" i="3"/>
  <c r="G230" i="3"/>
  <c r="H230" i="3"/>
  <c r="AA225" i="3"/>
  <c r="Z226" i="3"/>
  <c r="H249" i="3"/>
  <c r="G249" i="3"/>
  <c r="W249" i="3"/>
  <c r="Z245" i="3"/>
  <c r="AA244" i="3"/>
  <c r="Z188" i="3"/>
  <c r="AA187" i="3"/>
  <c r="G255" i="3"/>
  <c r="W255" i="3"/>
  <c r="H255" i="3"/>
  <c r="Z251" i="3"/>
  <c r="AA250" i="3"/>
  <c r="W266" i="3"/>
  <c r="H266" i="3"/>
  <c r="G266" i="3"/>
  <c r="Z262" i="3"/>
  <c r="AA261" i="3"/>
  <c r="G196" i="3"/>
  <c r="W196" i="3"/>
  <c r="H196" i="3"/>
  <c r="G277" i="3"/>
  <c r="H277" i="3"/>
  <c r="W277" i="3"/>
  <c r="Z273" i="3"/>
  <c r="AA272" i="3"/>
  <c r="W213" i="3"/>
  <c r="H213" i="3"/>
  <c r="G213" i="3"/>
  <c r="AA208" i="3"/>
  <c r="Z209" i="3"/>
  <c r="H191" i="3"/>
  <c r="G191" i="3"/>
  <c r="W191" i="3"/>
  <c r="Z187" i="3"/>
  <c r="AA186" i="3"/>
  <c r="AA111" i="3"/>
  <c r="Z112" i="3"/>
  <c r="AA205" i="3"/>
  <c r="Z206" i="3"/>
  <c r="W179" i="3"/>
  <c r="G179" i="3"/>
  <c r="H179" i="3"/>
  <c r="Z175" i="3"/>
  <c r="AA174" i="3"/>
  <c r="G91" i="3"/>
  <c r="H91" i="3"/>
  <c r="W91" i="3"/>
  <c r="G185" i="3"/>
  <c r="H185" i="3"/>
  <c r="W185" i="3"/>
  <c r="AA180" i="3"/>
  <c r="Z181" i="3"/>
  <c r="AA131" i="3"/>
  <c r="AB131" i="3" s="1"/>
  <c r="Z132" i="3"/>
  <c r="W143" i="3"/>
  <c r="G143" i="3"/>
  <c r="H143" i="3"/>
  <c r="AA138" i="3"/>
  <c r="Z139" i="3"/>
  <c r="G146" i="3"/>
  <c r="W146" i="3"/>
  <c r="H146" i="3"/>
  <c r="AA141" i="3"/>
  <c r="Z142" i="3"/>
  <c r="AA90" i="3"/>
  <c r="Z91" i="3"/>
  <c r="G147" i="3"/>
  <c r="H147" i="3"/>
  <c r="W147" i="3"/>
  <c r="AA142" i="3"/>
  <c r="Z143" i="3"/>
  <c r="AA161" i="3"/>
  <c r="Z162" i="3"/>
  <c r="W145" i="3"/>
  <c r="G145" i="3"/>
  <c r="H145" i="3"/>
  <c r="AA140" i="3"/>
  <c r="Z141" i="3"/>
  <c r="W45" i="3"/>
  <c r="G45" i="3"/>
  <c r="AA120" i="3"/>
  <c r="Z121" i="3"/>
  <c r="H77" i="3"/>
  <c r="W77" i="3"/>
  <c r="G77" i="3"/>
  <c r="G22" i="3"/>
  <c r="W22" i="3"/>
  <c r="H22" i="3"/>
  <c r="Z84" i="3"/>
  <c r="AA83" i="3"/>
  <c r="AA23" i="3"/>
  <c r="Z24" i="3"/>
  <c r="W78" i="3"/>
  <c r="G78" i="3"/>
  <c r="H78" i="3"/>
  <c r="Z74" i="3"/>
  <c r="AA73" i="3"/>
  <c r="AA19" i="3"/>
  <c r="Z20" i="3"/>
  <c r="AA25" i="3"/>
  <c r="Z26" i="3"/>
  <c r="W84" i="3"/>
  <c r="G84" i="3"/>
  <c r="H84" i="3"/>
  <c r="AA79" i="3"/>
  <c r="Z80" i="3"/>
  <c r="Z32" i="3"/>
  <c r="AA31" i="3"/>
  <c r="Z83" i="3"/>
  <c r="AA82" i="3"/>
  <c r="W37" i="3"/>
  <c r="G37" i="3"/>
  <c r="H37" i="3"/>
  <c r="Z44" i="3"/>
  <c r="AA43" i="3"/>
  <c r="G23" i="3"/>
  <c r="H23" i="3"/>
  <c r="W23" i="3"/>
  <c r="AA18" i="3"/>
  <c r="Z19" i="3"/>
  <c r="G26" i="3"/>
  <c r="W26" i="3"/>
  <c r="H26" i="3"/>
  <c r="AA21" i="3"/>
  <c r="Z22" i="3"/>
  <c r="H19" i="3"/>
  <c r="W19" i="3"/>
  <c r="G19" i="3"/>
  <c r="Z15" i="3"/>
  <c r="AA14" i="3"/>
  <c r="G17" i="3"/>
  <c r="W17" i="3"/>
  <c r="H17" i="3"/>
  <c r="AA12" i="3"/>
  <c r="Z13" i="3"/>
  <c r="AA983" i="3"/>
  <c r="Z984" i="3"/>
  <c r="AA991" i="3"/>
  <c r="Z992" i="3"/>
  <c r="AA978" i="3"/>
  <c r="Z979" i="3"/>
  <c r="W748" i="3"/>
  <c r="H748" i="3"/>
  <c r="G748" i="3"/>
  <c r="W944" i="3"/>
  <c r="H944" i="3"/>
  <c r="G944" i="3"/>
  <c r="Z996" i="3"/>
  <c r="AA995" i="3"/>
  <c r="Z990" i="3"/>
  <c r="AA989" i="3"/>
  <c r="W948" i="3"/>
  <c r="H948" i="3"/>
  <c r="G948" i="3"/>
  <c r="W884" i="3"/>
  <c r="G884" i="3"/>
  <c r="H884" i="3"/>
  <c r="Z764" i="3"/>
  <c r="AA763" i="3"/>
  <c r="W967" i="3"/>
  <c r="H967" i="3"/>
  <c r="G967" i="3"/>
  <c r="AA962" i="3"/>
  <c r="Z963" i="3"/>
  <c r="W903" i="3"/>
  <c r="G903" i="3"/>
  <c r="H903" i="3"/>
  <c r="Z899" i="3"/>
  <c r="AA898" i="3"/>
  <c r="AB898" i="3" s="1"/>
  <c r="Z744" i="3"/>
  <c r="AA743" i="3"/>
  <c r="W684" i="3"/>
  <c r="H684" i="3"/>
  <c r="G684" i="3"/>
  <c r="W954" i="3"/>
  <c r="H954" i="3"/>
  <c r="G954" i="3"/>
  <c r="Z950" i="3"/>
  <c r="AA949" i="3"/>
  <c r="W890" i="3"/>
  <c r="H890" i="3"/>
  <c r="G890" i="3"/>
  <c r="Z886" i="3"/>
  <c r="AA885" i="3"/>
  <c r="AA691" i="3"/>
  <c r="Z692" i="3"/>
  <c r="W957" i="3"/>
  <c r="H957" i="3"/>
  <c r="G957" i="3"/>
  <c r="AA952" i="3"/>
  <c r="Z953" i="3"/>
  <c r="W893" i="3"/>
  <c r="H893" i="3"/>
  <c r="G893" i="3"/>
  <c r="AA888" i="3"/>
  <c r="Z889" i="3"/>
  <c r="AA703" i="3"/>
  <c r="Z704" i="3"/>
  <c r="AA811" i="3"/>
  <c r="Z812" i="3"/>
  <c r="W955" i="3"/>
  <c r="H955" i="3"/>
  <c r="G955" i="3"/>
  <c r="AA950" i="3"/>
  <c r="Z951" i="3"/>
  <c r="W891" i="3"/>
  <c r="H891" i="3"/>
  <c r="G891" i="3"/>
  <c r="AA886" i="3"/>
  <c r="Z887" i="3"/>
  <c r="AA695" i="3"/>
  <c r="Z696" i="3"/>
  <c r="AA883" i="3"/>
  <c r="Z884" i="3"/>
  <c r="W872" i="3"/>
  <c r="G872" i="3"/>
  <c r="H872" i="3"/>
  <c r="W942" i="3"/>
  <c r="G942" i="3"/>
  <c r="H942" i="3"/>
  <c r="AA937" i="3"/>
  <c r="Z938" i="3"/>
  <c r="W878" i="3"/>
  <c r="G878" i="3"/>
  <c r="H878" i="3"/>
  <c r="AA873" i="3"/>
  <c r="Z874" i="3"/>
  <c r="W840" i="3"/>
  <c r="H840" i="3"/>
  <c r="G840" i="3"/>
  <c r="W993" i="3"/>
  <c r="H993" i="3"/>
  <c r="G993" i="3"/>
  <c r="Z989" i="3"/>
  <c r="AA988" i="3"/>
  <c r="W929" i="3"/>
  <c r="H929" i="3"/>
  <c r="G929" i="3"/>
  <c r="Z925" i="3"/>
  <c r="AA924" i="3"/>
  <c r="W865" i="3"/>
  <c r="H865" i="3"/>
  <c r="G865" i="3"/>
  <c r="AA847" i="3"/>
  <c r="Z848" i="3"/>
  <c r="W788" i="3"/>
  <c r="H788" i="3"/>
  <c r="G788" i="3"/>
  <c r="AA699" i="3"/>
  <c r="Z700" i="3"/>
  <c r="W831" i="3"/>
  <c r="G831" i="3"/>
  <c r="H831" i="3"/>
  <c r="AA826" i="3"/>
  <c r="Z827" i="3"/>
  <c r="W767" i="3"/>
  <c r="G767" i="3"/>
  <c r="H767" i="3"/>
  <c r="AA762" i="3"/>
  <c r="Z763" i="3"/>
  <c r="W703" i="3"/>
  <c r="H703" i="3"/>
  <c r="G703" i="3"/>
  <c r="Z699" i="3"/>
  <c r="AA698" i="3"/>
  <c r="W834" i="3"/>
  <c r="G834" i="3"/>
  <c r="H834" i="3"/>
  <c r="Z830" i="3"/>
  <c r="AA829" i="3"/>
  <c r="W770" i="3"/>
  <c r="G770" i="3"/>
  <c r="H770" i="3"/>
  <c r="Z766" i="3"/>
  <c r="AA765" i="3"/>
  <c r="W706" i="3"/>
  <c r="H706" i="3"/>
  <c r="G706" i="3"/>
  <c r="AA701" i="3"/>
  <c r="Z702" i="3"/>
  <c r="W845" i="3"/>
  <c r="G845" i="3"/>
  <c r="H845" i="3"/>
  <c r="AA840" i="3"/>
  <c r="Z841" i="3"/>
  <c r="W781" i="3"/>
  <c r="H781" i="3"/>
  <c r="G781" i="3"/>
  <c r="AA776" i="3"/>
  <c r="Z777" i="3"/>
  <c r="W717" i="3"/>
  <c r="H717" i="3"/>
  <c r="G717" i="3"/>
  <c r="AA712" i="3"/>
  <c r="Z713" i="3"/>
  <c r="Z626" i="3"/>
  <c r="AA625" i="3"/>
  <c r="W642" i="3"/>
  <c r="H642" i="3"/>
  <c r="G642" i="3"/>
  <c r="AA862" i="3"/>
  <c r="Z863" i="3"/>
  <c r="W803" i="3"/>
  <c r="G803" i="3"/>
  <c r="H803" i="3"/>
  <c r="AA798" i="3"/>
  <c r="Z799" i="3"/>
  <c r="W739" i="3"/>
  <c r="G739" i="3"/>
  <c r="H739" i="3"/>
  <c r="AA734" i="3"/>
  <c r="Z735" i="3"/>
  <c r="W654" i="3"/>
  <c r="H654" i="3"/>
  <c r="G654" i="3"/>
  <c r="W806" i="3"/>
  <c r="G806" i="3"/>
  <c r="H806" i="3"/>
  <c r="Z802" i="3"/>
  <c r="AA801" i="3"/>
  <c r="W742" i="3"/>
  <c r="H742" i="3"/>
  <c r="G742" i="3"/>
  <c r="AA737" i="3"/>
  <c r="Z738" i="3"/>
  <c r="W666" i="3"/>
  <c r="H666" i="3"/>
  <c r="G666" i="3"/>
  <c r="W809" i="3"/>
  <c r="H809" i="3"/>
  <c r="G809" i="3"/>
  <c r="AA804" i="3"/>
  <c r="Z805" i="3"/>
  <c r="W745" i="3"/>
  <c r="H745" i="3"/>
  <c r="G745" i="3"/>
  <c r="Z741" i="3"/>
  <c r="AA740" i="3"/>
  <c r="W678" i="3"/>
  <c r="G678" i="3"/>
  <c r="H678" i="3"/>
  <c r="W661" i="3"/>
  <c r="G661" i="3"/>
  <c r="H661" i="3"/>
  <c r="AA656" i="3"/>
  <c r="Z657" i="3"/>
  <c r="AA468" i="3"/>
  <c r="Z469" i="3"/>
  <c r="W632" i="3"/>
  <c r="H632" i="3"/>
  <c r="G632" i="3"/>
  <c r="Z628" i="3"/>
  <c r="AA627" i="3"/>
  <c r="W589" i="3"/>
  <c r="H589" i="3"/>
  <c r="G589" i="3"/>
  <c r="Z679" i="3"/>
  <c r="AA678" i="3"/>
  <c r="W619" i="3"/>
  <c r="G619" i="3"/>
  <c r="H619" i="3"/>
  <c r="AA614" i="3"/>
  <c r="Z615" i="3"/>
  <c r="AA596" i="3"/>
  <c r="Z597" i="3"/>
  <c r="W537" i="3"/>
  <c r="H537" i="3"/>
  <c r="G537" i="3"/>
  <c r="W505" i="3"/>
  <c r="G505" i="3"/>
  <c r="H505" i="3"/>
  <c r="W649" i="3"/>
  <c r="G649" i="3"/>
  <c r="H649" i="3"/>
  <c r="AA644" i="3"/>
  <c r="Z645" i="3"/>
  <c r="W660" i="3"/>
  <c r="G660" i="3"/>
  <c r="H660" i="3"/>
  <c r="AA655" i="3"/>
  <c r="Z656" i="3"/>
  <c r="AA452" i="3"/>
  <c r="Z453" i="3"/>
  <c r="W631" i="3"/>
  <c r="H631" i="3"/>
  <c r="G631" i="3"/>
  <c r="AA626" i="3"/>
  <c r="Z627" i="3"/>
  <c r="W585" i="3"/>
  <c r="H585" i="3"/>
  <c r="G585" i="3"/>
  <c r="W568" i="3"/>
  <c r="H568" i="3"/>
  <c r="G568" i="3"/>
  <c r="AA563" i="3"/>
  <c r="Z564" i="3"/>
  <c r="AA598" i="3"/>
  <c r="Z599" i="3"/>
  <c r="W539" i="3"/>
  <c r="G539" i="3"/>
  <c r="H539" i="3"/>
  <c r="AA534" i="3"/>
  <c r="Z535" i="3"/>
  <c r="W513" i="3"/>
  <c r="G513" i="3"/>
  <c r="H513" i="3"/>
  <c r="W574" i="3"/>
  <c r="G574" i="3"/>
  <c r="H574" i="3"/>
  <c r="AA569" i="3"/>
  <c r="Z570" i="3"/>
  <c r="Z457" i="3"/>
  <c r="AA456" i="3"/>
  <c r="W580" i="3"/>
  <c r="G580" i="3"/>
  <c r="H580" i="3"/>
  <c r="AA575" i="3"/>
  <c r="Z576" i="3"/>
  <c r="Z481" i="3"/>
  <c r="AA480" i="3"/>
  <c r="G424" i="3"/>
  <c r="H424" i="3"/>
  <c r="W424" i="3"/>
  <c r="G248" i="3"/>
  <c r="H248" i="3"/>
  <c r="W248" i="3"/>
  <c r="W567" i="3"/>
  <c r="H567" i="3"/>
  <c r="G567" i="3"/>
  <c r="Z563" i="3"/>
  <c r="AA562" i="3"/>
  <c r="W578" i="3"/>
  <c r="H578" i="3"/>
  <c r="G578" i="3"/>
  <c r="Z574" i="3"/>
  <c r="AA573" i="3"/>
  <c r="Z473" i="3"/>
  <c r="AA472" i="3"/>
  <c r="H392" i="3"/>
  <c r="G392" i="3"/>
  <c r="W392" i="3"/>
  <c r="W484" i="3"/>
  <c r="H484" i="3"/>
  <c r="G484" i="3"/>
  <c r="AA479" i="3"/>
  <c r="Z480" i="3"/>
  <c r="H420" i="3"/>
  <c r="G420" i="3"/>
  <c r="W420" i="3"/>
  <c r="G495" i="3"/>
  <c r="H495" i="3"/>
  <c r="W495" i="3"/>
  <c r="AA490" i="3"/>
  <c r="Z491" i="3"/>
  <c r="W360" i="3"/>
  <c r="H360" i="3"/>
  <c r="G360" i="3"/>
  <c r="H506" i="3"/>
  <c r="W506" i="3"/>
  <c r="G506" i="3"/>
  <c r="AA501" i="3"/>
  <c r="Z502" i="3"/>
  <c r="W512" i="3"/>
  <c r="H512" i="3"/>
  <c r="G512" i="3"/>
  <c r="AA507" i="3"/>
  <c r="Z508" i="3"/>
  <c r="W448" i="3"/>
  <c r="G448" i="3"/>
  <c r="H448" i="3"/>
  <c r="W523" i="3"/>
  <c r="H523" i="3"/>
  <c r="G523" i="3"/>
  <c r="Z519" i="3"/>
  <c r="AA518" i="3"/>
  <c r="H459" i="3"/>
  <c r="G459" i="3"/>
  <c r="W459" i="3"/>
  <c r="AA454" i="3"/>
  <c r="Z455" i="3"/>
  <c r="Z380" i="3"/>
  <c r="AA379" i="3"/>
  <c r="G470" i="3"/>
  <c r="H470" i="3"/>
  <c r="W470" i="3"/>
  <c r="AA465" i="3"/>
  <c r="Z466" i="3"/>
  <c r="AA423" i="3"/>
  <c r="Z424" i="3"/>
  <c r="H403" i="3"/>
  <c r="G403" i="3"/>
  <c r="W403" i="3"/>
  <c r="Z399" i="3"/>
  <c r="AA398" i="3"/>
  <c r="AA227" i="3"/>
  <c r="Z228" i="3"/>
  <c r="H414" i="3"/>
  <c r="G414" i="3"/>
  <c r="W414" i="3"/>
  <c r="AA409" i="3"/>
  <c r="Z410" i="3"/>
  <c r="H425" i="3"/>
  <c r="W425" i="3"/>
  <c r="G425" i="3"/>
  <c r="Z421" i="3"/>
  <c r="AA420" i="3"/>
  <c r="H264" i="3"/>
  <c r="W264" i="3"/>
  <c r="G264" i="3"/>
  <c r="G431" i="3"/>
  <c r="W431" i="3"/>
  <c r="H431" i="3"/>
  <c r="AA426" i="3"/>
  <c r="Z427" i="3"/>
  <c r="H197" i="3"/>
  <c r="G197" i="3"/>
  <c r="W197" i="3"/>
  <c r="W442" i="3"/>
  <c r="H442" i="3"/>
  <c r="G442" i="3"/>
  <c r="AA437" i="3"/>
  <c r="Z438" i="3"/>
  <c r="H378" i="3"/>
  <c r="G378" i="3"/>
  <c r="W378" i="3"/>
  <c r="AA373" i="3"/>
  <c r="Z374" i="3"/>
  <c r="Z332" i="3"/>
  <c r="AA331" i="3"/>
  <c r="W429" i="3"/>
  <c r="G429" i="3"/>
  <c r="H429" i="3"/>
  <c r="Z425" i="3"/>
  <c r="AA424" i="3"/>
  <c r="G315" i="3"/>
  <c r="W315" i="3"/>
  <c r="H315" i="3"/>
  <c r="AA310" i="3"/>
  <c r="Z311" i="3"/>
  <c r="AA255" i="3"/>
  <c r="Z256" i="3"/>
  <c r="G172" i="3"/>
  <c r="H172" i="3"/>
  <c r="W172" i="3"/>
  <c r="H326" i="3"/>
  <c r="G326" i="3"/>
  <c r="W326" i="3"/>
  <c r="AA321" i="3"/>
  <c r="Z322" i="3"/>
  <c r="H240" i="3"/>
  <c r="G240" i="3"/>
  <c r="W240" i="3"/>
  <c r="H313" i="3"/>
  <c r="G313" i="3"/>
  <c r="W313" i="3"/>
  <c r="AA308" i="3"/>
  <c r="Z309" i="3"/>
  <c r="AA247" i="3"/>
  <c r="Z248" i="3"/>
  <c r="G319" i="3"/>
  <c r="H319" i="3"/>
  <c r="W319" i="3"/>
  <c r="AA314" i="3"/>
  <c r="Z315" i="3"/>
  <c r="AA271" i="3"/>
  <c r="Z272" i="3"/>
  <c r="G212" i="3"/>
  <c r="W212" i="3"/>
  <c r="H212" i="3"/>
  <c r="G330" i="3"/>
  <c r="H330" i="3"/>
  <c r="W330" i="3"/>
  <c r="AA325" i="3"/>
  <c r="Z326" i="3"/>
  <c r="G256" i="3"/>
  <c r="W256" i="3"/>
  <c r="H256" i="3"/>
  <c r="W317" i="3"/>
  <c r="H317" i="3"/>
  <c r="G317" i="3"/>
  <c r="Z313" i="3"/>
  <c r="AA312" i="3"/>
  <c r="Z264" i="3"/>
  <c r="AA263" i="3"/>
  <c r="Z201" i="3"/>
  <c r="AA200" i="3"/>
  <c r="G227" i="3"/>
  <c r="H227" i="3"/>
  <c r="W227" i="3"/>
  <c r="AA222" i="3"/>
  <c r="Z223" i="3"/>
  <c r="W156" i="3"/>
  <c r="H156" i="3"/>
  <c r="G156" i="3"/>
  <c r="G254" i="3"/>
  <c r="H254" i="3"/>
  <c r="W254" i="3"/>
  <c r="Z250" i="3"/>
  <c r="AA249" i="3"/>
  <c r="W273" i="3"/>
  <c r="H273" i="3"/>
  <c r="G273" i="3"/>
  <c r="Z269" i="3"/>
  <c r="AA268" i="3"/>
  <c r="G209" i="3"/>
  <c r="H209" i="3"/>
  <c r="W209" i="3"/>
  <c r="G279" i="3"/>
  <c r="H279" i="3"/>
  <c r="W279" i="3"/>
  <c r="Z275" i="3"/>
  <c r="AA274" i="3"/>
  <c r="G215" i="3"/>
  <c r="H215" i="3"/>
  <c r="W215" i="3"/>
  <c r="Z211" i="3"/>
  <c r="AA210" i="3"/>
  <c r="Z128" i="3"/>
  <c r="AA127" i="3"/>
  <c r="G290" i="3"/>
  <c r="W290" i="3"/>
  <c r="H290" i="3"/>
  <c r="AA285" i="3"/>
  <c r="Z286" i="3"/>
  <c r="W226" i="3"/>
  <c r="G226" i="3"/>
  <c r="H226" i="3"/>
  <c r="AA221" i="3"/>
  <c r="Z222" i="3"/>
  <c r="H237" i="3"/>
  <c r="W237" i="3"/>
  <c r="G237" i="3"/>
  <c r="Z233" i="3"/>
  <c r="AA232" i="3"/>
  <c r="W207" i="3"/>
  <c r="H207" i="3"/>
  <c r="G207" i="3"/>
  <c r="Z158" i="3"/>
  <c r="AA157" i="3"/>
  <c r="G170" i="3"/>
  <c r="W170" i="3"/>
  <c r="H170" i="3"/>
  <c r="Z166" i="3"/>
  <c r="AA165" i="3"/>
  <c r="G173" i="3"/>
  <c r="H173" i="3"/>
  <c r="W173" i="3"/>
  <c r="Z169" i="3"/>
  <c r="AA168" i="3"/>
  <c r="G203" i="3"/>
  <c r="H203" i="3"/>
  <c r="W203" i="3"/>
  <c r="Z199" i="3"/>
  <c r="AA198" i="3"/>
  <c r="G157" i="3"/>
  <c r="H157" i="3"/>
  <c r="W157" i="3"/>
  <c r="G144" i="3"/>
  <c r="W144" i="3"/>
  <c r="H144" i="3"/>
  <c r="H174" i="3"/>
  <c r="W174" i="3"/>
  <c r="G174" i="3"/>
  <c r="AA169" i="3"/>
  <c r="Z170" i="3"/>
  <c r="Z79" i="3"/>
  <c r="AA78" i="3"/>
  <c r="Z205" i="3"/>
  <c r="AA204" i="3"/>
  <c r="G69" i="3"/>
  <c r="H69" i="3"/>
  <c r="W69" i="3"/>
  <c r="W133" i="3"/>
  <c r="G133" i="3"/>
  <c r="H133" i="3"/>
  <c r="AA128" i="3"/>
  <c r="Z129" i="3"/>
  <c r="W126" i="3"/>
  <c r="G126" i="3"/>
  <c r="H126" i="3"/>
  <c r="G121" i="3"/>
  <c r="H121" i="3"/>
  <c r="W121" i="3"/>
  <c r="W99" i="3"/>
  <c r="G99" i="3"/>
  <c r="H99" i="3"/>
  <c r="G119" i="3"/>
  <c r="H119" i="3"/>
  <c r="W119" i="3"/>
  <c r="Z41" i="3"/>
  <c r="AA40" i="3"/>
  <c r="W97" i="3"/>
  <c r="H97" i="3"/>
  <c r="G97" i="3"/>
  <c r="AA92" i="3"/>
  <c r="Z93" i="3"/>
  <c r="AA80" i="3"/>
  <c r="Z81" i="3"/>
  <c r="AA103" i="3"/>
  <c r="Z104" i="3"/>
  <c r="G106" i="3"/>
  <c r="W106" i="3"/>
  <c r="H106" i="3"/>
  <c r="Z102" i="3"/>
  <c r="AA101" i="3"/>
  <c r="H85" i="3"/>
  <c r="G85" i="3"/>
  <c r="W85" i="3"/>
  <c r="AA17" i="3"/>
  <c r="Z18" i="3"/>
  <c r="H88" i="3"/>
  <c r="W88" i="3"/>
  <c r="G88" i="3"/>
  <c r="G12" i="3"/>
  <c r="H12" i="3"/>
  <c r="W12" i="3"/>
  <c r="H8" i="3"/>
  <c r="G8" i="3"/>
  <c r="W8" i="3"/>
  <c r="W14" i="3"/>
  <c r="G14" i="3"/>
  <c r="H14" i="3"/>
  <c r="H20" i="3"/>
  <c r="G20" i="3"/>
  <c r="W20" i="3"/>
  <c r="Z17" i="3"/>
  <c r="AA16" i="3"/>
  <c r="W32" i="3"/>
  <c r="H32" i="3"/>
  <c r="G32" i="3"/>
  <c r="H47" i="3"/>
  <c r="W47" i="3"/>
  <c r="G47" i="3"/>
  <c r="Z43" i="3"/>
  <c r="AA42" i="3"/>
  <c r="G50" i="3"/>
  <c r="W50" i="3"/>
  <c r="H50" i="3"/>
  <c r="Z46" i="3"/>
  <c r="AA45" i="3"/>
  <c r="H43" i="3"/>
  <c r="W43" i="3"/>
  <c r="G43" i="3"/>
  <c r="AA38" i="3"/>
  <c r="Z39" i="3"/>
  <c r="W41" i="3"/>
  <c r="G41" i="3"/>
  <c r="H41" i="3"/>
  <c r="AA36" i="3"/>
  <c r="Z37" i="3"/>
  <c r="AB8" i="3" l="1"/>
  <c r="AB321" i="3"/>
  <c r="AB695" i="3"/>
  <c r="AB152" i="3"/>
  <c r="AB911" i="3"/>
  <c r="AB165" i="3"/>
  <c r="AB274" i="3"/>
  <c r="AB198" i="3"/>
  <c r="AB465" i="3"/>
  <c r="AB394" i="3"/>
  <c r="AB937" i="3"/>
  <c r="AB557" i="3"/>
  <c r="AB679" i="3"/>
  <c r="AB462" i="3"/>
  <c r="AB227" i="3"/>
  <c r="AB190" i="3"/>
  <c r="AB381" i="3"/>
  <c r="AB723" i="3"/>
  <c r="AB337" i="3"/>
  <c r="AB879" i="3"/>
  <c r="AB346" i="3"/>
  <c r="AB370" i="3"/>
  <c r="AB944" i="3"/>
  <c r="AB738" i="3"/>
  <c r="AB70" i="3"/>
  <c r="AB801" i="3"/>
  <c r="AB880" i="3"/>
  <c r="AB533" i="3"/>
  <c r="AB788" i="3"/>
  <c r="AB680" i="3"/>
  <c r="AB65" i="3"/>
  <c r="AB61" i="3"/>
  <c r="AB423" i="3"/>
  <c r="N3" i="3"/>
  <c r="Q4" i="3"/>
  <c r="W4" i="3" s="1"/>
  <c r="L3" i="3"/>
  <c r="M3" i="3"/>
  <c r="F19" i="1" s="1"/>
  <c r="AB78" i="3"/>
  <c r="AB127" i="3"/>
  <c r="AB518" i="3"/>
  <c r="AB888" i="3"/>
  <c r="AB437" i="3"/>
  <c r="AB873" i="3"/>
  <c r="AB666" i="3"/>
  <c r="AB913" i="3"/>
  <c r="AB698" i="3"/>
  <c r="AB701" i="3"/>
  <c r="AB765" i="3"/>
  <c r="AB504" i="3"/>
  <c r="AB534" i="3"/>
  <c r="AB740" i="3"/>
  <c r="AB604" i="3"/>
  <c r="AB977" i="3"/>
  <c r="AB592" i="3"/>
  <c r="AB854" i="3"/>
  <c r="AB156" i="3"/>
  <c r="AB229" i="3"/>
  <c r="AB726" i="3"/>
  <c r="AB468" i="3"/>
  <c r="AB111" i="3"/>
  <c r="AB600" i="3"/>
  <c r="AB814" i="3"/>
  <c r="AB146" i="3"/>
  <c r="AB235" i="3"/>
  <c r="AB923" i="3"/>
  <c r="AB108" i="3"/>
  <c r="AB960" i="3"/>
  <c r="AB851" i="3"/>
  <c r="AB774" i="3"/>
  <c r="AB210" i="3"/>
  <c r="AB776" i="3"/>
  <c r="AB335" i="3"/>
  <c r="AB545" i="3"/>
  <c r="AB543" i="3"/>
  <c r="AB167" i="3"/>
  <c r="AB525" i="3"/>
  <c r="AB486" i="3"/>
  <c r="AB932" i="3"/>
  <c r="AB818" i="3"/>
  <c r="AB105" i="3"/>
  <c r="AB432" i="3"/>
  <c r="AB69" i="3"/>
  <c r="AB530" i="3"/>
  <c r="AB259" i="3"/>
  <c r="AB73" i="3"/>
  <c r="AB42" i="3"/>
  <c r="AB271" i="3"/>
  <c r="AB268" i="3"/>
  <c r="AB573" i="3"/>
  <c r="AB847" i="3"/>
  <c r="AB21" i="3"/>
  <c r="AB31" i="3"/>
  <c r="AB208" i="3"/>
  <c r="AB135" i="3"/>
  <c r="AB492" i="3"/>
  <c r="AB844" i="3"/>
  <c r="AB985" i="3"/>
  <c r="AB975" i="3"/>
  <c r="AB588" i="3"/>
  <c r="AB790" i="3"/>
  <c r="AB247" i="3"/>
  <c r="AB452" i="3"/>
  <c r="AB678" i="3"/>
  <c r="AB82" i="3"/>
  <c r="AB838" i="3"/>
  <c r="AB688" i="3"/>
  <c r="AB194" i="3"/>
  <c r="AB568" i="3"/>
  <c r="R18" i="1" a="1"/>
  <c r="AB569" i="3"/>
  <c r="AB614" i="3"/>
  <c r="AB96" i="3"/>
  <c r="AB755" i="3"/>
  <c r="AB28" i="3"/>
  <c r="AB429" i="3"/>
  <c r="AB907" i="3"/>
  <c r="AB581" i="3"/>
  <c r="AB625" i="3"/>
  <c r="AB261" i="3"/>
  <c r="AB299" i="3"/>
  <c r="AD18" i="1" a="1"/>
  <c r="AB551" i="3"/>
  <c r="AB780" i="3"/>
  <c r="AB806" i="3"/>
  <c r="AB372" i="3"/>
  <c r="AB178" i="3"/>
  <c r="AB804" i="3"/>
  <c r="AB140" i="3"/>
  <c r="AB361" i="3"/>
  <c r="AB623" i="3"/>
  <c r="AB232" i="3"/>
  <c r="AB420" i="3"/>
  <c r="AB383" i="3"/>
  <c r="AB144" i="3"/>
  <c r="AB442" i="3"/>
  <c r="AB527" i="3"/>
  <c r="AB607" i="3"/>
  <c r="AB920" i="3"/>
  <c r="AB196" i="3"/>
  <c r="AB663" i="3"/>
  <c r="AB103" i="3"/>
  <c r="AB330" i="3"/>
  <c r="AB575" i="3"/>
  <c r="AB476" i="3"/>
  <c r="AB710" i="3"/>
  <c r="AB440" i="3"/>
  <c r="AB413" i="3"/>
  <c r="AB735" i="3"/>
  <c r="AB924" i="3"/>
  <c r="AB400" i="3"/>
  <c r="AB523" i="3"/>
  <c r="AB820" i="3"/>
  <c r="AB147" i="3"/>
  <c r="AB16" i="3"/>
  <c r="AB562" i="3"/>
  <c r="AB827" i="3"/>
  <c r="AB467" i="3"/>
  <c r="AB306" i="3"/>
  <c r="AB253" i="3"/>
  <c r="AB36" i="3"/>
  <c r="AB204" i="3"/>
  <c r="AB348" i="3"/>
  <c r="AB641" i="3"/>
  <c r="AB376" i="3"/>
  <c r="AB807" i="3"/>
  <c r="AB831" i="3"/>
  <c r="AB115" i="3"/>
  <c r="AB405" i="3"/>
  <c r="AB475" i="3"/>
  <c r="AB464" i="3"/>
  <c r="AB49" i="3"/>
  <c r="AB921" i="3"/>
  <c r="AB364" i="3"/>
  <c r="AB658" i="3"/>
  <c r="AB379" i="3"/>
  <c r="AB14" i="3"/>
  <c r="AB578" i="3"/>
  <c r="AB277" i="3"/>
  <c r="AB537" i="3"/>
  <c r="AB958" i="3"/>
  <c r="AB154" i="3"/>
  <c r="AB90" i="3"/>
  <c r="AB435" i="3"/>
  <c r="AB845" i="3"/>
  <c r="AB964" i="3"/>
  <c r="AB99" i="3"/>
  <c r="A29" i="1" a="1"/>
  <c r="A36" i="1" s="1"/>
  <c r="AB312" i="3"/>
  <c r="AB373" i="3"/>
  <c r="AB301" i="3"/>
  <c r="AB402" i="3"/>
  <c r="AB980" i="3"/>
  <c r="AB583" i="3"/>
  <c r="AB883" i="3"/>
  <c r="AB207" i="3"/>
  <c r="AB660" i="3"/>
  <c r="AB775" i="3"/>
  <c r="AB48" i="3"/>
  <c r="AB447" i="3"/>
  <c r="L5" i="3"/>
  <c r="D56" i="1" s="1"/>
  <c r="AB891" i="3"/>
  <c r="AB445" i="3"/>
  <c r="AB536" i="3"/>
  <c r="K5" i="3"/>
  <c r="D67" i="1" s="1"/>
  <c r="AB168" i="3"/>
  <c r="AB120" i="3"/>
  <c r="AB947" i="3"/>
  <c r="AB669" i="3"/>
  <c r="AB339" i="3"/>
  <c r="AB823" i="3"/>
  <c r="AB332" i="3"/>
  <c r="AB308" i="3"/>
  <c r="AB737" i="3"/>
  <c r="AB224" i="3"/>
  <c r="AB978" i="3"/>
  <c r="AB981" i="3"/>
  <c r="AB106" i="3"/>
  <c r="AB691" i="3"/>
  <c r="AB365" i="3"/>
  <c r="AB75" i="3"/>
  <c r="AB876" i="3"/>
  <c r="AB966" i="3"/>
  <c r="AB300" i="3"/>
  <c r="AB25" i="3"/>
  <c r="AB169" i="3"/>
  <c r="AB409" i="3"/>
  <c r="AB629" i="3"/>
  <c r="AB988" i="3"/>
  <c r="AB949" i="3"/>
  <c r="AB962" i="3"/>
  <c r="AB32" i="3"/>
  <c r="AB174" i="3"/>
  <c r="AB538" i="3"/>
  <c r="AB237" i="3"/>
  <c r="AB356" i="3"/>
  <c r="AB470" i="3"/>
  <c r="AB728" i="3"/>
  <c r="AB940" i="3"/>
  <c r="AB153" i="3"/>
  <c r="AB33" i="3"/>
  <c r="AB236" i="3"/>
  <c r="AB520" i="3"/>
  <c r="AB171" i="3"/>
  <c r="AB451" i="3"/>
  <c r="AB664" i="3"/>
  <c r="AB896" i="3"/>
  <c r="AB45" i="3"/>
  <c r="AB798" i="3"/>
  <c r="AB605" i="3"/>
  <c r="AB418" i="3"/>
  <c r="AB521" i="3"/>
  <c r="AB647" i="3"/>
  <c r="AB77" i="3"/>
  <c r="AB281" i="3"/>
  <c r="AB87" i="3"/>
  <c r="AB783" i="3"/>
  <c r="AB126" i="3"/>
  <c r="AB192" i="3"/>
  <c r="AB157" i="3"/>
  <c r="AB811" i="3"/>
  <c r="AB350" i="3"/>
  <c r="AB333" i="3"/>
  <c r="AB408" i="3"/>
  <c r="AB910" i="3"/>
  <c r="AB385" i="3"/>
  <c r="AB560" i="3"/>
  <c r="AB652" i="3"/>
  <c r="AB686" i="3"/>
  <c r="AB554" i="3"/>
  <c r="AB509" i="3"/>
  <c r="AB221" i="3"/>
  <c r="AB596" i="3"/>
  <c r="AB416" i="3"/>
  <c r="AB316" i="3"/>
  <c r="AB360" i="3"/>
  <c r="AB387" i="3"/>
  <c r="AB200" i="3"/>
  <c r="AB180" i="3"/>
  <c r="AB186" i="3"/>
  <c r="AB354" i="3"/>
  <c r="AB620" i="3"/>
  <c r="AB617" i="3"/>
  <c r="AB915" i="3"/>
  <c r="AB137" i="3"/>
  <c r="AB589" i="3"/>
  <c r="AB585" i="3"/>
  <c r="AB904" i="3"/>
  <c r="AB113" i="3"/>
  <c r="AB304" i="3"/>
  <c r="AB67" i="3"/>
  <c r="AB295" i="3"/>
  <c r="AB123" i="3"/>
  <c r="AB594" i="3"/>
  <c r="AB434" i="3"/>
  <c r="AB1000" i="3"/>
  <c r="AB283" i="3"/>
  <c r="AB572" i="3"/>
  <c r="AB750" i="3"/>
  <c r="AB843" i="3"/>
  <c r="AB759" i="3"/>
  <c r="AB942" i="3"/>
  <c r="AB217" i="3"/>
  <c r="AB340" i="3"/>
  <c r="AB512" i="3"/>
  <c r="AB293" i="3"/>
  <c r="AB297" i="3"/>
  <c r="AB751" i="3"/>
  <c r="AB398" i="3"/>
  <c r="AB829" i="3"/>
  <c r="AB826" i="3"/>
  <c r="AB704" i="3"/>
  <c r="AB952" i="3"/>
  <c r="AB12" i="3"/>
  <c r="AB225" i="3"/>
  <c r="AB540" i="3"/>
  <c r="AB926" i="3"/>
  <c r="AB707" i="3"/>
  <c r="AB902" i="3"/>
  <c r="AB98" i="3"/>
  <c r="AB257" i="3"/>
  <c r="AB89" i="3"/>
  <c r="AB92" i="3"/>
  <c r="AB285" i="3"/>
  <c r="AB183" i="3"/>
  <c r="AB490" i="3"/>
  <c r="AB479" i="3"/>
  <c r="AB995" i="3"/>
  <c r="AB142" i="3"/>
  <c r="AB444" i="3"/>
  <c r="AB591" i="3"/>
  <c r="AB56" i="3"/>
  <c r="AB727" i="3"/>
  <c r="AB320" i="3"/>
  <c r="AB515" i="3"/>
  <c r="AB252" i="3"/>
  <c r="AB255" i="3"/>
  <c r="AB244" i="3"/>
  <c r="AB900" i="3"/>
  <c r="AB928" i="3"/>
  <c r="AB341" i="3"/>
  <c r="AB324" i="3"/>
  <c r="AB459" i="3"/>
  <c r="AB288" i="3"/>
  <c r="AB682" i="3"/>
  <c r="AB768" i="3"/>
  <c r="AB27" i="3"/>
  <c r="AB357" i="3"/>
  <c r="AB836" i="3"/>
  <c r="AB88" i="3"/>
  <c r="AB212" i="3"/>
  <c r="AB331" i="3"/>
  <c r="AB38" i="3"/>
  <c r="AB983" i="3"/>
  <c r="AB343" i="3"/>
  <c r="AB389" i="3"/>
  <c r="AB378" i="3"/>
  <c r="AB448" i="3"/>
  <c r="AB784" i="3"/>
  <c r="AB507" i="3"/>
  <c r="AB138" i="3"/>
  <c r="AB249" i="3"/>
  <c r="AB454" i="3"/>
  <c r="AB644" i="3"/>
  <c r="AB734" i="3"/>
  <c r="AB160" i="3"/>
  <c r="AB344" i="3"/>
  <c r="AB917" i="3"/>
  <c r="AB213" i="3"/>
  <c r="AB231" i="3"/>
  <c r="AB866" i="3"/>
  <c r="AB172" i="3"/>
  <c r="AB894" i="3"/>
  <c r="AB662" i="3"/>
  <c r="AB80" i="3"/>
  <c r="AB426" i="3"/>
  <c r="AB472" i="3"/>
  <c r="AB863" i="3"/>
  <c r="AB494" i="3"/>
  <c r="AB9" i="3"/>
  <c r="AB999" i="3"/>
  <c r="AB289" i="3"/>
  <c r="AB325" i="3"/>
  <c r="AB862" i="3"/>
  <c r="AB83" i="3"/>
  <c r="AB352" i="3"/>
  <c r="AB632" i="3"/>
  <c r="AB671" i="3"/>
  <c r="AB241" i="3"/>
  <c r="AB317" i="3"/>
  <c r="AB412" i="3"/>
  <c r="AB683" i="3"/>
  <c r="AB636" i="3"/>
  <c r="AB130" i="3"/>
  <c r="AB542" i="3"/>
  <c r="AB531" i="3"/>
  <c r="AB709" i="3"/>
  <c r="AB150" i="3"/>
  <c r="AB640" i="3"/>
  <c r="AB872" i="3"/>
  <c r="AB935" i="3"/>
  <c r="AB593" i="3"/>
  <c r="AB787" i="3"/>
  <c r="AB772" i="3"/>
  <c r="AB974" i="3"/>
  <c r="AB746" i="3"/>
  <c r="AB972" i="3"/>
  <c r="AB639" i="3"/>
  <c r="AB134" i="3"/>
  <c r="AB60" i="3"/>
  <c r="AB800" i="3"/>
  <c r="AB71" i="3"/>
  <c r="AB280" i="3"/>
  <c r="AB19" i="3"/>
  <c r="AB163" i="3"/>
  <c r="AB355" i="3"/>
  <c r="AB215" i="3"/>
  <c r="AB133" i="3"/>
  <c r="AB179" i="3"/>
  <c r="AB254" i="3"/>
  <c r="AB243" i="3"/>
  <c r="AB769" i="3"/>
  <c r="AB488" i="3"/>
  <c r="AB571" i="3"/>
  <c r="AB547" i="3"/>
  <c r="AB122" i="3"/>
  <c r="AB627" i="3"/>
  <c r="AB181" i="3"/>
  <c r="AB238" i="3"/>
  <c r="AB496" i="3"/>
  <c r="AB214" i="3"/>
  <c r="AB391" i="3"/>
  <c r="AB651" i="3"/>
  <c r="AB648" i="3"/>
  <c r="AB659" i="3"/>
  <c r="AB161" i="3"/>
  <c r="AB803" i="3"/>
  <c r="AB443" i="3"/>
  <c r="AB579" i="3"/>
  <c r="AB319" i="3"/>
  <c r="AB64" i="3"/>
  <c r="AB17" i="3"/>
  <c r="AB456" i="3"/>
  <c r="AB205" i="3"/>
  <c r="AB262" i="3"/>
  <c r="AB477" i="3"/>
  <c r="AB603" i="3"/>
  <c r="AB266" i="3"/>
  <c r="AB267" i="3"/>
  <c r="AB526" i="3"/>
  <c r="AB197" i="3"/>
  <c r="AB347" i="3"/>
  <c r="AB608" i="3"/>
  <c r="AB563" i="3"/>
  <c r="AB626" i="3"/>
  <c r="AB43" i="3"/>
  <c r="AB250" i="3"/>
  <c r="AB549" i="3"/>
  <c r="AB816" i="3"/>
  <c r="AB741" i="3"/>
  <c r="AB58" i="3"/>
  <c r="AB248" i="3"/>
  <c r="AB453" i="3"/>
  <c r="AB643" i="3"/>
  <c r="AB692" i="3"/>
  <c r="AB756" i="3"/>
  <c r="AB34" i="3"/>
  <c r="AB57" i="3"/>
  <c r="AB158" i="3"/>
  <c r="AB278" i="3"/>
  <c r="AB314" i="3"/>
  <c r="AB482" i="3"/>
  <c r="AB471" i="3"/>
  <c r="AB419" i="3"/>
  <c r="AB690" i="3"/>
  <c r="AB916" i="3"/>
  <c r="AB712" i="3"/>
  <c r="AB954" i="3"/>
  <c r="AB68" i="3"/>
  <c r="AB377" i="3"/>
  <c r="AB395" i="3"/>
  <c r="AB541" i="3"/>
  <c r="AB566" i="3"/>
  <c r="AB624" i="3"/>
  <c r="AB861" i="3"/>
  <c r="AB905" i="3"/>
  <c r="AB101" i="3"/>
  <c r="AB136" i="3"/>
  <c r="AB177" i="3"/>
  <c r="AB635" i="3"/>
  <c r="AB516" i="3"/>
  <c r="AB684" i="3"/>
  <c r="AB720" i="3"/>
  <c r="AB524" i="3"/>
  <c r="AB771" i="3"/>
  <c r="AB681" i="3"/>
  <c r="AB996" i="3"/>
  <c r="AB914" i="3"/>
  <c r="AB29" i="3"/>
  <c r="AB139" i="3"/>
  <c r="AB269" i="3"/>
  <c r="AB358" i="3"/>
  <c r="AB449" i="3"/>
  <c r="AB580" i="3"/>
  <c r="AB532" i="3"/>
  <c r="AB584" i="3"/>
  <c r="AB675" i="3"/>
  <c r="AB785" i="3"/>
  <c r="AB824" i="3"/>
  <c r="AB936" i="3"/>
  <c r="AB869" i="3"/>
  <c r="AB63" i="3"/>
  <c r="AB59" i="3"/>
  <c r="AB107" i="3"/>
  <c r="AB124" i="3"/>
  <c r="AB145" i="3"/>
  <c r="AB121" i="3"/>
  <c r="AB193" i="3"/>
  <c r="AB155" i="3"/>
  <c r="AB338" i="3"/>
  <c r="AB307" i="3"/>
  <c r="AB514" i="3"/>
  <c r="AB599" i="3"/>
  <c r="AB323" i="3"/>
  <c r="AB822" i="3"/>
  <c r="AB736" i="3"/>
  <c r="AB850" i="3"/>
  <c r="AB884" i="3"/>
  <c r="AB922" i="3"/>
  <c r="AB959" i="3"/>
  <c r="AB713" i="3"/>
  <c r="AB991" i="3"/>
  <c r="AB84" i="3"/>
  <c r="AB290" i="3"/>
  <c r="AB351" i="3"/>
  <c r="AB436" i="3"/>
  <c r="AB817" i="3"/>
  <c r="AB717" i="3"/>
  <c r="AB633" i="3"/>
  <c r="AB889" i="3"/>
  <c r="AB793" i="3"/>
  <c r="AB670" i="3"/>
  <c r="AB711" i="3"/>
  <c r="AB74" i="3"/>
  <c r="AB201" i="3"/>
  <c r="AB342" i="3"/>
  <c r="AB439" i="3"/>
  <c r="AB808" i="3"/>
  <c r="AB46" i="3"/>
  <c r="AB109" i="3"/>
  <c r="AB100" i="3"/>
  <c r="AB329" i="3"/>
  <c r="AB318" i="3"/>
  <c r="AB417" i="3"/>
  <c r="AB519" i="3"/>
  <c r="AB812" i="3"/>
  <c r="AB743" i="3"/>
  <c r="AB848" i="3"/>
  <c r="AB601" i="3"/>
  <c r="AB770" i="3"/>
  <c r="AB919" i="3"/>
  <c r="AB35" i="3"/>
  <c r="AB76" i="3"/>
  <c r="AB382" i="3"/>
  <c r="AB782" i="3"/>
  <c r="AB117" i="3"/>
  <c r="AB125" i="3"/>
  <c r="AB114" i="3"/>
  <c r="AB245" i="3"/>
  <c r="AB273" i="3"/>
  <c r="AB246" i="3"/>
  <c r="AB587" i="3"/>
  <c r="AB700" i="3"/>
  <c r="AB789" i="3"/>
  <c r="AB665" i="3"/>
  <c r="AB909" i="3"/>
  <c r="AB931" i="3"/>
  <c r="AB938" i="3"/>
  <c r="AB656" i="3"/>
  <c r="AB79" i="3"/>
  <c r="AB438" i="3"/>
  <c r="AB802" i="3"/>
  <c r="AB990" i="3"/>
  <c r="AB642" i="3"/>
  <c r="AB631" i="3"/>
  <c r="AB856" i="3"/>
  <c r="AB901" i="3"/>
  <c r="AB982" i="3"/>
  <c r="AB93" i="3"/>
  <c r="AB275" i="3"/>
  <c r="AB590" i="3"/>
  <c r="AB618" i="3"/>
  <c r="AB693" i="3"/>
  <c r="AB929" i="3"/>
  <c r="AB967" i="3"/>
  <c r="AB392" i="3"/>
  <c r="AB303" i="3"/>
  <c r="AB469" i="3"/>
  <c r="AB458" i="3"/>
  <c r="AB766" i="3"/>
  <c r="AB733" i="3"/>
  <c r="AB794" i="3"/>
  <c r="AB867" i="3"/>
  <c r="AB715" i="3"/>
  <c r="AB62" i="3"/>
  <c r="AB517" i="3"/>
  <c r="AB809" i="3"/>
  <c r="AB742" i="3"/>
  <c r="AB602" i="3"/>
  <c r="AB732" i="3"/>
  <c r="AB881" i="3"/>
  <c r="AB22" i="3"/>
  <c r="AB119" i="3"/>
  <c r="AB188" i="3"/>
  <c r="AB182" i="3"/>
  <c r="AB296" i="3"/>
  <c r="AB294" i="3"/>
  <c r="AB410" i="3"/>
  <c r="AB502" i="3"/>
  <c r="AB610" i="3"/>
  <c r="AB612" i="3"/>
  <c r="AB673" i="3"/>
  <c r="AB760" i="3"/>
  <c r="AB749" i="3"/>
  <c r="AB835" i="3"/>
  <c r="AB899" i="3"/>
  <c r="AB998" i="3"/>
  <c r="AB946" i="3"/>
  <c r="AB767" i="3"/>
  <c r="AB66" i="3"/>
  <c r="AB116" i="3"/>
  <c r="AB170" i="3"/>
  <c r="AB287" i="3"/>
  <c r="AB211" i="3"/>
  <c r="AB597" i="3"/>
  <c r="AB615" i="3"/>
  <c r="AB668" i="3"/>
  <c r="AB828" i="3"/>
  <c r="AB825" i="3"/>
  <c r="AB903" i="3"/>
  <c r="AB951" i="3"/>
  <c r="AB699" i="3"/>
  <c r="AB272" i="3"/>
  <c r="AB427" i="3"/>
  <c r="AB667" i="3"/>
  <c r="AB841" i="3"/>
  <c r="AB752" i="3"/>
  <c r="AB925" i="3"/>
  <c r="AB874" i="3"/>
  <c r="AB184" i="3"/>
  <c r="AB328" i="3"/>
  <c r="AB327" i="3"/>
  <c r="AB414" i="3"/>
  <c r="AB630" i="3"/>
  <c r="AB714" i="3"/>
  <c r="AB875" i="3"/>
  <c r="AB984" i="3"/>
  <c r="AB37" i="3"/>
  <c r="AB159" i="3"/>
  <c r="AB175" i="3"/>
  <c r="AB239" i="3"/>
  <c r="AB457" i="3"/>
  <c r="AB564" i="3"/>
  <c r="AB890" i="3"/>
  <c r="AB968" i="3"/>
  <c r="AB112" i="3"/>
  <c r="AB24" i="3"/>
  <c r="AB202" i="3"/>
  <c r="AB242" i="3"/>
  <c r="AB797" i="3"/>
  <c r="AB240" i="3"/>
  <c r="AB411" i="3"/>
  <c r="AB487" i="3"/>
  <c r="AB837" i="3"/>
  <c r="AB731" i="3"/>
  <c r="AB970" i="3"/>
  <c r="AB971" i="3"/>
  <c r="AB23" i="3"/>
  <c r="AB81" i="3"/>
  <c r="AB85" i="3"/>
  <c r="AB148" i="3"/>
  <c r="AB216" i="3"/>
  <c r="AB362" i="3"/>
  <c r="AB415" i="3"/>
  <c r="AB553" i="3"/>
  <c r="AB508" i="3"/>
  <c r="AB628" i="3"/>
  <c r="AB611" i="3"/>
  <c r="AB724" i="3"/>
  <c r="AB528" i="3"/>
  <c r="AB637" i="3"/>
  <c r="AB810" i="3"/>
  <c r="AB997" i="3"/>
  <c r="AB86" i="3"/>
  <c r="AB256" i="3"/>
  <c r="AB209" i="3"/>
  <c r="AB349" i="3"/>
  <c r="AB359" i="3"/>
  <c r="AB422" i="3"/>
  <c r="AB450" i="3"/>
  <c r="AB598" i="3"/>
  <c r="AB586" i="3"/>
  <c r="AB535" i="3"/>
  <c r="AB556" i="3"/>
  <c r="AB677" i="3"/>
  <c r="AB544" i="3"/>
  <c r="AB786" i="3"/>
  <c r="AB687" i="3"/>
  <c r="AB961" i="3"/>
  <c r="AB791" i="3"/>
  <c r="AB939" i="3"/>
  <c r="AB895" i="3"/>
  <c r="AB886" i="3"/>
  <c r="AB763" i="3"/>
  <c r="AB989" i="3"/>
  <c r="AB18" i="3"/>
  <c r="AB374" i="3"/>
  <c r="AB455" i="3"/>
  <c r="AB574" i="3"/>
  <c r="AB539" i="3"/>
  <c r="AB552" i="3"/>
  <c r="AB992" i="3"/>
  <c r="AB185" i="3"/>
  <c r="AB162" i="3"/>
  <c r="AB220" i="3"/>
  <c r="AB481" i="3"/>
  <c r="AB399" i="3"/>
  <c r="AB495" i="3"/>
  <c r="AB672" i="3"/>
  <c r="AB753" i="3"/>
  <c r="AB994" i="3"/>
  <c r="AB55" i="3"/>
  <c r="AB606" i="3"/>
  <c r="AB619" i="3"/>
  <c r="AB832" i="3"/>
  <c r="AB821" i="3"/>
  <c r="AB941" i="3"/>
  <c r="AB132" i="3"/>
  <c r="AB118" i="3"/>
  <c r="AB265" i="3"/>
  <c r="AB497" i="3"/>
  <c r="AB703" i="3"/>
  <c r="AB930" i="3"/>
  <c r="AB50" i="3"/>
  <c r="AB91" i="3"/>
  <c r="AB129" i="3"/>
  <c r="AB206" i="3"/>
  <c r="AB173" i="3"/>
  <c r="AB282" i="3"/>
  <c r="AB498" i="3"/>
  <c r="AB570" i="3"/>
  <c r="AB484" i="3"/>
  <c r="AB706" i="3"/>
  <c r="AB957" i="3"/>
  <c r="AB927" i="3"/>
  <c r="AB47" i="3"/>
  <c r="AB40" i="3"/>
  <c r="AB149" i="3"/>
  <c r="AB199" i="3"/>
  <c r="AB284" i="3"/>
  <c r="AB721" i="3"/>
  <c r="AB719" i="3"/>
  <c r="AB934" i="3"/>
  <c r="AB882" i="3"/>
  <c r="AB979" i="3"/>
  <c r="AB11" i="3"/>
  <c r="AB104" i="3"/>
  <c r="AB97" i="3"/>
  <c r="AB397" i="3"/>
  <c r="AB386" i="3"/>
  <c r="AB433" i="3"/>
  <c r="AB489" i="3"/>
  <c r="AB478" i="3"/>
  <c r="AB529" i="3"/>
  <c r="AB616" i="3"/>
  <c r="AB762" i="3"/>
  <c r="AB758" i="3"/>
  <c r="AB725" i="3"/>
  <c r="AB739" i="3"/>
  <c r="AB792" i="3"/>
  <c r="AB976" i="3"/>
  <c r="AB222" i="3"/>
  <c r="AB424" i="3"/>
  <c r="AB141" i="3"/>
  <c r="AB187" i="3"/>
  <c r="AB263" i="3"/>
  <c r="AB466" i="3"/>
  <c r="AB621" i="3"/>
  <c r="AB226" i="3"/>
  <c r="AB550" i="3"/>
  <c r="AB842" i="3"/>
  <c r="AB965" i="3"/>
  <c r="AB223" i="3"/>
  <c r="AB401" i="3"/>
  <c r="AB390" i="3"/>
  <c r="AB403" i="3"/>
  <c r="AB729" i="3"/>
  <c r="AB754" i="3"/>
  <c r="AB815" i="3"/>
  <c r="AB865" i="3"/>
  <c r="AB779" i="3"/>
  <c r="AB955" i="3"/>
  <c r="AB13" i="3"/>
  <c r="AB10" i="3"/>
  <c r="AB264" i="3"/>
  <c r="AB353" i="3"/>
  <c r="AB441" i="3"/>
  <c r="AB595" i="3"/>
  <c r="AB609" i="3"/>
  <c r="AB705" i="3"/>
  <c r="AB702" i="3"/>
  <c r="AB744" i="3"/>
  <c r="AB730" i="3"/>
  <c r="AB918" i="3"/>
  <c r="AB44" i="3"/>
  <c r="AB203" i="3"/>
  <c r="AB292" i="3"/>
  <c r="AB406" i="3"/>
  <c r="AB748" i="3"/>
  <c r="AB745" i="3"/>
  <c r="AB773" i="3"/>
  <c r="AB795" i="3"/>
  <c r="AB868" i="3"/>
  <c r="AB20" i="3"/>
  <c r="AB26" i="3"/>
  <c r="AB39" i="3"/>
  <c r="AB270" i="3"/>
  <c r="AB251" i="3"/>
  <c r="AB305" i="3"/>
  <c r="AB421" i="3"/>
  <c r="AB513" i="3"/>
  <c r="AB463" i="3"/>
  <c r="AB576" i="3"/>
  <c r="AB852" i="3"/>
  <c r="AB849" i="3"/>
  <c r="AB718" i="3"/>
  <c r="AB696" i="3"/>
  <c r="AB685" i="3"/>
  <c r="AB933" i="3"/>
  <c r="AB189" i="3"/>
  <c r="AB151" i="3"/>
  <c r="AB345" i="3"/>
  <c r="AB334" i="3"/>
  <c r="AB384" i="3"/>
  <c r="AB380" i="3"/>
  <c r="AB315" i="3"/>
  <c r="AB407" i="3"/>
  <c r="AB761" i="3"/>
  <c r="AB722" i="3"/>
  <c r="AB948" i="3"/>
  <c r="AB799" i="3"/>
  <c r="AB973" i="3"/>
  <c r="AB840" i="3"/>
  <c r="AB986" i="3"/>
  <c r="AB943" i="3"/>
  <c r="AB987" i="3"/>
  <c r="AB777" i="3"/>
  <c r="AB805" i="3"/>
  <c r="AB425" i="3"/>
  <c r="AB375" i="3"/>
  <c r="AB102" i="3"/>
  <c r="AB302" i="3"/>
  <c r="AB757" i="3"/>
  <c r="AB166" i="3"/>
  <c r="AB511" i="3"/>
  <c r="AB501" i="3"/>
  <c r="AB708" i="3"/>
  <c r="AB956" i="3"/>
  <c r="AB969" i="3"/>
  <c r="AB963" i="3"/>
  <c r="AB53" i="3"/>
  <c r="AB218" i="3"/>
  <c r="AB276" i="3"/>
  <c r="AB322" i="3"/>
  <c r="AB311" i="3"/>
  <c r="AB428" i="3"/>
  <c r="AB367" i="3"/>
  <c r="AB473" i="3"/>
  <c r="AB622" i="3"/>
  <c r="AB657" i="3"/>
  <c r="AB613" i="3"/>
  <c r="AB834" i="3"/>
  <c r="AB860" i="3"/>
  <c r="AB945" i="3"/>
  <c r="AB906" i="3"/>
  <c r="AB233" i="3"/>
  <c r="AB309" i="3"/>
  <c r="AB298" i="3"/>
  <c r="AB393" i="3"/>
  <c r="AB446" i="3"/>
  <c r="AB485" i="3"/>
  <c r="AB582" i="3"/>
  <c r="AB813" i="3"/>
  <c r="AB747" i="3"/>
  <c r="AB908" i="3"/>
  <c r="AB870" i="3"/>
  <c r="AB871" i="3"/>
  <c r="AB110" i="3"/>
  <c r="AB234" i="3"/>
  <c r="AB431" i="3"/>
  <c r="AB503" i="3"/>
  <c r="AB559" i="3"/>
  <c r="AB650" i="3"/>
  <c r="AB764" i="3"/>
  <c r="AB853" i="3"/>
  <c r="AB839" i="3"/>
  <c r="AB128" i="3"/>
  <c r="AB480" i="3"/>
  <c r="AB655" i="3"/>
  <c r="AB950" i="3"/>
  <c r="AB887" i="3"/>
  <c r="AB326" i="3"/>
  <c r="AB291" i="3"/>
  <c r="AB506" i="3"/>
  <c r="AB645" i="3"/>
  <c r="AB781" i="3"/>
  <c r="AB778" i="3"/>
  <c r="AB654" i="3"/>
  <c r="AB864" i="3"/>
  <c r="AB953" i="3"/>
  <c r="AB260" i="3"/>
  <c r="AB286" i="3"/>
  <c r="AB313" i="3"/>
  <c r="AB493" i="3"/>
  <c r="AB483" i="3"/>
  <c r="AB565" i="3"/>
  <c r="AB555" i="3"/>
  <c r="AB857" i="3"/>
  <c r="AB993" i="3"/>
  <c r="AB878" i="3"/>
  <c r="AB877" i="3"/>
  <c r="AB15" i="3"/>
  <c r="AB430" i="3"/>
  <c r="AB522" i="3"/>
  <c r="AB366" i="3"/>
  <c r="AB500" i="3"/>
  <c r="AB646" i="3"/>
  <c r="AB833" i="3"/>
  <c r="AB830" i="3"/>
  <c r="AB858" i="3"/>
  <c r="AB819" i="3"/>
  <c r="AB176" i="3"/>
  <c r="AB219" i="3"/>
  <c r="AB230" i="3"/>
  <c r="AB279" i="3"/>
  <c r="AB143" i="3"/>
  <c r="AB460" i="3"/>
  <c r="AB634" i="3"/>
  <c r="AB859" i="3"/>
  <c r="AB893" i="3"/>
  <c r="AB41" i="3"/>
  <c r="AB72" i="3"/>
  <c r="AB94" i="3"/>
  <c r="AB258" i="3"/>
  <c r="AB310" i="3"/>
  <c r="AB404" i="3"/>
  <c r="AB491" i="3"/>
  <c r="AB474" i="3"/>
  <c r="AB546" i="3"/>
  <c r="AB674" i="3"/>
  <c r="AB676" i="3"/>
  <c r="AB661" i="3"/>
  <c r="AB846" i="3"/>
  <c r="AB164" i="3"/>
  <c r="AB191" i="3"/>
  <c r="AB228" i="3"/>
  <c r="AB195" i="3"/>
  <c r="AB336" i="3"/>
  <c r="AB369" i="3"/>
  <c r="AB461" i="3"/>
  <c r="AB558" i="3"/>
  <c r="AB638" i="3"/>
  <c r="AB697" i="3"/>
  <c r="AB694" i="3"/>
  <c r="AB885" i="3"/>
  <c r="AB897" i="3"/>
  <c r="AB912" i="3"/>
  <c r="R18" i="1" l="1"/>
  <c r="S18" i="1" s="1"/>
  <c r="Z18" i="1" s="1"/>
  <c r="R26" i="1"/>
  <c r="S26" i="1" s="1"/>
  <c r="Z26" i="1" s="1"/>
  <c r="R34" i="1"/>
  <c r="S34" i="1" s="1"/>
  <c r="Z34" i="1" s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W3" i="3"/>
  <c r="V4" i="3" s="1"/>
  <c r="S154" i="1"/>
  <c r="Z154" i="1" s="1"/>
  <c r="S290" i="1"/>
  <c r="Z290" i="1" s="1"/>
  <c r="S106" i="1"/>
  <c r="Z106" i="1" s="1"/>
  <c r="S42" i="1"/>
  <c r="Z42" i="1" s="1"/>
  <c r="S170" i="1"/>
  <c r="Z170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V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<sst xmlns="http://schemas.openxmlformats.org/spreadsheetml/2006/main" count="485" uniqueCount="275">
  <si>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</si>
  <si>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</si>
  <si>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</si>
  <si>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</si>
  <si>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</si>
  <si>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</si>
  <si>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</si>
  <si>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</si>
  <si>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</si>
  <si>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</si>
  <si>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</si>
  <si>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</si>
  <si>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</si>
  <si>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</si>
  <si>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</si>
  <si>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</si>
  <si>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</si>
  <si>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</si>
  <si>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</si>
  <si>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</si>
  <si>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</si>
  <si>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</si>
  <si>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</si>
  <si>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</si>
  <si>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</si>
  <si>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</si>
  <si>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</si>
  <si>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</si>
  <si>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</si>
  <si>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</si>
  <si>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</si>
  <si>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</si>
  <si>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</si>
  <si>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</si>
  <si>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</si>
  <si>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</si>
  <si>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</si>
  <si>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</si>
  <si>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</si>
  <si>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</si>
  <si>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</si>
  <si>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</si>
  <si>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</si>
  <si>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</si>
  <si>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</si>
  <si>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</si>
  <si>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</si>
  <si>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</si>
  <si>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</si>
  <si>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</si>
  <si>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</si>
  <si>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</si>
  <si>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</si>
  <si>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</si>
  <si>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</si>
  <si>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</si>
  <si>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</si>
  <si>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</si>
  <si>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</si>
  <si>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</si>
  <si>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</si>
  <si>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</si>
  <si>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</si>
  <si>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</si>
  <si>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</si>
  <si>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</si>
  <si>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</si>
  <si>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</si>
  <si>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</si>
  <si>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</si>
  <si>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</si>
  <si>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</si>
  <si>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</si>
  <si>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</si>
  <si>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</si>
  <si>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</si>
  <si>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</si>
  <si>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</si>
  <si>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</si>
  <si>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</si>
  <si>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</si>
  <si>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</si>
  <si>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</si>
  <si>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</si>
  <si>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</si>
  <si>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</si>
  <si>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</si>
  <si>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</si>
  <si>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</si>
  <si>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</si>
  <si>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</si>
  <si>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</si>
  <si>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</si>
  <si>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</si>
  <si>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</si>
  <si>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</si>
  <si>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</si>
  <si>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</si>
  <si>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</si>
  <si>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</si>
  <si>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</si>
  <si>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</si>
  <si>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</si>
  <si>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</si>
  <si>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</si>
  <si>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</si>
  <si>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</si>
  <si>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</si>
  <si>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</si>
  <si>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</si>
  <si>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</si>
  <si>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</si>
  <si>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</si>
  <si>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</si>
  <si>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</si>
  <si>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</si>
  <si>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</si>
  <si>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</si>
  <si>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</si>
  <si>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</si>
  <si>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</si>
  <si>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</si>
  <si>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</si>
  <si>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</si>
  <si>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</si>
  <si>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</si>
  <si>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</si>
  <si>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</si>
  <si>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</si>
  <si>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</si>
  <si>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</si>
  <si>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</si>
  <si>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</si>
  <si>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</si>
  <si>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</si>
  <si>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</si>
  <si>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</si>
  <si>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</si>
  <si>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</si>
  <si>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</si>
  <si>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</si>
  <si>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</si>
  <si>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</si>
  <si>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</si>
  <si>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</si>
  <si>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</si>
  <si>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</si>
  <si>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</si>
  <si>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</si>
  <si>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</si>
  <si>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</si>
  <si>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</si>
  <si>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</si>
  <si>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</si>
  <si>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</si>
  <si>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</si>
  <si>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</si>
  <si>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</si>
  <si>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</si>
  <si>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</si>
  <si>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</si>
  <si>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</si>
  <si>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</si>
  <si>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</si>
  <si>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</si>
  <si>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</si>
  <si>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</si>
  <si>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</si>
  <si>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</si>
  <si>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</si>
  <si>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</si>
  <si>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</si>
  <si>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</si>
  <si>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</si>
  <si>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</si>
  <si>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</si>
  <si>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</si>
  <si>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</si>
  <si>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</si>
  <si>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</si>
  <si>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</si>
  <si>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</si>
  <si>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</si>
  <si>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</si>
  <si>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</si>
  <si>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</si>
  <si>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</si>
  <si>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</si>
  <si>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</si>
  <si>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</si>
  <si>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</si>
  <si>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</si>
  <si>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</si>
  <si>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</si>
  <si>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</si>
  <si>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</si>
  <si>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</si>
  <si>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</si>
  <si>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</si>
  <si>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</si>
  <si>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</si>
  <si>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</si>
  <si>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</si>
  <si>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</si>
  <si>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</si>
  <si>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</si>
  <si>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</si>
  <si>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</si>
  <si>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</si>
  <si>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</si>
  <si>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</si>
  <si>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</si>
  <si>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</si>
  <si>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</si>
  <si>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</si>
  <si>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</si>
  <si>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</si>
  <si>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</si>
  <si>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</si>
  <si>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</si>
  <si>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</si>
  <si>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</si>
  <si>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</si>
  <si>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</si>
  <si>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</si>
  <si>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</si>
  <si>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</si>
  <si>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</si>
  <si>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</si>
  <si>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</si>
  <si>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</si>
  <si>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</si>
  <si>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</si>
  <si>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</si>
  <si>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</si>
  <si>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</si>
  <si>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</si>
  <si>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</si>
  <si>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</si>
  <si>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</si>
  <si>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</si>
  <si>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</si>
  <si>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</si>
  <si>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</si>
  <si>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</si>
  <si>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</si>
  <si>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</si>
  <si>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</si>
  <si>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</si>
  <si>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</si>
  <si>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</si>
  <si>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</si>
  <si>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</si>
  <si>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</si>
  <si>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</si>
  <si>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</si>
  <si>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</si>
  <si>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</si>
  <si>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</si>
  <si>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</si>
  <si>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</si>
  <si>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</si>
  <si>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</si>
  <si>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</si>
  <si>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</si>
  <si>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</si>
  <si>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</si>
  <si>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</si>
  <si>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</si>
  <si>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</si>
  <si>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lincoln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</si>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</sst>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Interface'!$J$1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Interface'!$J$3:$J$4</c:f>
              <c:numCache>
                <c:formatCode>0</c:formatCode>
                <c:ptCount val="2"/>
                <c:pt idx="0">
                  <c:v>50</c:v>
                </c:pt>
                <c:pt idx="1">
                  <c:v>28.416053257738323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Interface'!$L$1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Interface'!$L$3:$L$4</c:f>
              <c:numCache>
                <c:formatCode>General</c:formatCode>
                <c:ptCount val="2"/>
                <c:pt idx="0" formatCode="0">
                  <c:v>-8.0708854365952014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Interface'!$M$1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31.754676995145005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77.792012236193841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Interface'!$Q$1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Interface'!$P$1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 formatCode="General">
                  <c:v>0.96524946299463588</c:v>
                </c:pt>
                <c:pt idx="1">
                  <c:v>67.759999999999977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Interface'!$O$1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Interface'!$H$3:$H$4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0</c:formatCode>
                <c:ptCount val="2"/>
                <c:pt idx="0">
                  <c:v>0</c:v>
                </c:pt>
                <c:pt idx="1">
                  <c:v>56.265000000000001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Interface'!$V$1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Interface'!$V$3:$V$4</c:f>
              <c:numCache>
                <c:formatCode>0</c:formatCode>
                <c:ptCount val="2"/>
                <c:pt idx="0">
                  <c:v>2.8421709430404007E-14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154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0.96524946299463588</c:v>
                </c:pt>
                <c:pt idx="43">
                  <c:v>0.96524946299463588</c:v>
                </c:pt>
                <c:pt idx="44">
                  <c:v>0.96524946299463588</c:v>
                </c:pt>
                <c:pt idx="45">
                  <c:v>0.96524946299463588</c:v>
                </c:pt>
                <c:pt idx="46">
                  <c:v>0.96524946299463588</c:v>
                </c:pt>
                <c:pt idx="47">
                  <c:v>0.96524946299463588</c:v>
                </c:pt>
                <c:pt idx="48">
                  <c:v>0.96524946299463588</c:v>
                </c:pt>
                <c:pt idx="49">
                  <c:v>0.96524946299463588</c:v>
                </c:pt>
                <c:pt idx="50">
                  <c:v>0.96524946299463588</c:v>
                </c:pt>
                <c:pt idx="51">
                  <c:v>0.96524946299463588</c:v>
                </c:pt>
                <c:pt idx="52">
                  <c:v>0.96524946299463588</c:v>
                </c:pt>
                <c:pt idx="53">
                  <c:v>0.96524946299463588</c:v>
                </c:pt>
                <c:pt idx="54">
                  <c:v>0.96524946299463588</c:v>
                </c:pt>
                <c:pt idx="55">
                  <c:v>0.96524946299463588</c:v>
                </c:pt>
                <c:pt idx="56">
                  <c:v>0.96524946299463588</c:v>
                </c:pt>
                <c:pt idx="57">
                  <c:v>0.96524946299463588</c:v>
                </c:pt>
                <c:pt idx="58">
                  <c:v>0.96524946299463588</c:v>
                </c:pt>
                <c:pt idx="59">
                  <c:v>0.96524946299463588</c:v>
                </c:pt>
                <c:pt idx="60">
                  <c:v>0.96524946299463588</c:v>
                </c:pt>
                <c:pt idx="61">
                  <c:v>0.96524946299463588</c:v>
                </c:pt>
                <c:pt idx="62">
                  <c:v>0.96524946299463588</c:v>
                </c:pt>
                <c:pt idx="63">
                  <c:v>0.96524946299463588</c:v>
                </c:pt>
                <c:pt idx="64">
                  <c:v>0.96524946299463588</c:v>
                </c:pt>
                <c:pt idx="65">
                  <c:v>0.96524946299463588</c:v>
                </c:pt>
                <c:pt idx="66">
                  <c:v>0.96524946299463588</c:v>
                </c:pt>
                <c:pt idx="67">
                  <c:v>0.96524946299463588</c:v>
                </c:pt>
                <c:pt idx="68">
                  <c:v>0.96524946299463588</c:v>
                </c:pt>
                <c:pt idx="69">
                  <c:v>0.96524946299463588</c:v>
                </c:pt>
                <c:pt idx="70">
                  <c:v>0.96524946299463588</c:v>
                </c:pt>
                <c:pt idx="71">
                  <c:v>0.96524946299463588</c:v>
                </c:pt>
                <c:pt idx="72">
                  <c:v>0.96524946299463588</c:v>
                </c:pt>
                <c:pt idx="73">
                  <c:v>0.96524946299463588</c:v>
                </c:pt>
                <c:pt idx="74">
                  <c:v>0.96524946299463588</c:v>
                </c:pt>
                <c:pt idx="75">
                  <c:v>0.96524946299463588</c:v>
                </c:pt>
                <c:pt idx="76">
                  <c:v>1.0171401489728715</c:v>
                </c:pt>
                <c:pt idx="77">
                  <c:v>1.0777450016683026</c:v>
                </c:pt>
                <c:pt idx="78">
                  <c:v>1.134539482223573</c:v>
                </c:pt>
                <c:pt idx="79">
                  <c:v>1.1914761658417179</c:v>
                </c:pt>
                <c:pt idx="80">
                  <c:v>1.2503676651620435</c:v>
                </c:pt>
                <c:pt idx="81">
                  <c:v>1.3188315534411081</c:v>
                </c:pt>
                <c:pt idx="82">
                  <c:v>1.391983011161291</c:v>
                </c:pt>
                <c:pt idx="83">
                  <c:v>1.459916544469138</c:v>
                </c:pt>
                <c:pt idx="84">
                  <c:v>1.5269810214645214</c:v>
                </c:pt>
                <c:pt idx="85">
                  <c:v>1.5961140147998156</c:v>
                </c:pt>
                <c:pt idx="86">
                  <c:v>1.67843646406084</c:v>
                </c:pt>
                <c:pt idx="87">
                  <c:v>1.7844910521447728</c:v>
                </c:pt>
                <c:pt idx="88">
                  <c:v>1.8879049132415922</c:v>
                </c:pt>
                <c:pt idx="89">
                  <c:v>1.9909647706198159</c:v>
                </c:pt>
                <c:pt idx="90">
                  <c:v>2.0946313576020863</c:v>
                </c:pt>
                <c:pt idx="91">
                  <c:v>2.2143880721082572</c:v>
                </c:pt>
                <c:pt idx="92">
                  <c:v>2.3570278971267289</c:v>
                </c:pt>
                <c:pt idx="93">
                  <c:v>2.4954256049383763</c:v>
                </c:pt>
                <c:pt idx="94">
                  <c:v>2.6411100892572494</c:v>
                </c:pt>
                <c:pt idx="95">
                  <c:v>2.7965872500748685</c:v>
                </c:pt>
                <c:pt idx="96">
                  <c:v>2.9888628072996775</c:v>
                </c:pt>
                <c:pt idx="97">
                  <c:v>3.1646277762411401</c:v>
                </c:pt>
                <c:pt idx="98">
                  <c:v>3.3484576510320294</c:v>
                </c:pt>
                <c:pt idx="99">
                  <c:v>3.5451443211644933</c:v>
                </c:pt>
                <c:pt idx="100">
                  <c:v>3.759873440132536</c:v>
                </c:pt>
                <c:pt idx="101">
                  <c:v>4.0234118470743292</c:v>
                </c:pt>
                <c:pt idx="102">
                  <c:v>4.2871570941077923</c:v>
                </c:pt>
                <c:pt idx="103">
                  <c:v>4.5923435586185608</c:v>
                </c:pt>
                <c:pt idx="104">
                  <c:v>4.9264830851946098</c:v>
                </c:pt>
                <c:pt idx="105">
                  <c:v>5.2687246912191155</c:v>
                </c:pt>
                <c:pt idx="106">
                  <c:v>5.6304285842395636</c:v>
                </c:pt>
                <c:pt idx="107">
                  <c:v>6.0486138425658025</c:v>
                </c:pt>
                <c:pt idx="108">
                  <c:v>6.459184684915682</c:v>
                </c:pt>
                <c:pt idx="109">
                  <c:v>6.9078610448153697</c:v>
                </c:pt>
                <c:pt idx="110">
                  <c:v>7.3897535652384496</c:v>
                </c:pt>
                <c:pt idx="111">
                  <c:v>7.8914409296686951</c:v>
                </c:pt>
                <c:pt idx="112">
                  <c:v>8.3886711974813526</c:v>
                </c:pt>
                <c:pt idx="113">
                  <c:v>8.9359233490498013</c:v>
                </c:pt>
                <c:pt idx="114">
                  <c:v>9.5124445234674706</c:v>
                </c:pt>
                <c:pt idx="115">
                  <c:v>10.145884282991846</c:v>
                </c:pt>
                <c:pt idx="116">
                  <c:v>10.952551766060184</c:v>
                </c:pt>
                <c:pt idx="117">
                  <c:v>11.753554276764355</c:v>
                </c:pt>
                <c:pt idx="118">
                  <c:v>12.571001013002761</c:v>
                </c:pt>
                <c:pt idx="119">
                  <c:v>13.344954987705664</c:v>
                </c:pt>
                <c:pt idx="120">
                  <c:v>14.227096273824337</c:v>
                </c:pt>
                <c:pt idx="121">
                  <c:v>15.212482156273923</c:v>
                </c:pt>
                <c:pt idx="122">
                  <c:v>16.301020145458779</c:v>
                </c:pt>
                <c:pt idx="123">
                  <c:v>17.337808602765161</c:v>
                </c:pt>
                <c:pt idx="124">
                  <c:v>18.355795968161413</c:v>
                </c:pt>
                <c:pt idx="125">
                  <c:v>19.394684051823791</c:v>
                </c:pt>
                <c:pt idx="126">
                  <c:v>20.621559118665029</c:v>
                </c:pt>
                <c:pt idx="127">
                  <c:v>21.897628591381238</c:v>
                </c:pt>
                <c:pt idx="128">
                  <c:v>23.119069572162331</c:v>
                </c:pt>
                <c:pt idx="129">
                  <c:v>24.636271721243176</c:v>
                </c:pt>
                <c:pt idx="130">
                  <c:v>26.286576250043652</c:v>
                </c:pt>
                <c:pt idx="131">
                  <c:v>28.087495231215922</c:v>
                </c:pt>
                <c:pt idx="132">
                  <c:v>29.91955072954217</c:v>
                </c:pt>
                <c:pt idx="133">
                  <c:v>31.768165475784041</c:v>
                </c:pt>
                <c:pt idx="134">
                  <c:v>33.649374349411822</c:v>
                </c:pt>
                <c:pt idx="135">
                  <c:v>35.537957523311228</c:v>
                </c:pt>
                <c:pt idx="136">
                  <c:v>37.597324448841682</c:v>
                </c:pt>
                <c:pt idx="137">
                  <c:v>39.985010827574783</c:v>
                </c:pt>
                <c:pt idx="138">
                  <c:v>42.535541310784438</c:v>
                </c:pt>
                <c:pt idx="139">
                  <c:v>45.354097716933993</c:v>
                </c:pt>
                <c:pt idx="140">
                  <c:v>48.148673479949068</c:v>
                </c:pt>
                <c:pt idx="141">
                  <c:v>50.997404821549594</c:v>
                </c:pt>
                <c:pt idx="142">
                  <c:v>53.741004789856845</c:v>
                </c:pt>
                <c:pt idx="143">
                  <c:v>56.703937056655143</c:v>
                </c:pt>
                <c:pt idx="144">
                  <c:v>59.737878813667798</c:v>
                </c:pt>
                <c:pt idx="145">
                  <c:v>62.610690408861245</c:v>
                </c:pt>
                <c:pt idx="146">
                  <c:v>65.732827406968937</c:v>
                </c:pt>
                <c:pt idx="147">
                  <c:v>69.207192779310489</c:v>
                </c:pt>
                <c:pt idx="148">
                  <c:v>72.915179107277325</c:v>
                </c:pt>
                <c:pt idx="149">
                  <c:v>76.297929145815274</c:v>
                </c:pt>
                <c:pt idx="150">
                  <c:v>79.431917982851971</c:v>
                </c:pt>
                <c:pt idx="151">
                  <c:v>82.884608785550213</c:v>
                </c:pt>
                <c:pt idx="152">
                  <c:v>86.152527547654643</c:v>
                </c:pt>
                <c:pt idx="153">
                  <c:v>89.268324222121166</c:v>
                </c:pt>
                <c:pt idx="154">
                  <c:v>92.391115014564065</c:v>
                </c:pt>
                <c:pt idx="155">
                  <c:v>95.439144925767025</c:v>
                </c:pt>
                <c:pt idx="156">
                  <c:v>98.305508621928951</c:v>
                </c:pt>
                <c:pt idx="157">
                  <c:v>101.02606403190798</c:v>
                </c:pt>
                <c:pt idx="158">
                  <c:v>103.73701224922553</c:v>
                </c:pt>
                <c:pt idx="159">
                  <c:v>106.28722808570069</c:v>
                </c:pt>
                <c:pt idx="160">
                  <c:v>108.88538752827009</c:v>
                </c:pt>
                <c:pt idx="161">
                  <c:v>111.37183278193486</c:v>
                </c:pt>
                <c:pt idx="162">
                  <c:v>113.59168620458536</c:v>
                </c:pt>
                <c:pt idx="163">
                  <c:v>116.0545230129418</c:v>
                </c:pt>
                <c:pt idx="164">
                  <c:v>118.40943096253595</c:v>
                </c:pt>
                <c:pt idx="165">
                  <c:v>120.37248573286682</c:v>
                </c:pt>
                <c:pt idx="166">
                  <c:v>122.30293244720654</c:v>
                </c:pt>
                <c:pt idx="167">
                  <c:v>124.02499999999998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24.202630382901685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26.192105443555533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27.397276409736612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49.933876413527045</c:v>
                </c:pt>
                <c:pt idx="2">
                  <c:v>49.861360721325823</c:v>
                </c:pt>
                <c:pt idx="3">
                  <c:v>49.785002958760593</c:v>
                </c:pt>
                <c:pt idx="4">
                  <c:v>49.703713318151884</c:v>
                </c:pt>
                <c:pt idx="5">
                  <c:v>49.61683049560596</c:v>
                </c:pt>
                <c:pt idx="6">
                  <c:v>49.535011243819056</c:v>
                </c:pt>
                <c:pt idx="7">
                  <c:v>49.459164706687687</c:v>
                </c:pt>
                <c:pt idx="8">
                  <c:v>49.389654864304042</c:v>
                </c:pt>
                <c:pt idx="9">
                  <c:v>49.328559728050806</c:v>
                </c:pt>
                <c:pt idx="10">
                  <c:v>49.280596376067969</c:v>
                </c:pt>
                <c:pt idx="11">
                  <c:v>49.238206789527105</c:v>
                </c:pt>
                <c:pt idx="12">
                  <c:v>49.203158290531526</c:v>
                </c:pt>
                <c:pt idx="13">
                  <c:v>49.174000328139101</c:v>
                </c:pt>
                <c:pt idx="14">
                  <c:v>49.151589140748321</c:v>
                </c:pt>
                <c:pt idx="15">
                  <c:v>49.139697878701917</c:v>
                </c:pt>
                <c:pt idx="16">
                  <c:v>49.134058718394925</c:v>
                </c:pt>
                <c:pt idx="17">
                  <c:v>49.131066896648093</c:v>
                </c:pt>
                <c:pt idx="18">
                  <c:v>49.138918908062649</c:v>
                </c:pt>
                <c:pt idx="19">
                  <c:v>49.156790613946441</c:v>
                </c:pt>
                <c:pt idx="20">
                  <c:v>49.178936278754243</c:v>
                </c:pt>
                <c:pt idx="21">
                  <c:v>49.21876506484606</c:v>
                </c:pt>
                <c:pt idx="22">
                  <c:v>49.270885649319816</c:v>
                </c:pt>
                <c:pt idx="23">
                  <c:v>49.321808077851053</c:v>
                </c:pt>
                <c:pt idx="24">
                  <c:v>49.384241831650684</c:v>
                </c:pt>
                <c:pt idx="25">
                  <c:v>49.459483548105979</c:v>
                </c:pt>
                <c:pt idx="26">
                  <c:v>49.542293738704984</c:v>
                </c:pt>
                <c:pt idx="27">
                  <c:v>49.629189416359971</c:v>
                </c:pt>
                <c:pt idx="28">
                  <c:v>49.723449465007334</c:v>
                </c:pt>
                <c:pt idx="29">
                  <c:v>49.820191490573613</c:v>
                </c:pt>
                <c:pt idx="30">
                  <c:v>49.927952090448905</c:v>
                </c:pt>
                <c:pt idx="31">
                  <c:v>50.054769564913883</c:v>
                </c:pt>
                <c:pt idx="32">
                  <c:v>50.193246156212297</c:v>
                </c:pt>
                <c:pt idx="33">
                  <c:v>50.333172841798721</c:v>
                </c:pt>
                <c:pt idx="34">
                  <c:v>50.475868152723542</c:v>
                </c:pt>
                <c:pt idx="35">
                  <c:v>50.623725974780712</c:v>
                </c:pt>
                <c:pt idx="36">
                  <c:v>50.792900362182763</c:v>
                </c:pt>
                <c:pt idx="37">
                  <c:v>50.970838868167455</c:v>
                </c:pt>
                <c:pt idx="38">
                  <c:v>51.153373967008498</c:v>
                </c:pt>
                <c:pt idx="39">
                  <c:v>51.341419609543607</c:v>
                </c:pt>
                <c:pt idx="40">
                  <c:v>51.537916103755528</c:v>
                </c:pt>
                <c:pt idx="41">
                  <c:v>51.746033162784499</c:v>
                </c:pt>
                <c:pt idx="42">
                  <c:v>51.956191487436165</c:v>
                </c:pt>
                <c:pt idx="43">
                  <c:v>52.153885080529697</c:v>
                </c:pt>
                <c:pt idx="44">
                  <c:v>52.359457053259703</c:v>
                </c:pt>
                <c:pt idx="45">
                  <c:v>52.537367819832653</c:v>
                </c:pt>
                <c:pt idx="46">
                  <c:v>52.723656514669777</c:v>
                </c:pt>
                <c:pt idx="47">
                  <c:v>52.913615789381382</c:v>
                </c:pt>
                <c:pt idx="48">
                  <c:v>53.092380406715769</c:v>
                </c:pt>
                <c:pt idx="49">
                  <c:v>53.265551700199246</c:v>
                </c:pt>
                <c:pt idx="50">
                  <c:v>53.430046303907574</c:v>
                </c:pt>
                <c:pt idx="51">
                  <c:v>53.598258322870713</c:v>
                </c:pt>
                <c:pt idx="52">
                  <c:v>53.761861401390298</c:v>
                </c:pt>
                <c:pt idx="53">
                  <c:v>53.914366269600379</c:v>
                </c:pt>
                <c:pt idx="54">
                  <c:v>54.053830177980522</c:v>
                </c:pt>
                <c:pt idx="55">
                  <c:v>54.206138083695521</c:v>
                </c:pt>
                <c:pt idx="56">
                  <c:v>54.367896472659993</c:v>
                </c:pt>
                <c:pt idx="57">
                  <c:v>54.525106570474733</c:v>
                </c:pt>
                <c:pt idx="58">
                  <c:v>54.676670645666391</c:v>
                </c:pt>
                <c:pt idx="59">
                  <c:v>54.833068675327837</c:v>
                </c:pt>
                <c:pt idx="60">
                  <c:v>55.00102183318937</c:v>
                </c:pt>
                <c:pt idx="61">
                  <c:v>55.16362878700253</c:v>
                </c:pt>
                <c:pt idx="62">
                  <c:v>55.31411993527135</c:v>
                </c:pt>
                <c:pt idx="63">
                  <c:v>55.45995197209551</c:v>
                </c:pt>
                <c:pt idx="64">
                  <c:v>55.609653071433442</c:v>
                </c:pt>
                <c:pt idx="65">
                  <c:v>55.752818188737443</c:v>
                </c:pt>
                <c:pt idx="66">
                  <c:v>55.902221040692176</c:v>
                </c:pt>
                <c:pt idx="67">
                  <c:v>56.045648042605457</c:v>
                </c:pt>
                <c:pt idx="68">
                  <c:v>56.184953007427602</c:v>
                </c:pt>
                <c:pt idx="69">
                  <c:v>56.331486158810712</c:v>
                </c:pt>
                <c:pt idx="70">
                  <c:v>56.47127314567021</c:v>
                </c:pt>
                <c:pt idx="71">
                  <c:v>56.622149734161269</c:v>
                </c:pt>
                <c:pt idx="72">
                  <c:v>56.774500239729193</c:v>
                </c:pt>
                <c:pt idx="73">
                  <c:v>56.92339123750569</c:v>
                </c:pt>
                <c:pt idx="74">
                  <c:v>57.070229194962238</c:v>
                </c:pt>
                <c:pt idx="75">
                  <c:v>57.233061396276263</c:v>
                </c:pt>
                <c:pt idx="76">
                  <c:v>57.342683595288619</c:v>
                </c:pt>
                <c:pt idx="77">
                  <c:v>57.446897705309688</c:v>
                </c:pt>
                <c:pt idx="78">
                  <c:v>57.544106704561884</c:v>
                </c:pt>
                <c:pt idx="79">
                  <c:v>57.637907672287831</c:v>
                </c:pt>
                <c:pt idx="80">
                  <c:v>57.727833814842221</c:v>
                </c:pt>
                <c:pt idx="81">
                  <c:v>57.815588662322554</c:v>
                </c:pt>
                <c:pt idx="82">
                  <c:v>57.898873654142029</c:v>
                </c:pt>
                <c:pt idx="83">
                  <c:v>57.978219897741972</c:v>
                </c:pt>
                <c:pt idx="84">
                  <c:v>58.0546738385612</c:v>
                </c:pt>
                <c:pt idx="85">
                  <c:v>58.128409994891172</c:v>
                </c:pt>
                <c:pt idx="86">
                  <c:v>58.198478482549007</c:v>
                </c:pt>
                <c:pt idx="87">
                  <c:v>58.263138806612496</c:v>
                </c:pt>
                <c:pt idx="88">
                  <c:v>58.322132378615677</c:v>
                </c:pt>
                <c:pt idx="89">
                  <c:v>58.375358049202013</c:v>
                </c:pt>
                <c:pt idx="90">
                  <c:v>58.422914708611955</c:v>
                </c:pt>
                <c:pt idx="91">
                  <c:v>58.461368508538243</c:v>
                </c:pt>
                <c:pt idx="92">
                  <c:v>58.48796134444396</c:v>
                </c:pt>
                <c:pt idx="93">
                  <c:v>58.507931686810686</c:v>
                </c:pt>
                <c:pt idx="94">
                  <c:v>58.519612193915137</c:v>
                </c:pt>
                <c:pt idx="95">
                  <c:v>58.520783683989542</c:v>
                </c:pt>
                <c:pt idx="96">
                  <c:v>58.499898444525634</c:v>
                </c:pt>
                <c:pt idx="97">
                  <c:v>58.478441742108437</c:v>
                </c:pt>
                <c:pt idx="98">
                  <c:v>58.447234103328633</c:v>
                </c:pt>
                <c:pt idx="99">
                  <c:v>58.40310586863248</c:v>
                </c:pt>
                <c:pt idx="100">
                  <c:v>58.342281362736969</c:v>
                </c:pt>
                <c:pt idx="101">
                  <c:v>58.246874202704454</c:v>
                </c:pt>
                <c:pt idx="102">
                  <c:v>58.143655757925892</c:v>
                </c:pt>
                <c:pt idx="103">
                  <c:v>58.00790588692098</c:v>
                </c:pt>
                <c:pt idx="104">
                  <c:v>57.845381979639491</c:v>
                </c:pt>
                <c:pt idx="105">
                  <c:v>57.669334952564625</c:v>
                </c:pt>
                <c:pt idx="106">
                  <c:v>57.471975534378174</c:v>
                </c:pt>
                <c:pt idx="107">
                  <c:v>57.227220922887021</c:v>
                </c:pt>
                <c:pt idx="108">
                  <c:v>56.97999069435911</c:v>
                </c:pt>
                <c:pt idx="109">
                  <c:v>56.69726305398305</c:v>
                </c:pt>
                <c:pt idx="110">
                  <c:v>56.381996371803851</c:v>
                </c:pt>
                <c:pt idx="111">
                  <c:v>56.044487997353016</c:v>
                </c:pt>
                <c:pt idx="112">
                  <c:v>55.703891431242198</c:v>
                </c:pt>
                <c:pt idx="113">
                  <c:v>55.317793991748502</c:v>
                </c:pt>
                <c:pt idx="114">
                  <c:v>54.901492555686175</c:v>
                </c:pt>
                <c:pt idx="115">
                  <c:v>54.432056277500472</c:v>
                </c:pt>
                <c:pt idx="116">
                  <c:v>53.811971045063039</c:v>
                </c:pt>
                <c:pt idx="117">
                  <c:v>53.187011318250129</c:v>
                </c:pt>
                <c:pt idx="118">
                  <c:v>52.54077221471929</c:v>
                </c:pt>
                <c:pt idx="119">
                  <c:v>51.925106608162451</c:v>
                </c:pt>
                <c:pt idx="120">
                  <c:v>51.209246594638309</c:v>
                </c:pt>
                <c:pt idx="121">
                  <c:v>50.396233193637435</c:v>
                </c:pt>
                <c:pt idx="122">
                  <c:v>49.485660367771004</c:v>
                </c:pt>
                <c:pt idx="123">
                  <c:v>48.613825583315617</c:v>
                </c:pt>
                <c:pt idx="124">
                  <c:v>47.753877242529526</c:v>
                </c:pt>
                <c:pt idx="125">
                  <c:v>46.870955473440134</c:v>
                </c:pt>
                <c:pt idx="126">
                  <c:v>45.813057239471206</c:v>
                </c:pt>
                <c:pt idx="127">
                  <c:v>44.705455731544134</c:v>
                </c:pt>
                <c:pt idx="128">
                  <c:v>43.642268356227476</c:v>
                </c:pt>
                <c:pt idx="129">
                  <c:v>42.30289977903702</c:v>
                </c:pt>
                <c:pt idx="130">
                  <c:v>40.834683515962276</c:v>
                </c:pt>
                <c:pt idx="131">
                  <c:v>39.222089461173766</c:v>
                </c:pt>
                <c:pt idx="132">
                  <c:v>37.573915516136211</c:v>
                </c:pt>
                <c:pt idx="133">
                  <c:v>35.903692536463538</c:v>
                </c:pt>
                <c:pt idx="134">
                  <c:v>34.198437180373098</c:v>
                </c:pt>
                <c:pt idx="135">
                  <c:v>32.481041780972689</c:v>
                </c:pt>
                <c:pt idx="136">
                  <c:v>30.599168264943483</c:v>
                </c:pt>
                <c:pt idx="137">
                  <c:v>28.404343502701757</c:v>
                </c:pt>
                <c:pt idx="138">
                  <c:v>26.050488576399069</c:v>
                </c:pt>
                <c:pt idx="139">
                  <c:v>47.641539012456334</c:v>
                </c:pt>
                <c:pt idx="140">
                  <c:v>45.046451407560859</c:v>
                </c:pt>
                <c:pt idx="141">
                  <c:v>42.395734304475369</c:v>
                </c:pt>
                <c:pt idx="142">
                  <c:v>39.840764809033693</c:v>
                </c:pt>
                <c:pt idx="143">
                  <c:v>37.074852841067759</c:v>
                </c:pt>
                <c:pt idx="144">
                  <c:v>34.239785320576416</c:v>
                </c:pt>
                <c:pt idx="145">
                  <c:v>31.554389270741844</c:v>
                </c:pt>
                <c:pt idx="146">
                  <c:v>54.822465848358249</c:v>
                </c:pt>
                <c:pt idx="147">
                  <c:v>51.562765272060261</c:v>
                </c:pt>
                <c:pt idx="148">
                  <c:v>48.081556477681694</c:v>
                </c:pt>
                <c:pt idx="149">
                  <c:v>44.909033008994321</c:v>
                </c:pt>
                <c:pt idx="150">
                  <c:v>41.972806230337198</c:v>
                </c:pt>
                <c:pt idx="151">
                  <c:v>38.736415699058028</c:v>
                </c:pt>
                <c:pt idx="152">
                  <c:v>35.677743692455266</c:v>
                </c:pt>
                <c:pt idx="153">
                  <c:v>32.766751974610216</c:v>
                </c:pt>
                <c:pt idx="154">
                  <c:v>57.250636173120753</c:v>
                </c:pt>
                <c:pt idx="155">
                  <c:v>54.412546169779354</c:v>
                </c:pt>
                <c:pt idx="156">
                  <c:v>51.752621033031005</c:v>
                </c:pt>
                <c:pt idx="157">
                  <c:v>49.235714153824446</c:v>
                </c:pt>
                <c:pt idx="158">
                  <c:v>46.734177241343893</c:v>
                </c:pt>
                <c:pt idx="159">
                  <c:v>44.389458321959147</c:v>
                </c:pt>
                <c:pt idx="160">
                  <c:v>42.006703052667035</c:v>
                </c:pt>
                <c:pt idx="161">
                  <c:v>39.735762646874036</c:v>
                </c:pt>
                <c:pt idx="162">
                  <c:v>37.719368962864145</c:v>
                </c:pt>
                <c:pt idx="163">
                  <c:v>35.490433469139091</c:v>
                </c:pt>
                <c:pt idx="164">
                  <c:v>33.375186706820486</c:v>
                </c:pt>
                <c:pt idx="165">
                  <c:v>31.627202738017218</c:v>
                </c:pt>
                <c:pt idx="166">
                  <c:v>29.922237775529602</c:v>
                </c:pt>
                <c:pt idx="167">
                  <c:v>28.416053257738323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0.10928318448206772</c:v>
                </c:pt>
                <c:pt idx="1">
                  <c:v>0.22523747955451828</c:v>
                </c:pt>
                <c:pt idx="2">
                  <c:v>0.34827732043772969</c:v>
                </c:pt>
                <c:pt idx="3">
                  <c:v>0.47770680983474706</c:v>
                </c:pt>
                <c:pt idx="4">
                  <c:v>0.60611748050879588</c:v>
                </c:pt>
                <c:pt idx="5">
                  <c:v>0.74532266442910455</c:v>
                </c:pt>
                <c:pt idx="6">
                  <c:v>0.88924717840994494</c:v>
                </c:pt>
                <c:pt idx="7">
                  <c:v>1.0312365942173265</c:v>
                </c:pt>
                <c:pt idx="8">
                  <c:v>1.1815787999066294</c:v>
                </c:pt>
                <c:pt idx="9">
                  <c:v>1.3335342798456682</c:v>
                </c:pt>
                <c:pt idx="10">
                  <c:v>1.4976068616729359</c:v>
                </c:pt>
                <c:pt idx="11">
                  <c:v>1.6602548254770206</c:v>
                </c:pt>
                <c:pt idx="12">
                  <c:v>1.8302319587942635</c:v>
                </c:pt>
                <c:pt idx="13">
                  <c:v>1.9919751122624891</c:v>
                </c:pt>
                <c:pt idx="14">
                  <c:v>2.1595737673696682</c:v>
                </c:pt>
                <c:pt idx="15">
                  <c:v>2.3349786587271657</c:v>
                </c:pt>
                <c:pt idx="16">
                  <c:v>2.5077824960567341</c:v>
                </c:pt>
                <c:pt idx="17">
                  <c:v>2.6737140769281185</c:v>
                </c:pt>
                <c:pt idx="18">
                  <c:v>2.8505649959537123</c:v>
                </c:pt>
                <c:pt idx="19">
                  <c:v>3.0343676635206096</c:v>
                </c:pt>
                <c:pt idx="20">
                  <c:v>3.2184647785132623</c:v>
                </c:pt>
                <c:pt idx="21">
                  <c:v>3.4167400996733965</c:v>
                </c:pt>
                <c:pt idx="22">
                  <c:v>3.6197421130743557</c:v>
                </c:pt>
                <c:pt idx="23">
                  <c:v>3.8101459166636289</c:v>
                </c:pt>
                <c:pt idx="24">
                  <c:v>4.0121436631304395</c:v>
                </c:pt>
                <c:pt idx="25">
                  <c:v>4.2268813679384802</c:v>
                </c:pt>
                <c:pt idx="26">
                  <c:v>4.4469821962491549</c:v>
                </c:pt>
                <c:pt idx="27">
                  <c:v>4.66411139013697</c:v>
                </c:pt>
                <c:pt idx="28">
                  <c:v>4.8834979720516962</c:v>
                </c:pt>
                <c:pt idx="29">
                  <c:v>5.0985173720534682</c:v>
                </c:pt>
                <c:pt idx="30">
                  <c:v>5.3227445459583942</c:v>
                </c:pt>
                <c:pt idx="31">
                  <c:v>5.5666944902689446</c:v>
                </c:pt>
                <c:pt idx="32">
                  <c:v>5.8189377702830161</c:v>
                </c:pt>
                <c:pt idx="33">
                  <c:v>6.0667927246343165</c:v>
                </c:pt>
                <c:pt idx="34">
                  <c:v>6.314252179762871</c:v>
                </c:pt>
                <c:pt idx="35">
                  <c:v>6.5613042944841578</c:v>
                </c:pt>
                <c:pt idx="36">
                  <c:v>6.8281019156623444</c:v>
                </c:pt>
                <c:pt idx="37">
                  <c:v>7.1012573118078643</c:v>
                </c:pt>
                <c:pt idx="38">
                  <c:v>7.3787202706251129</c:v>
                </c:pt>
                <c:pt idx="39">
                  <c:v>7.6596151103895735</c:v>
                </c:pt>
                <c:pt idx="40">
                  <c:v>7.9452642504586191</c:v>
                </c:pt>
                <c:pt idx="41">
                  <c:v>8.2393806598605117</c:v>
                </c:pt>
                <c:pt idx="42">
                  <c:v>8.5341782505485497</c:v>
                </c:pt>
                <c:pt idx="43">
                  <c:v>8.8114250870428457</c:v>
                </c:pt>
                <c:pt idx="44">
                  <c:v>9.0967512386743916</c:v>
                </c:pt>
                <c:pt idx="45">
                  <c:v>9.3467743476935556</c:v>
                </c:pt>
                <c:pt idx="46">
                  <c:v>9.6058081278281584</c:v>
                </c:pt>
                <c:pt idx="47">
                  <c:v>9.8678507239730067</c:v>
                </c:pt>
                <c:pt idx="48">
                  <c:v>10.11447285781226</c:v>
                </c:pt>
                <c:pt idx="49">
                  <c:v>10.352639811113304</c:v>
                </c:pt>
                <c:pt idx="50">
                  <c:v>10.578484361180141</c:v>
                </c:pt>
                <c:pt idx="51">
                  <c:v>10.807312161015357</c:v>
                </c:pt>
                <c:pt idx="52">
                  <c:v>11.029217034154703</c:v>
                </c:pt>
                <c:pt idx="53">
                  <c:v>11.236146417788914</c:v>
                </c:pt>
                <c:pt idx="54">
                  <c:v>11.425723842492163</c:v>
                </c:pt>
                <c:pt idx="55">
                  <c:v>11.629419923624873</c:v>
                </c:pt>
                <c:pt idx="56">
                  <c:v>11.842656021450718</c:v>
                </c:pt>
                <c:pt idx="57">
                  <c:v>12.048600988398482</c:v>
                </c:pt>
                <c:pt idx="58">
                  <c:v>12.245815350452085</c:v>
                </c:pt>
                <c:pt idx="59">
                  <c:v>12.447106740856979</c:v>
                </c:pt>
                <c:pt idx="60">
                  <c:v>12.658050319946069</c:v>
                </c:pt>
                <c:pt idx="61">
                  <c:v>12.858884394605933</c:v>
                </c:pt>
                <c:pt idx="62">
                  <c:v>13.042586080432393</c:v>
                </c:pt>
                <c:pt idx="63">
                  <c:v>13.218566233207147</c:v>
                </c:pt>
                <c:pt idx="64">
                  <c:v>13.396808586888451</c:v>
                </c:pt>
                <c:pt idx="65">
                  <c:v>13.565726635509259</c:v>
                </c:pt>
                <c:pt idx="66">
                  <c:v>13.739692840169809</c:v>
                </c:pt>
                <c:pt idx="67">
                  <c:v>13.905333132704401</c:v>
                </c:pt>
                <c:pt idx="68">
                  <c:v>14.064801590866304</c:v>
                </c:pt>
                <c:pt idx="69">
                  <c:v>14.230987728140374</c:v>
                </c:pt>
                <c:pt idx="70">
                  <c:v>14.388837419812521</c:v>
                </c:pt>
                <c:pt idx="71">
                  <c:v>14.557416309365635</c:v>
                </c:pt>
                <c:pt idx="72">
                  <c:v>14.72610357518367</c:v>
                </c:pt>
                <c:pt idx="73">
                  <c:v>14.890259213948433</c:v>
                </c:pt>
                <c:pt idx="74">
                  <c:v>15.051354765568931</c:v>
                </c:pt>
                <c:pt idx="75">
                  <c:v>15.228151548840948</c:v>
                </c:pt>
                <c:pt idx="76">
                  <c:v>15.402295627639129</c:v>
                </c:pt>
                <c:pt idx="77">
                  <c:v>15.578898326306994</c:v>
                </c:pt>
                <c:pt idx="78">
                  <c:v>15.743646793522256</c:v>
                </c:pt>
                <c:pt idx="79">
                  <c:v>15.904592974161387</c:v>
                </c:pt>
                <c:pt idx="80">
                  <c:v>16.062838036989056</c:v>
                </c:pt>
                <c:pt idx="81">
                  <c:v>16.228045246079031</c:v>
                </c:pt>
                <c:pt idx="82">
                  <c:v>16.392805251259571</c:v>
                </c:pt>
                <c:pt idx="83">
                  <c:v>16.547953232672082</c:v>
                </c:pt>
                <c:pt idx="84">
                  <c:v>16.698944798728412</c:v>
                </c:pt>
                <c:pt idx="85">
                  <c:v>16.848949930366068</c:v>
                </c:pt>
                <c:pt idx="86">
                  <c:v>17.008331217362073</c:v>
                </c:pt>
                <c:pt idx="87">
                  <c:v>17.186060547374503</c:v>
                </c:pt>
                <c:pt idx="88">
                  <c:v>17.354909879931235</c:v>
                </c:pt>
                <c:pt idx="89">
                  <c:v>17.517009754037321</c:v>
                </c:pt>
                <c:pt idx="90">
                  <c:v>17.673442756679048</c:v>
                </c:pt>
                <c:pt idx="91">
                  <c:v>17.836555309718555</c:v>
                </c:pt>
                <c:pt idx="92">
                  <c:v>18.01051184703331</c:v>
                </c:pt>
                <c:pt idx="93">
                  <c:v>18.17290904073657</c:v>
                </c:pt>
                <c:pt idx="94">
                  <c:v>18.333999743590372</c:v>
                </c:pt>
                <c:pt idx="95">
                  <c:v>18.493946742922709</c:v>
                </c:pt>
                <c:pt idx="96">
                  <c:v>18.668472630730207</c:v>
                </c:pt>
                <c:pt idx="97">
                  <c:v>18.825383408981285</c:v>
                </c:pt>
                <c:pt idx="98">
                  <c:v>18.980374369071455</c:v>
                </c:pt>
                <c:pt idx="99">
                  <c:v>19.135022525618048</c:v>
                </c:pt>
                <c:pt idx="100">
                  <c:v>19.290694878207514</c:v>
                </c:pt>
                <c:pt idx="101">
                  <c:v>19.460465869019213</c:v>
                </c:pt>
                <c:pt idx="102">
                  <c:v>19.622439871958196</c:v>
                </c:pt>
                <c:pt idx="103">
                  <c:v>19.793269499572869</c:v>
                </c:pt>
                <c:pt idx="104">
                  <c:v>19.966137913835965</c:v>
                </c:pt>
                <c:pt idx="105">
                  <c:v>20.133464564410634</c:v>
                </c:pt>
                <c:pt idx="106">
                  <c:v>20.298768029940504</c:v>
                </c:pt>
                <c:pt idx="107">
                  <c:v>20.473096123316079</c:v>
                </c:pt>
                <c:pt idx="108">
                  <c:v>20.637275613491891</c:v>
                </c:pt>
                <c:pt idx="109">
                  <c:v>20.803999874793156</c:v>
                </c:pt>
                <c:pt idx="110">
                  <c:v>20.971351916977227</c:v>
                </c:pt>
                <c:pt idx="111">
                  <c:v>21.136263041716425</c:v>
                </c:pt>
                <c:pt idx="112">
                  <c:v>21.293579408617948</c:v>
                </c:pt>
                <c:pt idx="113">
                  <c:v>21.455489977719402</c:v>
                </c:pt>
                <c:pt idx="114">
                  <c:v>21.61641234538352</c:v>
                </c:pt>
                <c:pt idx="115">
                  <c:v>21.781093178760827</c:v>
                </c:pt>
                <c:pt idx="116">
                  <c:v>21.96834767783869</c:v>
                </c:pt>
                <c:pt idx="117">
                  <c:v>22.144998410648267</c:v>
                </c:pt>
                <c:pt idx="118">
                  <c:v>22.316864722555561</c:v>
                </c:pt>
                <c:pt idx="119">
                  <c:v>22.475754511031099</c:v>
                </c:pt>
                <c:pt idx="120">
                  <c:v>22.642588819172577</c:v>
                </c:pt>
                <c:pt idx="121">
                  <c:v>22.815475984256867</c:v>
                </c:pt>
                <c:pt idx="122">
                  <c:v>22.994006273490729</c:v>
                </c:pt>
                <c:pt idx="123">
                  <c:v>23.159500488609467</c:v>
                </c:pt>
                <c:pt idx="124">
                  <c:v>23.318129607266297</c:v>
                </c:pt>
                <c:pt idx="125">
                  <c:v>23.474738802813018</c:v>
                </c:pt>
                <c:pt idx="126">
                  <c:v>23.644375628957924</c:v>
                </c:pt>
                <c:pt idx="127">
                  <c:v>23.813546911672127</c:v>
                </c:pt>
                <c:pt idx="128">
                  <c:v>23.972433537591357</c:v>
                </c:pt>
                <c:pt idx="129">
                  <c:v>24.150895594300444</c:v>
                </c:pt>
                <c:pt idx="130">
                  <c:v>24.333574668028508</c:v>
                </c:pt>
                <c:pt idx="131">
                  <c:v>24.522546922290328</c:v>
                </c:pt>
                <c:pt idx="132">
                  <c:v>24.70703757509995</c:v>
                </c:pt>
                <c:pt idx="133">
                  <c:v>24.885960049006702</c:v>
                </c:pt>
                <c:pt idx="134">
                  <c:v>25.062452938333717</c:v>
                </c:pt>
                <c:pt idx="135">
                  <c:v>25.234116801103873</c:v>
                </c:pt>
                <c:pt idx="136">
                  <c:v>25.412070057129512</c:v>
                </c:pt>
                <c:pt idx="137">
                  <c:v>25.60537299515061</c:v>
                </c:pt>
                <c:pt idx="138">
                  <c:v>25.802437321692668</c:v>
                </c:pt>
                <c:pt idx="139">
                  <c:v>26.009772800015028</c:v>
                </c:pt>
                <c:pt idx="140">
                  <c:v>26.209570013825982</c:v>
                </c:pt>
                <c:pt idx="141">
                  <c:v>26.407872057492462</c:v>
                </c:pt>
                <c:pt idx="142">
                  <c:v>26.596765300365782</c:v>
                </c:pt>
                <c:pt idx="143">
                  <c:v>26.794025289423125</c:v>
                </c:pt>
                <c:pt idx="144">
                  <c:v>26.993139220183515</c:v>
                </c:pt>
                <c:pt idx="145">
                  <c:v>27.180738408355051</c:v>
                </c:pt>
                <c:pt idx="146">
                  <c:v>27.379003594541008</c:v>
                </c:pt>
                <c:pt idx="147">
                  <c:v>27.593797649187678</c:v>
                </c:pt>
                <c:pt idx="148">
                  <c:v>27.820687817577411</c:v>
                </c:pt>
                <c:pt idx="149">
                  <c:v>28.031008690558657</c:v>
                </c:pt>
                <c:pt idx="150">
                  <c:v>28.228834781092509</c:v>
                </c:pt>
                <c:pt idx="151">
                  <c:v>28.445178778364951</c:v>
                </c:pt>
                <c:pt idx="152">
                  <c:v>28.654445786312916</c:v>
                </c:pt>
                <c:pt idx="153">
                  <c:v>28.85924488635764</c:v>
                </c:pt>
                <c:pt idx="154">
                  <c:v>29.068606858798415</c:v>
                </c:pt>
                <c:pt idx="155">
                  <c:v>29.278477674550714</c:v>
                </c:pt>
                <c:pt idx="156">
                  <c:v>29.484794745393227</c:v>
                </c:pt>
                <c:pt idx="157">
                  <c:v>29.688273124768699</c:v>
                </c:pt>
                <c:pt idx="158">
                  <c:v>29.897461647078277</c:v>
                </c:pt>
                <c:pt idx="159">
                  <c:v>30.102696840321482</c:v>
                </c:pt>
                <c:pt idx="160">
                  <c:v>30.317812695485053</c:v>
                </c:pt>
                <c:pt idx="161">
                  <c:v>30.53301143510339</c:v>
                </c:pt>
                <c:pt idx="162">
                  <c:v>30.736171364340503</c:v>
                </c:pt>
                <c:pt idx="163">
                  <c:v>30.969716385280947</c:v>
                </c:pt>
                <c:pt idx="164">
                  <c:v>31.208934376988239</c:v>
                </c:pt>
                <c:pt idx="165">
                  <c:v>31.42358823863767</c:v>
                </c:pt>
                <c:pt idx="166">
                  <c:v>31.648568430158576</c:v>
                </c:pt>
                <c:pt idx="167">
                  <c:v>31.863960179627071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-0.18207788154540056</c:v>
                </c:pt>
                <c:pt idx="2">
                  <c:v>-0.37763341462983069</c:v>
                </c:pt>
                <c:pt idx="3">
                  <c:v>-0.58342066659207803</c:v>
                </c:pt>
                <c:pt idx="4">
                  <c:v>-0.79312097787483382</c:v>
                </c:pt>
                <c:pt idx="5">
                  <c:v>-1.019208984341067</c:v>
                </c:pt>
                <c:pt idx="6">
                  <c:v>-1.2449527501088145</c:v>
                </c:pt>
                <c:pt idx="7">
                  <c:v>-1.4627887030475635</c:v>
                </c:pt>
                <c:pt idx="8">
                  <c:v>-1.6826407511205159</c:v>
                </c:pt>
                <c:pt idx="9">
                  <c:v>-1.8956913673127938</c:v>
                </c:pt>
                <c:pt idx="10">
                  <c:v>-2.1077273011229014</c:v>
                </c:pt>
                <c:pt idx="11">
                  <c:v>-2.3127648514678518</c:v>
                </c:pt>
                <c:pt idx="12">
                  <c:v>-2.5177904837806695</c:v>
                </c:pt>
                <c:pt idx="13">
                  <c:v>-2.7086915996413161</c:v>
                </c:pt>
                <c:pt idx="14">
                  <c:v>-2.8987014421392758</c:v>
                </c:pt>
                <c:pt idx="15">
                  <c:v>-3.085997595543176</c:v>
                </c:pt>
                <c:pt idx="16">
                  <c:v>-3.2644405931797351</c:v>
                </c:pt>
                <c:pt idx="17">
                  <c:v>-3.4333639957979565</c:v>
                </c:pt>
                <c:pt idx="18">
                  <c:v>-3.6023629034089986</c:v>
                </c:pt>
                <c:pt idx="19">
                  <c:v>-3.7682938650920996</c:v>
                </c:pt>
                <c:pt idx="20">
                  <c:v>-3.9302453152769519</c:v>
                </c:pt>
                <c:pt idx="21">
                  <c:v>-4.0886918503452652</c:v>
                </c:pt>
                <c:pt idx="22">
                  <c:v>-4.2395732792724719</c:v>
                </c:pt>
                <c:pt idx="23">
                  <c:v>-4.3790546543305027</c:v>
                </c:pt>
                <c:pt idx="24">
                  <c:v>-4.5186186469976768</c:v>
                </c:pt>
                <c:pt idx="25">
                  <c:v>-4.6581146353504295</c:v>
                </c:pt>
                <c:pt idx="26">
                  <c:v>-4.795405273062098</c:v>
                </c:pt>
                <c:pt idx="27">
                  <c:v>-4.9256387892949256</c:v>
                </c:pt>
                <c:pt idx="28">
                  <c:v>-5.0507653225622882</c:v>
                </c:pt>
                <c:pt idx="29">
                  <c:v>-5.1690426969977823</c:v>
                </c:pt>
                <c:pt idx="30">
                  <c:v>-5.2855092710274194</c:v>
                </c:pt>
                <c:pt idx="31">
                  <c:v>-5.4026417408729897</c:v>
                </c:pt>
                <c:pt idx="32">
                  <c:v>-5.5164084295886493</c:v>
                </c:pt>
                <c:pt idx="33">
                  <c:v>-5.6243366983535195</c:v>
                </c:pt>
                <c:pt idx="34">
                  <c:v>-5.7291008425572567</c:v>
                </c:pt>
                <c:pt idx="35">
                  <c:v>-5.8282951352213725</c:v>
                </c:pt>
                <c:pt idx="36">
                  <c:v>-5.9259183689975083</c:v>
                </c:pt>
                <c:pt idx="37">
                  <c:v>-6.0211352591583385</c:v>
                </c:pt>
                <c:pt idx="38">
                  <c:v>-6.1160631191345418</c:v>
                </c:pt>
                <c:pt idx="39">
                  <c:v>-6.2089123163638913</c:v>
                </c:pt>
                <c:pt idx="40">
                  <c:v>-6.298064962221015</c:v>
                </c:pt>
                <c:pt idx="41">
                  <c:v>-6.3840643125939405</c:v>
                </c:pt>
                <c:pt idx="42">
                  <c:v>-6.4687035786303193</c:v>
                </c:pt>
                <c:pt idx="43">
                  <c:v>-6.5482568220310808</c:v>
                </c:pt>
                <c:pt idx="44">
                  <c:v>-6.6280110009326201</c:v>
                </c:pt>
                <c:pt idx="45">
                  <c:v>-6.7001233433788343</c:v>
                </c:pt>
                <c:pt idx="46">
                  <c:v>-6.772868428676313</c:v>
                </c:pt>
                <c:pt idx="47">
                  <c:v>-6.8449517501095549</c:v>
                </c:pt>
                <c:pt idx="48">
                  <c:v>-6.9128092666144223</c:v>
                </c:pt>
                <c:pt idx="49">
                  <c:v>-6.9778049264319932</c:v>
                </c:pt>
                <c:pt idx="50">
                  <c:v>-7.0391548727905047</c:v>
                </c:pt>
                <c:pt idx="51">
                  <c:v>-7.0997706536625804</c:v>
                </c:pt>
                <c:pt idx="52">
                  <c:v>-7.158072448282339</c:v>
                </c:pt>
                <c:pt idx="53">
                  <c:v>-7.2124969637064726</c:v>
                </c:pt>
                <c:pt idx="54">
                  <c:v>-7.2626104800295819</c:v>
                </c:pt>
                <c:pt idx="55">
                  <c:v>-7.3139986554472936</c:v>
                </c:pt>
                <c:pt idx="56">
                  <c:v>-7.3654763643086625</c:v>
                </c:pt>
                <c:pt idx="57">
                  <c:v>-7.414211233441681</c:v>
                </c:pt>
                <c:pt idx="58">
                  <c:v>-7.4598615203036251</c:v>
                </c:pt>
                <c:pt idx="59">
                  <c:v>-7.5047548810470719</c:v>
                </c:pt>
                <c:pt idx="60">
                  <c:v>-7.5477453022746266</c:v>
                </c:pt>
                <c:pt idx="61">
                  <c:v>-7.5859724231213299</c:v>
                </c:pt>
                <c:pt idx="62">
                  <c:v>-7.6191829606789758</c:v>
                </c:pt>
                <c:pt idx="63">
                  <c:v>-7.6493310766295677</c:v>
                </c:pt>
                <c:pt idx="64">
                  <c:v>-7.677872330972944</c:v>
                </c:pt>
                <c:pt idx="65">
                  <c:v>-7.7036252622897514</c:v>
                </c:pt>
                <c:pt idx="66">
                  <c:v>-7.7281886149955685</c:v>
                </c:pt>
                <c:pt idx="67">
                  <c:v>-7.7504019056168749</c:v>
                </c:pt>
                <c:pt idx="68">
                  <c:v>-7.7705653989566326</c:v>
                </c:pt>
                <c:pt idx="69">
                  <c:v>-7.7902183848475897</c:v>
                </c:pt>
                <c:pt idx="70">
                  <c:v>-7.8082810896602393</c:v>
                </c:pt>
                <c:pt idx="71">
                  <c:v>-7.8259833907222927</c:v>
                </c:pt>
                <c:pt idx="72">
                  <c:v>-7.8423201509724088</c:v>
                </c:pt>
                <c:pt idx="73">
                  <c:v>-7.8575847919606741</c:v>
                </c:pt>
                <c:pt idx="74">
                  <c:v>-7.8718423861246238</c:v>
                </c:pt>
                <c:pt idx="75">
                  <c:v>-7.8858069680826173</c:v>
                </c:pt>
                <c:pt idx="76">
                  <c:v>-7.8984381618902066</c:v>
                </c:pt>
                <c:pt idx="77">
                  <c:v>-7.9102218978415673</c:v>
                </c:pt>
                <c:pt idx="78">
                  <c:v>-7.9209668852493635</c:v>
                </c:pt>
                <c:pt idx="79">
                  <c:v>-7.9311754145444011</c:v>
                </c:pt>
                <c:pt idx="80">
                  <c:v>-7.940602835497355</c:v>
                </c:pt>
                <c:pt idx="81">
                  <c:v>-7.949591308827932</c:v>
                </c:pt>
                <c:pt idx="82">
                  <c:v>-7.9579148644688074</c:v>
                </c:pt>
                <c:pt idx="83">
                  <c:v>-7.9657830689735301</c:v>
                </c:pt>
                <c:pt idx="84">
                  <c:v>-7.9732562172152459</c:v>
                </c:pt>
                <c:pt idx="85">
                  <c:v>-7.980392199187639</c:v>
                </c:pt>
                <c:pt idx="86">
                  <c:v>-7.9873825492647832</c:v>
                </c:pt>
                <c:pt idx="87">
                  <c:v>-7.9943969671297861</c:v>
                </c:pt>
                <c:pt idx="88">
                  <c:v>-8.000838866586518</c:v>
                </c:pt>
                <c:pt idx="89">
                  <c:v>-8.0066532127280432</c:v>
                </c:pt>
                <c:pt idx="90">
                  <c:v>-8.0118629689775567</c:v>
                </c:pt>
                <c:pt idx="91">
                  <c:v>-8.0167650075846009</c:v>
                </c:pt>
                <c:pt idx="92">
                  <c:v>-8.0214888839751612</c:v>
                </c:pt>
                <c:pt idx="93">
                  <c:v>-8.0255180275000484</c:v>
                </c:pt>
                <c:pt idx="94">
                  <c:v>-8.029243738930532</c:v>
                </c:pt>
                <c:pt idx="95">
                  <c:v>-8.0325420873708424</c:v>
                </c:pt>
                <c:pt idx="96">
                  <c:v>-8.0356776574174393</c:v>
                </c:pt>
                <c:pt idx="97">
                  <c:v>-8.0382801691442456</c:v>
                </c:pt>
                <c:pt idx="98">
                  <c:v>-8.0406488932233344</c:v>
                </c:pt>
                <c:pt idx="99">
                  <c:v>-8.0427386143336168</c:v>
                </c:pt>
                <c:pt idx="100">
                  <c:v>-8.0445063538505419</c:v>
                </c:pt>
                <c:pt idx="101">
                  <c:v>-8.0461460977529633</c:v>
                </c:pt>
                <c:pt idx="102">
                  <c:v>-8.0475932984370466</c:v>
                </c:pt>
                <c:pt idx="103">
                  <c:v>-8.0489863325458639</c:v>
                </c:pt>
                <c:pt idx="104">
                  <c:v>-8.050239127514395</c:v>
                </c:pt>
                <c:pt idx="105">
                  <c:v>-8.0513711991394281</c:v>
                </c:pt>
                <c:pt idx="106">
                  <c:v>-8.0523301898353097</c:v>
                </c:pt>
                <c:pt idx="107">
                  <c:v>-8.0532276363758015</c:v>
                </c:pt>
                <c:pt idx="108">
                  <c:v>-8.0540665127296496</c:v>
                </c:pt>
                <c:pt idx="109">
                  <c:v>-8.0548420545072901</c:v>
                </c:pt>
                <c:pt idx="110">
                  <c:v>-8.055568258447483</c:v>
                </c:pt>
                <c:pt idx="111">
                  <c:v>-8.0563003932072661</c:v>
                </c:pt>
                <c:pt idx="112">
                  <c:v>-8.0569830584069599</c:v>
                </c:pt>
                <c:pt idx="113">
                  <c:v>-8.0577389154336601</c:v>
                </c:pt>
                <c:pt idx="114">
                  <c:v>-8.0584415447424274</c:v>
                </c:pt>
                <c:pt idx="115">
                  <c:v>-8.0591188967810723</c:v>
                </c:pt>
                <c:pt idx="116">
                  <c:v>-8.0597911452280329</c:v>
                </c:pt>
                <c:pt idx="117">
                  <c:v>-8.0603990941463515</c:v>
                </c:pt>
                <c:pt idx="118">
                  <c:v>-8.0610577733460733</c:v>
                </c:pt>
                <c:pt idx="119">
                  <c:v>-8.0616591936755366</c:v>
                </c:pt>
                <c:pt idx="120">
                  <c:v>-8.0622122292224887</c:v>
                </c:pt>
                <c:pt idx="121">
                  <c:v>-8.0627269128580679</c:v>
                </c:pt>
                <c:pt idx="122">
                  <c:v>-8.0632920387735041</c:v>
                </c:pt>
                <c:pt idx="123">
                  <c:v>-8.0638325810412432</c:v>
                </c:pt>
                <c:pt idx="124">
                  <c:v>-8.0644226750879184</c:v>
                </c:pt>
                <c:pt idx="125">
                  <c:v>-8.0650655560616507</c:v>
                </c:pt>
                <c:pt idx="126">
                  <c:v>-8.0657255493342479</c:v>
                </c:pt>
                <c:pt idx="127">
                  <c:v>-8.0664288672593152</c:v>
                </c:pt>
                <c:pt idx="128">
                  <c:v>-8.067061887714118</c:v>
                </c:pt>
                <c:pt idx="129">
                  <c:v>-8.0676903725328142</c:v>
                </c:pt>
                <c:pt idx="130">
                  <c:v>-8.068281180535152</c:v>
                </c:pt>
                <c:pt idx="131">
                  <c:v>-8.0689285084132081</c:v>
                </c:pt>
                <c:pt idx="132">
                  <c:v>-8.0695376079341372</c:v>
                </c:pt>
                <c:pt idx="133">
                  <c:v>-8.0700683152716906</c:v>
                </c:pt>
                <c:pt idx="134">
                  <c:v>-8.0706076870613703</c:v>
                </c:pt>
                <c:pt idx="135">
                  <c:v>-8.0710837753325304</c:v>
                </c:pt>
                <c:pt idx="136">
                  <c:v>-8.0715436218569199</c:v>
                </c:pt>
                <c:pt idx="137">
                  <c:v>-8.0719849433866457</c:v>
                </c:pt>
                <c:pt idx="138">
                  <c:v>-8.0723737130217383</c:v>
                </c:pt>
                <c:pt idx="139">
                  <c:v>-8.072732732038963</c:v>
                </c:pt>
                <c:pt idx="140">
                  <c:v>-8.0730417877303182</c:v>
                </c:pt>
                <c:pt idx="141">
                  <c:v>-8.0733295928817661</c:v>
                </c:pt>
                <c:pt idx="142">
                  <c:v>-8.0735923628895101</c:v>
                </c:pt>
                <c:pt idx="143">
                  <c:v>-8.0738320531144918</c:v>
                </c:pt>
                <c:pt idx="144">
                  <c:v>-8.0740717473535728</c:v>
                </c:pt>
                <c:pt idx="145">
                  <c:v>-8.0742553901662397</c:v>
                </c:pt>
                <c:pt idx="146">
                  <c:v>-8.0744124441836327</c:v>
                </c:pt>
                <c:pt idx="147">
                  <c:v>-8.0745417027867461</c:v>
                </c:pt>
                <c:pt idx="148">
                  <c:v>-8.0746543375882069</c:v>
                </c:pt>
                <c:pt idx="149">
                  <c:v>-8.0747486407188802</c:v>
                </c:pt>
                <c:pt idx="150">
                  <c:v>-8.074812672873156</c:v>
                </c:pt>
                <c:pt idx="151">
                  <c:v>-8.0748563987265278</c:v>
                </c:pt>
                <c:pt idx="152">
                  <c:v>-8.0748766511728292</c:v>
                </c:pt>
                <c:pt idx="153">
                  <c:v>-8.0748707945960838</c:v>
                </c:pt>
                <c:pt idx="154">
                  <c:v>-8.0748341858200341</c:v>
                </c:pt>
                <c:pt idx="155">
                  <c:v>-8.0747650937107771</c:v>
                </c:pt>
                <c:pt idx="156">
                  <c:v>-8.0746436051397055</c:v>
                </c:pt>
                <c:pt idx="157">
                  <c:v>-8.0744734537427121</c:v>
                </c:pt>
                <c:pt idx="158">
                  <c:v>-8.0742506712152871</c:v>
                </c:pt>
                <c:pt idx="159">
                  <c:v>-8.0739889473680755</c:v>
                </c:pt>
                <c:pt idx="160">
                  <c:v>-8.0737006292543541</c:v>
                </c:pt>
                <c:pt idx="161">
                  <c:v>-8.0733945210009246</c:v>
                </c:pt>
                <c:pt idx="162">
                  <c:v>-8.0730947115974256</c:v>
                </c:pt>
                <c:pt idx="163">
                  <c:v>-8.0727384179064874</c:v>
                </c:pt>
                <c:pt idx="164">
                  <c:v>-8.0722952223382389</c:v>
                </c:pt>
                <c:pt idx="165">
                  <c:v>-8.0718782824600641</c:v>
                </c:pt>
                <c:pt idx="166">
                  <c:v>-8.0713767221288606</c:v>
                </c:pt>
                <c:pt idx="167">
                  <c:v>-8.0708854365952014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  <c:pt idx="27">
                  <c:v>45319</c:v>
                </c:pt>
                <c:pt idx="28">
                  <c:v>45320</c:v>
                </c:pt>
                <c:pt idx="29">
                  <c:v>45321</c:v>
                </c:pt>
                <c:pt idx="30">
                  <c:v>45322</c:v>
                </c:pt>
                <c:pt idx="31">
                  <c:v>45323</c:v>
                </c:pt>
                <c:pt idx="32">
                  <c:v>45324</c:v>
                </c:pt>
                <c:pt idx="33">
                  <c:v>45325</c:v>
                </c:pt>
                <c:pt idx="34">
                  <c:v>45326</c:v>
                </c:pt>
                <c:pt idx="35">
                  <c:v>45327</c:v>
                </c:pt>
                <c:pt idx="36">
                  <c:v>45328</c:v>
                </c:pt>
                <c:pt idx="37">
                  <c:v>45329</c:v>
                </c:pt>
                <c:pt idx="38">
                  <c:v>45330</c:v>
                </c:pt>
                <c:pt idx="39">
                  <c:v>45331</c:v>
                </c:pt>
                <c:pt idx="40">
                  <c:v>45332</c:v>
                </c:pt>
                <c:pt idx="41">
                  <c:v>45333</c:v>
                </c:pt>
                <c:pt idx="42">
                  <c:v>45334</c:v>
                </c:pt>
                <c:pt idx="43">
                  <c:v>45335</c:v>
                </c:pt>
                <c:pt idx="44">
                  <c:v>45336</c:v>
                </c:pt>
                <c:pt idx="45">
                  <c:v>45337</c:v>
                </c:pt>
                <c:pt idx="46">
                  <c:v>45338</c:v>
                </c:pt>
                <c:pt idx="47">
                  <c:v>45339</c:v>
                </c:pt>
                <c:pt idx="48">
                  <c:v>45340</c:v>
                </c:pt>
                <c:pt idx="49">
                  <c:v>45341</c:v>
                </c:pt>
                <c:pt idx="50">
                  <c:v>45342</c:v>
                </c:pt>
                <c:pt idx="51">
                  <c:v>45343</c:v>
                </c:pt>
                <c:pt idx="52">
                  <c:v>45344</c:v>
                </c:pt>
                <c:pt idx="53">
                  <c:v>45345</c:v>
                </c:pt>
                <c:pt idx="54">
                  <c:v>45346</c:v>
                </c:pt>
                <c:pt idx="55">
                  <c:v>45347</c:v>
                </c:pt>
                <c:pt idx="56">
                  <c:v>45348</c:v>
                </c:pt>
                <c:pt idx="57">
                  <c:v>45349</c:v>
                </c:pt>
                <c:pt idx="58">
                  <c:v>45350</c:v>
                </c:pt>
                <c:pt idx="59">
                  <c:v>45351</c:v>
                </c:pt>
                <c:pt idx="60">
                  <c:v>45352</c:v>
                </c:pt>
                <c:pt idx="61">
                  <c:v>45353</c:v>
                </c:pt>
                <c:pt idx="62">
                  <c:v>45354</c:v>
                </c:pt>
                <c:pt idx="63">
                  <c:v>45355</c:v>
                </c:pt>
                <c:pt idx="64">
                  <c:v>45356</c:v>
                </c:pt>
                <c:pt idx="65">
                  <c:v>45357</c:v>
                </c:pt>
                <c:pt idx="66">
                  <c:v>45358</c:v>
                </c:pt>
                <c:pt idx="67">
                  <c:v>45359</c:v>
                </c:pt>
                <c:pt idx="68">
                  <c:v>45360</c:v>
                </c:pt>
                <c:pt idx="69">
                  <c:v>45361</c:v>
                </c:pt>
                <c:pt idx="70">
                  <c:v>45362</c:v>
                </c:pt>
                <c:pt idx="71">
                  <c:v>45363</c:v>
                </c:pt>
                <c:pt idx="72">
                  <c:v>45364</c:v>
                </c:pt>
                <c:pt idx="73">
                  <c:v>45365</c:v>
                </c:pt>
                <c:pt idx="74">
                  <c:v>45366</c:v>
                </c:pt>
                <c:pt idx="75">
                  <c:v>45367</c:v>
                </c:pt>
                <c:pt idx="76">
                  <c:v>45368</c:v>
                </c:pt>
                <c:pt idx="77">
                  <c:v>45369</c:v>
                </c:pt>
                <c:pt idx="78">
                  <c:v>45370</c:v>
                </c:pt>
                <c:pt idx="79">
                  <c:v>45371</c:v>
                </c:pt>
                <c:pt idx="80">
                  <c:v>45372</c:v>
                </c:pt>
                <c:pt idx="81">
                  <c:v>45373</c:v>
                </c:pt>
                <c:pt idx="82">
                  <c:v>45374</c:v>
                </c:pt>
                <c:pt idx="83">
                  <c:v>45375</c:v>
                </c:pt>
                <c:pt idx="84">
                  <c:v>45376</c:v>
                </c:pt>
                <c:pt idx="85">
                  <c:v>45377</c:v>
                </c:pt>
                <c:pt idx="86">
                  <c:v>45378</c:v>
                </c:pt>
                <c:pt idx="87">
                  <c:v>45379</c:v>
                </c:pt>
                <c:pt idx="88">
                  <c:v>45380</c:v>
                </c:pt>
                <c:pt idx="89">
                  <c:v>45381</c:v>
                </c:pt>
                <c:pt idx="90">
                  <c:v>45382</c:v>
                </c:pt>
                <c:pt idx="91">
                  <c:v>45383</c:v>
                </c:pt>
                <c:pt idx="92">
                  <c:v>45384</c:v>
                </c:pt>
                <c:pt idx="93">
                  <c:v>45385</c:v>
                </c:pt>
                <c:pt idx="94">
                  <c:v>45386</c:v>
                </c:pt>
                <c:pt idx="95">
                  <c:v>45387</c:v>
                </c:pt>
                <c:pt idx="96">
                  <c:v>45388</c:v>
                </c:pt>
                <c:pt idx="97">
                  <c:v>45389</c:v>
                </c:pt>
                <c:pt idx="98">
                  <c:v>45390</c:v>
                </c:pt>
                <c:pt idx="99">
                  <c:v>45391</c:v>
                </c:pt>
                <c:pt idx="100">
                  <c:v>45392</c:v>
                </c:pt>
                <c:pt idx="101">
                  <c:v>45393</c:v>
                </c:pt>
                <c:pt idx="102">
                  <c:v>45394</c:v>
                </c:pt>
                <c:pt idx="103">
                  <c:v>45395</c:v>
                </c:pt>
                <c:pt idx="104">
                  <c:v>45396</c:v>
                </c:pt>
                <c:pt idx="105">
                  <c:v>45397</c:v>
                </c:pt>
                <c:pt idx="106">
                  <c:v>45398</c:v>
                </c:pt>
                <c:pt idx="107">
                  <c:v>45399</c:v>
                </c:pt>
                <c:pt idx="108">
                  <c:v>45400</c:v>
                </c:pt>
                <c:pt idx="109">
                  <c:v>45401</c:v>
                </c:pt>
                <c:pt idx="110">
                  <c:v>45402</c:v>
                </c:pt>
                <c:pt idx="111">
                  <c:v>45403</c:v>
                </c:pt>
                <c:pt idx="112">
                  <c:v>45404</c:v>
                </c:pt>
                <c:pt idx="113">
                  <c:v>45405</c:v>
                </c:pt>
                <c:pt idx="114">
                  <c:v>45406</c:v>
                </c:pt>
                <c:pt idx="115">
                  <c:v>45407</c:v>
                </c:pt>
                <c:pt idx="116">
                  <c:v>45408</c:v>
                </c:pt>
                <c:pt idx="117">
                  <c:v>45409</c:v>
                </c:pt>
                <c:pt idx="118">
                  <c:v>45410</c:v>
                </c:pt>
                <c:pt idx="119">
                  <c:v>45411</c:v>
                </c:pt>
                <c:pt idx="120">
                  <c:v>45412</c:v>
                </c:pt>
                <c:pt idx="121">
                  <c:v>45413</c:v>
                </c:pt>
                <c:pt idx="122">
                  <c:v>45414</c:v>
                </c:pt>
                <c:pt idx="123">
                  <c:v>45415</c:v>
                </c:pt>
                <c:pt idx="124">
                  <c:v>45416</c:v>
                </c:pt>
                <c:pt idx="125">
                  <c:v>45417</c:v>
                </c:pt>
                <c:pt idx="126">
                  <c:v>45418</c:v>
                </c:pt>
                <c:pt idx="127">
                  <c:v>45419</c:v>
                </c:pt>
                <c:pt idx="128">
                  <c:v>45420</c:v>
                </c:pt>
                <c:pt idx="129">
                  <c:v>45421</c:v>
                </c:pt>
                <c:pt idx="130">
                  <c:v>45422</c:v>
                </c:pt>
                <c:pt idx="131">
                  <c:v>45423</c:v>
                </c:pt>
                <c:pt idx="132">
                  <c:v>45424</c:v>
                </c:pt>
                <c:pt idx="133">
                  <c:v>45425</c:v>
                </c:pt>
                <c:pt idx="134">
                  <c:v>45426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1.5604044247967603</c:v>
                </c:pt>
                <c:pt idx="15">
                  <c:v>1.6506371518941509</c:v>
                </c:pt>
                <c:pt idx="16">
                  <c:v>1.7454050042526168</c:v>
                </c:pt>
                <c:pt idx="17">
                  <c:v>1.8491427577454498</c:v>
                </c:pt>
                <c:pt idx="18">
                  <c:v>1.95735825283801</c:v>
                </c:pt>
                <c:pt idx="19">
                  <c:v>2.0641953072884336</c:v>
                </c:pt>
                <c:pt idx="20">
                  <c:v>2.188002099040367</c:v>
                </c:pt>
                <c:pt idx="21">
                  <c:v>2.3251084782090214</c:v>
                </c:pt>
                <c:pt idx="22">
                  <c:v>2.4619288705947913</c:v>
                </c:pt>
                <c:pt idx="23">
                  <c:v>2.6037588471915387</c:v>
                </c:pt>
                <c:pt idx="24">
                  <c:v>2.7522840399693789</c:v>
                </c:pt>
                <c:pt idx="25">
                  <c:v>2.906657779162356</c:v>
                </c:pt>
                <c:pt idx="26">
                  <c:v>3.0685496356141075</c:v>
                </c:pt>
                <c:pt idx="27">
                  <c:v>3.2469574994412067</c:v>
                </c:pt>
                <c:pt idx="28">
                  <c:v>3.4405844412460049</c:v>
                </c:pt>
                <c:pt idx="29">
                  <c:v>3.6519628944578644</c:v>
                </c:pt>
                <c:pt idx="30">
                  <c:v>3.8776331424412329</c:v>
                </c:pt>
                <c:pt idx="31">
                  <c:v>4.1092419728169611</c:v>
                </c:pt>
                <c:pt idx="32">
                  <c:v>4.3396380098426039</c:v>
                </c:pt>
                <c:pt idx="33">
                  <c:v>4.5798098068495978</c:v>
                </c:pt>
                <c:pt idx="34">
                  <c:v>4.858169231557679</c:v>
                </c:pt>
                <c:pt idx="35">
                  <c:v>5.1219779413457509</c:v>
                </c:pt>
                <c:pt idx="36">
                  <c:v>5.4079111470874741</c:v>
                </c:pt>
                <c:pt idx="37">
                  <c:v>5.709195304492571</c:v>
                </c:pt>
                <c:pt idx="38">
                  <c:v>6.0333053119619677</c:v>
                </c:pt>
                <c:pt idx="39">
                  <c:v>6.3773509552966727</c:v>
                </c:pt>
                <c:pt idx="40">
                  <c:v>6.7384192248051145</c:v>
                </c:pt>
                <c:pt idx="41">
                  <c:v>7.1336344134491618</c:v>
                </c:pt>
                <c:pt idx="42">
                  <c:v>7.5632406842893056</c:v>
                </c:pt>
                <c:pt idx="43">
                  <c:v>7.9767736449942337</c:v>
                </c:pt>
                <c:pt idx="44">
                  <c:v>8.3981494759206559</c:v>
                </c:pt>
                <c:pt idx="45">
                  <c:v>8.8288723702968497</c:v>
                </c:pt>
                <c:pt idx="46">
                  <c:v>9.2977812513583054</c:v>
                </c:pt>
                <c:pt idx="47">
                  <c:v>9.8257544841377733</c:v>
                </c:pt>
                <c:pt idx="48">
                  <c:v>10.395887073766046</c:v>
                </c:pt>
                <c:pt idx="49">
                  <c:v>10.976998793933488</c:v>
                </c:pt>
                <c:pt idx="50">
                  <c:v>11.576613686565489</c:v>
                </c:pt>
                <c:pt idx="51">
                  <c:v>12.208621591066404</c:v>
                </c:pt>
                <c:pt idx="52">
                  <c:v>12.860365962906098</c:v>
                </c:pt>
                <c:pt idx="53">
                  <c:v>13.531810216180364</c:v>
                </c:pt>
                <c:pt idx="54">
                  <c:v>14.266846071466363</c:v>
                </c:pt>
                <c:pt idx="55">
                  <c:v>15.011109388671077</c:v>
                </c:pt>
                <c:pt idx="56">
                  <c:v>15.791219083614568</c:v>
                </c:pt>
                <c:pt idx="57">
                  <c:v>16.609619085143873</c:v>
                </c:pt>
                <c:pt idx="58">
                  <c:v>17.459773623091561</c:v>
                </c:pt>
                <c:pt idx="59">
                  <c:v>18.359706748547449</c:v>
                </c:pt>
                <c:pt idx="60">
                  <c:v>19.284430211124477</c:v>
                </c:pt>
                <c:pt idx="61">
                  <c:v>20.204698178878314</c:v>
                </c:pt>
                <c:pt idx="62">
                  <c:v>21.125022853926769</c:v>
                </c:pt>
                <c:pt idx="63">
                  <c:v>22.160297731536769</c:v>
                </c:pt>
                <c:pt idx="64">
                  <c:v>23.25647089122306</c:v>
                </c:pt>
                <c:pt idx="65">
                  <c:v>24.328735316712645</c:v>
                </c:pt>
                <c:pt idx="66">
                  <c:v>25.467525165154157</c:v>
                </c:pt>
                <c:pt idx="67">
                  <c:v>26.597237914840662</c:v>
                </c:pt>
                <c:pt idx="68">
                  <c:v>27.864758633459747</c:v>
                </c:pt>
                <c:pt idx="69">
                  <c:v>29.121451213426599</c:v>
                </c:pt>
                <c:pt idx="70">
                  <c:v>30.417025245412198</c:v>
                </c:pt>
                <c:pt idx="71">
                  <c:v>31.783515190923623</c:v>
                </c:pt>
                <c:pt idx="72">
                  <c:v>33.170302693916653</c:v>
                </c:pt>
                <c:pt idx="73">
                  <c:v>34.615307094518606</c:v>
                </c:pt>
                <c:pt idx="74">
                  <c:v>36.113126105640774</c:v>
                </c:pt>
                <c:pt idx="75">
                  <c:v>37.643688435834321</c:v>
                </c:pt>
                <c:pt idx="76">
                  <c:v>39.108289861833811</c:v>
                </c:pt>
                <c:pt idx="77">
                  <c:v>40.711991812456546</c:v>
                </c:pt>
                <c:pt idx="78">
                  <c:v>42.454756305041769</c:v>
                </c:pt>
                <c:pt idx="79">
                  <c:v>44.204960098053981</c:v>
                </c:pt>
                <c:pt idx="80">
                  <c:v>45.958441944480263</c:v>
                </c:pt>
                <c:pt idx="81">
                  <c:v>47.692159965855929</c:v>
                </c:pt>
                <c:pt idx="82">
                  <c:v>49.48817699366586</c:v>
                </c:pt>
                <c:pt idx="83">
                  <c:v>51.371420525923973</c:v>
                </c:pt>
                <c:pt idx="84">
                  <c:v>53.196638166748293</c:v>
                </c:pt>
                <c:pt idx="85">
                  <c:v>55.185081979765009</c:v>
                </c:pt>
                <c:pt idx="86">
                  <c:v>57.287915717293671</c:v>
                </c:pt>
                <c:pt idx="87">
                  <c:v>59.433224446862852</c:v>
                </c:pt>
                <c:pt idx="88">
                  <c:v>61.638896032500284</c:v>
                </c:pt>
                <c:pt idx="89">
                  <c:v>63.755117881815622</c:v>
                </c:pt>
                <c:pt idx="90">
                  <c:v>65.825246344542379</c:v>
                </c:pt>
                <c:pt idx="91">
                  <c:v>68.021884895680969</c:v>
                </c:pt>
                <c:pt idx="92">
                  <c:v>70.19246791877876</c:v>
                </c:pt>
                <c:pt idx="93">
                  <c:v>72.314355832319706</c:v>
                </c:pt>
                <c:pt idx="94">
                  <c:v>74.428728473741756</c:v>
                </c:pt>
                <c:pt idx="95">
                  <c:v>76.596392412557208</c:v>
                </c:pt>
                <c:pt idx="96">
                  <c:v>78.776004340103796</c:v>
                </c:pt>
                <c:pt idx="97">
                  <c:v>80.98778428838564</c:v>
                </c:pt>
                <c:pt idx="98">
                  <c:v>83.127594566206795</c:v>
                </c:pt>
                <c:pt idx="99">
                  <c:v>85.113591262753644</c:v>
                </c:pt>
                <c:pt idx="100">
                  <c:v>87.159339458255417</c:v>
                </c:pt>
                <c:pt idx="101">
                  <c:v>89.194969273973157</c:v>
                </c:pt>
                <c:pt idx="102">
                  <c:v>91.326363884271657</c:v>
                </c:pt>
                <c:pt idx="103">
                  <c:v>93.399948511208365</c:v>
                </c:pt>
                <c:pt idx="104">
                  <c:v>95.660298767241571</c:v>
                </c:pt>
                <c:pt idx="105">
                  <c:v>97.863564251045048</c:v>
                </c:pt>
                <c:pt idx="106">
                  <c:v>100.1189613408379</c:v>
                </c:pt>
                <c:pt idx="107">
                  <c:v>102.25200781920844</c:v>
                </c:pt>
                <c:pt idx="108">
                  <c:v>104.41123870985776</c:v>
                </c:pt>
                <c:pt idx="109">
                  <c:v>106.64506639367684</c:v>
                </c:pt>
                <c:pt idx="110">
                  <c:v>108.71512297975006</c:v>
                </c:pt>
                <c:pt idx="111">
                  <c:v>110.75093340791932</c:v>
                </c:pt>
                <c:pt idx="112">
                  <c:v>112.89536129536293</c:v>
                </c:pt>
                <c:pt idx="113">
                  <c:v>114.92862293490847</c:v>
                </c:pt>
                <c:pt idx="114">
                  <c:v>117.05990483342202</c:v>
                </c:pt>
                <c:pt idx="115">
                  <c:v>119.21345413438128</c:v>
                </c:pt>
                <c:pt idx="116">
                  <c:v>121.38372683131844</c:v>
                </c:pt>
                <c:pt idx="117">
                  <c:v>123.59976743678571</c:v>
                </c:pt>
                <c:pt idx="118">
                  <c:v>125.56894640730567</c:v>
                </c:pt>
                <c:pt idx="119">
                  <c:v>127.47749142326875</c:v>
                </c:pt>
                <c:pt idx="120">
                  <c:v>129.31253296676732</c:v>
                </c:pt>
                <c:pt idx="121">
                  <c:v>131.1579477077558</c:v>
                </c:pt>
                <c:pt idx="122">
                  <c:v>132.98223543389065</c:v>
                </c:pt>
                <c:pt idx="123">
                  <c:v>134.88825888129341</c:v>
                </c:pt>
                <c:pt idx="124">
                  <c:v>136.77170481851093</c:v>
                </c:pt>
                <c:pt idx="125">
                  <c:v>138.77833386891382</c:v>
                </c:pt>
                <c:pt idx="126">
                  <c:v>140.68953646249523</c:v>
                </c:pt>
                <c:pt idx="127">
                  <c:v>142.40178464606134</c:v>
                </c:pt>
                <c:pt idx="128">
                  <c:v>144.12211421514112</c:v>
                </c:pt>
                <c:pt idx="129">
                  <c:v>145.80266898154721</c:v>
                </c:pt>
                <c:pt idx="130">
                  <c:v>147.52036743371107</c:v>
                </c:pt>
                <c:pt idx="131">
                  <c:v>149.27576895177728</c:v>
                </c:pt>
                <c:pt idx="132">
                  <c:v>150.90491543944577</c:v>
                </c:pt>
                <c:pt idx="133">
                  <c:v>152.49461515326018</c:v>
                </c:pt>
                <c:pt idx="134">
                  <c:v>154.00000000000003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  <c:pt idx="27">
                  <c:v>45319</c:v>
                </c:pt>
                <c:pt idx="28">
                  <c:v>45320</c:v>
                </c:pt>
                <c:pt idx="29">
                  <c:v>45321</c:v>
                </c:pt>
                <c:pt idx="30">
                  <c:v>45322</c:v>
                </c:pt>
                <c:pt idx="31">
                  <c:v>45323</c:v>
                </c:pt>
                <c:pt idx="32">
                  <c:v>45324</c:v>
                </c:pt>
                <c:pt idx="33">
                  <c:v>45325</c:v>
                </c:pt>
                <c:pt idx="34">
                  <c:v>45326</c:v>
                </c:pt>
                <c:pt idx="35">
                  <c:v>45327</c:v>
                </c:pt>
                <c:pt idx="36">
                  <c:v>45328</c:v>
                </c:pt>
                <c:pt idx="37">
                  <c:v>45329</c:v>
                </c:pt>
                <c:pt idx="38">
                  <c:v>45330</c:v>
                </c:pt>
                <c:pt idx="39">
                  <c:v>45331</c:v>
                </c:pt>
                <c:pt idx="40">
                  <c:v>45332</c:v>
                </c:pt>
                <c:pt idx="41">
                  <c:v>45333</c:v>
                </c:pt>
                <c:pt idx="42">
                  <c:v>45334</c:v>
                </c:pt>
                <c:pt idx="43">
                  <c:v>45335</c:v>
                </c:pt>
                <c:pt idx="44">
                  <c:v>45336</c:v>
                </c:pt>
                <c:pt idx="45">
                  <c:v>45337</c:v>
                </c:pt>
                <c:pt idx="46">
                  <c:v>45338</c:v>
                </c:pt>
                <c:pt idx="47">
                  <c:v>45339</c:v>
                </c:pt>
                <c:pt idx="48">
                  <c:v>45340</c:v>
                </c:pt>
                <c:pt idx="49">
                  <c:v>45341</c:v>
                </c:pt>
                <c:pt idx="50">
                  <c:v>45342</c:v>
                </c:pt>
                <c:pt idx="51">
                  <c:v>45343</c:v>
                </c:pt>
                <c:pt idx="52">
                  <c:v>45344</c:v>
                </c:pt>
                <c:pt idx="53">
                  <c:v>45345</c:v>
                </c:pt>
                <c:pt idx="54">
                  <c:v>45346</c:v>
                </c:pt>
                <c:pt idx="55">
                  <c:v>45347</c:v>
                </c:pt>
                <c:pt idx="56">
                  <c:v>45348</c:v>
                </c:pt>
                <c:pt idx="57">
                  <c:v>45349</c:v>
                </c:pt>
                <c:pt idx="58">
                  <c:v>45350</c:v>
                </c:pt>
                <c:pt idx="59">
                  <c:v>45351</c:v>
                </c:pt>
                <c:pt idx="60">
                  <c:v>45352</c:v>
                </c:pt>
                <c:pt idx="61">
                  <c:v>45353</c:v>
                </c:pt>
                <c:pt idx="62">
                  <c:v>45354</c:v>
                </c:pt>
                <c:pt idx="63">
                  <c:v>45355</c:v>
                </c:pt>
                <c:pt idx="64">
                  <c:v>45356</c:v>
                </c:pt>
                <c:pt idx="65">
                  <c:v>45357</c:v>
                </c:pt>
                <c:pt idx="66">
                  <c:v>45358</c:v>
                </c:pt>
                <c:pt idx="67">
                  <c:v>45359</c:v>
                </c:pt>
                <c:pt idx="68">
                  <c:v>45360</c:v>
                </c:pt>
                <c:pt idx="69">
                  <c:v>45361</c:v>
                </c:pt>
                <c:pt idx="70">
                  <c:v>45362</c:v>
                </c:pt>
                <c:pt idx="71">
                  <c:v>45363</c:v>
                </c:pt>
                <c:pt idx="72">
                  <c:v>45364</c:v>
                </c:pt>
                <c:pt idx="73">
                  <c:v>45365</c:v>
                </c:pt>
                <c:pt idx="74">
                  <c:v>45366</c:v>
                </c:pt>
                <c:pt idx="75">
                  <c:v>45367</c:v>
                </c:pt>
                <c:pt idx="76">
                  <c:v>45368</c:v>
                </c:pt>
                <c:pt idx="77">
                  <c:v>45369</c:v>
                </c:pt>
                <c:pt idx="78">
                  <c:v>45370</c:v>
                </c:pt>
                <c:pt idx="79">
                  <c:v>45371</c:v>
                </c:pt>
                <c:pt idx="80">
                  <c:v>45372</c:v>
                </c:pt>
                <c:pt idx="81">
                  <c:v>45373</c:v>
                </c:pt>
                <c:pt idx="82">
                  <c:v>45374</c:v>
                </c:pt>
                <c:pt idx="83">
                  <c:v>45375</c:v>
                </c:pt>
                <c:pt idx="84">
                  <c:v>45376</c:v>
                </c:pt>
                <c:pt idx="85">
                  <c:v>45377</c:v>
                </c:pt>
                <c:pt idx="86">
                  <c:v>45378</c:v>
                </c:pt>
                <c:pt idx="87">
                  <c:v>45379</c:v>
                </c:pt>
                <c:pt idx="88">
                  <c:v>45380</c:v>
                </c:pt>
                <c:pt idx="89">
                  <c:v>45381</c:v>
                </c:pt>
                <c:pt idx="90">
                  <c:v>45382</c:v>
                </c:pt>
                <c:pt idx="91">
                  <c:v>45383</c:v>
                </c:pt>
                <c:pt idx="92">
                  <c:v>45384</c:v>
                </c:pt>
                <c:pt idx="93">
                  <c:v>45385</c:v>
                </c:pt>
                <c:pt idx="94">
                  <c:v>45386</c:v>
                </c:pt>
                <c:pt idx="95">
                  <c:v>45387</c:v>
                </c:pt>
                <c:pt idx="96">
                  <c:v>45388</c:v>
                </c:pt>
                <c:pt idx="97">
                  <c:v>45389</c:v>
                </c:pt>
                <c:pt idx="98">
                  <c:v>45390</c:v>
                </c:pt>
                <c:pt idx="99">
                  <c:v>45391</c:v>
                </c:pt>
                <c:pt idx="100">
                  <c:v>45392</c:v>
                </c:pt>
                <c:pt idx="101">
                  <c:v>45393</c:v>
                </c:pt>
                <c:pt idx="102">
                  <c:v>45394</c:v>
                </c:pt>
                <c:pt idx="103">
                  <c:v>45395</c:v>
                </c:pt>
                <c:pt idx="104">
                  <c:v>45396</c:v>
                </c:pt>
                <c:pt idx="105">
                  <c:v>45397</c:v>
                </c:pt>
                <c:pt idx="106">
                  <c:v>45398</c:v>
                </c:pt>
                <c:pt idx="107">
                  <c:v>45399</c:v>
                </c:pt>
                <c:pt idx="108">
                  <c:v>45400</c:v>
                </c:pt>
                <c:pt idx="109">
                  <c:v>45401</c:v>
                </c:pt>
                <c:pt idx="110">
                  <c:v>45402</c:v>
                </c:pt>
                <c:pt idx="111">
                  <c:v>45403</c:v>
                </c:pt>
                <c:pt idx="112">
                  <c:v>45404</c:v>
                </c:pt>
                <c:pt idx="113">
                  <c:v>45405</c:v>
                </c:pt>
                <c:pt idx="114">
                  <c:v>45406</c:v>
                </c:pt>
                <c:pt idx="115">
                  <c:v>45407</c:v>
                </c:pt>
                <c:pt idx="116">
                  <c:v>45408</c:v>
                </c:pt>
                <c:pt idx="117">
                  <c:v>45409</c:v>
                </c:pt>
                <c:pt idx="118">
                  <c:v>45410</c:v>
                </c:pt>
                <c:pt idx="119">
                  <c:v>45411</c:v>
                </c:pt>
                <c:pt idx="120">
                  <c:v>45412</c:v>
                </c:pt>
                <c:pt idx="121">
                  <c:v>45413</c:v>
                </c:pt>
                <c:pt idx="122">
                  <c:v>45414</c:v>
                </c:pt>
                <c:pt idx="123">
                  <c:v>45415</c:v>
                </c:pt>
                <c:pt idx="124">
                  <c:v>45416</c:v>
                </c:pt>
                <c:pt idx="125">
                  <c:v>45417</c:v>
                </c:pt>
                <c:pt idx="126">
                  <c:v>45418</c:v>
                </c:pt>
                <c:pt idx="127">
                  <c:v>45419</c:v>
                </c:pt>
                <c:pt idx="128">
                  <c:v>45420</c:v>
                </c:pt>
                <c:pt idx="129">
                  <c:v>45421</c:v>
                </c:pt>
                <c:pt idx="130">
                  <c:v>45422</c:v>
                </c:pt>
                <c:pt idx="131">
                  <c:v>45423</c:v>
                </c:pt>
                <c:pt idx="132">
                  <c:v>45424</c:v>
                </c:pt>
                <c:pt idx="133">
                  <c:v>45425</c:v>
                </c:pt>
                <c:pt idx="134">
                  <c:v>45426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28.325642118551357</c:v>
                </c:pt>
                <c:pt idx="1">
                  <c:v>28.148592412710109</c:v>
                </c:pt>
                <c:pt idx="2">
                  <c:v>27.850971449427341</c:v>
                </c:pt>
                <c:pt idx="3">
                  <c:v>27.494946817823944</c:v>
                </c:pt>
                <c:pt idx="4">
                  <c:v>27.094261937837334</c:v>
                </c:pt>
                <c:pt idx="5">
                  <c:v>26.729856783650838</c:v>
                </c:pt>
                <c:pt idx="6">
                  <c:v>26.346113822004053</c:v>
                </c:pt>
                <c:pt idx="7">
                  <c:v>25.890747289073019</c:v>
                </c:pt>
                <c:pt idx="8">
                  <c:v>25.479408768060125</c:v>
                </c:pt>
                <c:pt idx="9">
                  <c:v>24.987667429170088</c:v>
                </c:pt>
                <c:pt idx="10">
                  <c:v>24.429828249219934</c:v>
                </c:pt>
                <c:pt idx="11">
                  <c:v>23.795724440738191</c:v>
                </c:pt>
                <c:pt idx="12">
                  <c:v>23.191411045099258</c:v>
                </c:pt>
                <c:pt idx="13">
                  <c:v>22.642864414623798</c:v>
                </c:pt>
                <c:pt idx="14">
                  <c:v>22.128343966193732</c:v>
                </c:pt>
                <c:pt idx="15">
                  <c:v>21.598077457364667</c:v>
                </c:pt>
                <c:pt idx="16">
                  <c:v>21.12230532019435</c:v>
                </c:pt>
                <c:pt idx="17">
                  <c:v>20.534599054665154</c:v>
                </c:pt>
                <c:pt idx="18">
                  <c:v>19.998435470426649</c:v>
                </c:pt>
                <c:pt idx="19">
                  <c:v>19.560473025731795</c:v>
                </c:pt>
                <c:pt idx="20">
                  <c:v>19.13398651182067</c:v>
                </c:pt>
                <c:pt idx="21">
                  <c:v>18.668936574052715</c:v>
                </c:pt>
                <c:pt idx="22">
                  <c:v>18.265792087148029</c:v>
                </c:pt>
                <c:pt idx="23">
                  <c:v>17.868175255596558</c:v>
                </c:pt>
                <c:pt idx="24">
                  <c:v>17.474847170157851</c:v>
                </c:pt>
                <c:pt idx="25">
                  <c:v>17.104222039726427</c:v>
                </c:pt>
                <c:pt idx="26">
                  <c:v>16.705646093705273</c:v>
                </c:pt>
                <c:pt idx="27">
                  <c:v>16.308748007211804</c:v>
                </c:pt>
                <c:pt idx="28">
                  <c:v>15.952154756106324</c:v>
                </c:pt>
                <c:pt idx="29">
                  <c:v>15.611645000998976</c:v>
                </c:pt>
                <c:pt idx="30">
                  <c:v>15.281585971624674</c:v>
                </c:pt>
                <c:pt idx="31">
                  <c:v>14.993985870861216</c:v>
                </c:pt>
                <c:pt idx="32">
                  <c:v>14.715760673463148</c:v>
                </c:pt>
                <c:pt idx="33">
                  <c:v>14.446712127694047</c:v>
                </c:pt>
                <c:pt idx="34">
                  <c:v>14.13553600631176</c:v>
                </c:pt>
                <c:pt idx="35">
                  <c:v>13.820253103692888</c:v>
                </c:pt>
                <c:pt idx="36">
                  <c:v>13.515884604946475</c:v>
                </c:pt>
                <c:pt idx="37">
                  <c:v>13.189332207612537</c:v>
                </c:pt>
                <c:pt idx="38">
                  <c:v>12.867803246608894</c:v>
                </c:pt>
                <c:pt idx="39">
                  <c:v>12.539211714203557</c:v>
                </c:pt>
                <c:pt idx="40">
                  <c:v>12.211550828928285</c:v>
                </c:pt>
                <c:pt idx="41">
                  <c:v>11.861691953345527</c:v>
                </c:pt>
                <c:pt idx="42">
                  <c:v>11.460999294145413</c:v>
                </c:pt>
                <c:pt idx="43">
                  <c:v>11.065030977240493</c:v>
                </c:pt>
                <c:pt idx="44">
                  <c:v>10.640277935290612</c:v>
                </c:pt>
                <c:pt idx="45">
                  <c:v>10.197654191145388</c:v>
                </c:pt>
                <c:pt idx="46">
                  <c:v>9.7296018896185981</c:v>
                </c:pt>
                <c:pt idx="47">
                  <c:v>9.2163813693273013</c:v>
                </c:pt>
                <c:pt idx="48">
                  <c:v>8.6592407694296725</c:v>
                </c:pt>
                <c:pt idx="49">
                  <c:v>8.112779864102011</c:v>
                </c:pt>
                <c:pt idx="50">
                  <c:v>7.5346010782818258</c:v>
                </c:pt>
                <c:pt idx="51">
                  <c:v>6.9433781750068047</c:v>
                </c:pt>
                <c:pt idx="52">
                  <c:v>6.3351887701856278</c:v>
                </c:pt>
                <c:pt idx="53">
                  <c:v>5.7058841722547671</c:v>
                </c:pt>
                <c:pt idx="54">
                  <c:v>5.0204910071101434</c:v>
                </c:pt>
                <c:pt idx="55">
                  <c:v>4.3393544062183445</c:v>
                </c:pt>
                <c:pt idx="56">
                  <c:v>3.6204448161470273</c:v>
                </c:pt>
                <c:pt idx="57">
                  <c:v>2.8713268071524247</c:v>
                </c:pt>
                <c:pt idx="58">
                  <c:v>2.0947872480253271</c:v>
                </c:pt>
                <c:pt idx="59">
                  <c:v>1.2840240729705035</c:v>
                </c:pt>
                <c:pt idx="60">
                  <c:v>0.44616484252670197</c:v>
                </c:pt>
                <c:pt idx="61">
                  <c:v>-0.40866259961264695</c:v>
                </c:pt>
                <c:pt idx="62">
                  <c:v>-1.2669154092691541</c:v>
                </c:pt>
                <c:pt idx="63">
                  <c:v>-2.2311555869143245</c:v>
                </c:pt>
                <c:pt idx="64">
                  <c:v>-3.2383918808226744</c:v>
                </c:pt>
                <c:pt idx="65">
                  <c:v>-4.2201905629771552</c:v>
                </c:pt>
                <c:pt idx="66">
                  <c:v>-5.257270856845059</c:v>
                </c:pt>
                <c:pt idx="67">
                  <c:v>-6.2843559223934653</c:v>
                </c:pt>
                <c:pt idx="68">
                  <c:v>-7.4329633788880738</c:v>
                </c:pt>
                <c:pt idx="69">
                  <c:v>-8.576696924865935</c:v>
                </c:pt>
                <c:pt idx="70">
                  <c:v>-9.7624407872267156</c:v>
                </c:pt>
                <c:pt idx="71">
                  <c:v>-11.013695366324429</c:v>
                </c:pt>
                <c:pt idx="72">
                  <c:v>-12.282660798758785</c:v>
                </c:pt>
                <c:pt idx="73">
                  <c:v>-13.598269742115638</c:v>
                </c:pt>
                <c:pt idx="74">
                  <c:v>-14.959563907854669</c:v>
                </c:pt>
                <c:pt idx="75">
                  <c:v>-16.349805717773606</c:v>
                </c:pt>
                <c:pt idx="76">
                  <c:v>-17.683099428034854</c:v>
                </c:pt>
                <c:pt idx="77">
                  <c:v>-19.138623987557462</c:v>
                </c:pt>
                <c:pt idx="78">
                  <c:v>-20.716515877344289</c:v>
                </c:pt>
                <c:pt idx="79">
                  <c:v>-22.302871093986564</c:v>
                </c:pt>
                <c:pt idx="80">
                  <c:v>-23.894319233649366</c:v>
                </c:pt>
                <c:pt idx="81">
                  <c:v>-25.470380872344798</c:v>
                </c:pt>
                <c:pt idx="82">
                  <c:v>-27.103348146140583</c:v>
                </c:pt>
                <c:pt idx="83">
                  <c:v>-28.814811128439381</c:v>
                </c:pt>
                <c:pt idx="84">
                  <c:v>-30.477537114636455</c:v>
                </c:pt>
                <c:pt idx="85">
                  <c:v>-32.287437530050134</c:v>
                </c:pt>
                <c:pt idx="86">
                  <c:v>-34.201630608731222</c:v>
                </c:pt>
                <c:pt idx="87">
                  <c:v>-36.156560301834396</c:v>
                </c:pt>
                <c:pt idx="88">
                  <c:v>-38.164881624373315</c:v>
                </c:pt>
                <c:pt idx="89">
                  <c:v>-40.094596475695205</c:v>
                </c:pt>
                <c:pt idx="90">
                  <c:v>-41.985300534379377</c:v>
                </c:pt>
                <c:pt idx="91">
                  <c:v>-43.991595385439844</c:v>
                </c:pt>
                <c:pt idx="92">
                  <c:v>-45.975724735307018</c:v>
                </c:pt>
                <c:pt idx="93">
                  <c:v>-47.916352247085385</c:v>
                </c:pt>
                <c:pt idx="94">
                  <c:v>-49.851232203126294</c:v>
                </c:pt>
                <c:pt idx="95">
                  <c:v>-51.832118933258073</c:v>
                </c:pt>
                <c:pt idx="96">
                  <c:v>-53.817117756994847</c:v>
                </c:pt>
                <c:pt idx="97">
                  <c:v>-55.829051737137632</c:v>
                </c:pt>
                <c:pt idx="98">
                  <c:v>-57.771638568724441</c:v>
                </c:pt>
                <c:pt idx="99">
                  <c:v>-59.574221735517924</c:v>
                </c:pt>
                <c:pt idx="100">
                  <c:v>-61.431526753041965</c:v>
                </c:pt>
                <c:pt idx="101">
                  <c:v>-63.2787770403312</c:v>
                </c:pt>
                <c:pt idx="102">
                  <c:v>-65.212933467583753</c:v>
                </c:pt>
                <c:pt idx="103">
                  <c:v>-67.096322227062899</c:v>
                </c:pt>
                <c:pt idx="104">
                  <c:v>-69.152490731069719</c:v>
                </c:pt>
                <c:pt idx="105">
                  <c:v>-71.158487526407072</c:v>
                </c:pt>
                <c:pt idx="106">
                  <c:v>-73.210010885135091</c:v>
                </c:pt>
                <c:pt idx="107">
                  <c:v>-75.151934659051761</c:v>
                </c:pt>
                <c:pt idx="108">
                  <c:v>-77.119525972328958</c:v>
                </c:pt>
                <c:pt idx="109">
                  <c:v>-79.152857720215863</c:v>
                </c:pt>
                <c:pt idx="110">
                  <c:v>-81.036192813329563</c:v>
                </c:pt>
                <c:pt idx="111">
                  <c:v>-82.89036289668195</c:v>
                </c:pt>
                <c:pt idx="112">
                  <c:v>-84.844908694500077</c:v>
                </c:pt>
                <c:pt idx="113">
                  <c:v>-86.695572751032273</c:v>
                </c:pt>
                <c:pt idx="114">
                  <c:v>-88.632257865048842</c:v>
                </c:pt>
                <c:pt idx="115">
                  <c:v>-90.592445208838896</c:v>
                </c:pt>
                <c:pt idx="116">
                  <c:v>-92.563735361675995</c:v>
                </c:pt>
                <c:pt idx="117">
                  <c:v>-94.570135498231977</c:v>
                </c:pt>
                <c:pt idx="118">
                  <c:v>-96.331182360828691</c:v>
                </c:pt>
                <c:pt idx="119">
                  <c:v>-98.030203360153067</c:v>
                </c:pt>
                <c:pt idx="120">
                  <c:v>-99.66411263999224</c:v>
                </c:pt>
                <c:pt idx="121">
                  <c:v>-101.30818117089635</c:v>
                </c:pt>
                <c:pt idx="122">
                  <c:v>-102.9353983812201</c:v>
                </c:pt>
                <c:pt idx="123">
                  <c:v>-104.63283795173089</c:v>
                </c:pt>
                <c:pt idx="124">
                  <c:v>-106.31012501542983</c:v>
                </c:pt>
                <c:pt idx="125">
                  <c:v>-108.08391791522877</c:v>
                </c:pt>
                <c:pt idx="126">
                  <c:v>-109.77355174819044</c:v>
                </c:pt>
                <c:pt idx="127">
                  <c:v>-111.2758203464339</c:v>
                </c:pt>
                <c:pt idx="128">
                  <c:v>-112.7870583987393</c:v>
                </c:pt>
                <c:pt idx="129">
                  <c:v>-114.25658310996664</c:v>
                </c:pt>
                <c:pt idx="130">
                  <c:v>-115.76004624297013</c:v>
                </c:pt>
                <c:pt idx="131">
                  <c:v>-117.29199920844735</c:v>
                </c:pt>
                <c:pt idx="132">
                  <c:v>-118.71208357870344</c:v>
                </c:pt>
                <c:pt idx="133">
                  <c:v>-120.09366615029572</c:v>
                </c:pt>
                <c:pt idx="134">
                  <c:v>-121.39842189429564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0.22229985735588864</c:v>
                </c:pt>
                <c:pt idx="1">
                  <c:v>0.46607580013826899</c:v>
                </c:pt>
                <c:pt idx="2">
                  <c:v>0.70968642678793581</c:v>
                </c:pt>
                <c:pt idx="3">
                  <c:v>0.93868200051222717</c:v>
                </c:pt>
                <c:pt idx="4">
                  <c:v>1.1758850790509388</c:v>
                </c:pt>
                <c:pt idx="5">
                  <c:v>1.4141788622119811</c:v>
                </c:pt>
                <c:pt idx="6">
                  <c:v>1.6761080778793112</c:v>
                </c:pt>
                <c:pt idx="7">
                  <c:v>1.9383884237215063</c:v>
                </c:pt>
                <c:pt idx="8">
                  <c:v>2.1826699398554057</c:v>
                </c:pt>
                <c:pt idx="9">
                  <c:v>2.428851279106417</c:v>
                </c:pt>
                <c:pt idx="10">
                  <c:v>2.6888195597480062</c:v>
                </c:pt>
                <c:pt idx="11">
                  <c:v>2.9659405499175042</c:v>
                </c:pt>
                <c:pt idx="12">
                  <c:v>3.2460307974658673</c:v>
                </c:pt>
                <c:pt idx="13">
                  <c:v>3.5233159933475107</c:v>
                </c:pt>
                <c:pt idx="14">
                  <c:v>3.8087805530617822</c:v>
                </c:pt>
                <c:pt idx="15">
                  <c:v>4.0794168472014389</c:v>
                </c:pt>
                <c:pt idx="16">
                  <c:v>4.343812064179243</c:v>
                </c:pt>
                <c:pt idx="17">
                  <c:v>4.6333845319799014</c:v>
                </c:pt>
                <c:pt idx="18">
                  <c:v>4.9144637122168326</c:v>
                </c:pt>
                <c:pt idx="19">
                  <c:v>5.1658954418935661</c:v>
                </c:pt>
                <c:pt idx="20">
                  <c:v>5.4441948160303513</c:v>
                </c:pt>
                <c:pt idx="21">
                  <c:v>5.7428666271970874</c:v>
                </c:pt>
                <c:pt idx="22">
                  <c:v>6.0152577580032265</c:v>
                </c:pt>
                <c:pt idx="23">
                  <c:v>6.2819075304741565</c:v>
                </c:pt>
                <c:pt idx="24">
                  <c:v>6.5463337151136223</c:v>
                </c:pt>
                <c:pt idx="25">
                  <c:v>6.8038746640186423</c:v>
                </c:pt>
                <c:pt idx="26">
                  <c:v>7.064819650223396</c:v>
                </c:pt>
                <c:pt idx="27">
                  <c:v>7.3387284767801075</c:v>
                </c:pt>
                <c:pt idx="28">
                  <c:v>7.6146556914553889</c:v>
                </c:pt>
                <c:pt idx="29">
                  <c:v>7.8978491638998589</c:v>
                </c:pt>
                <c:pt idx="30">
                  <c:v>8.1814227758419698</c:v>
                </c:pt>
                <c:pt idx="31">
                  <c:v>8.4475975088936011</c:v>
                </c:pt>
                <c:pt idx="32">
                  <c:v>8.6934015240113816</c:v>
                </c:pt>
                <c:pt idx="33">
                  <c:v>8.9336686300470145</c:v>
                </c:pt>
                <c:pt idx="34">
                  <c:v>9.2068714216317193</c:v>
                </c:pt>
                <c:pt idx="35">
                  <c:v>9.4478706141339153</c:v>
                </c:pt>
                <c:pt idx="36">
                  <c:v>9.6933272777317825</c:v>
                </c:pt>
                <c:pt idx="37">
                  <c:v>9.9408101901575723</c:v>
                </c:pt>
                <c:pt idx="38">
                  <c:v>10.191074030587396</c:v>
                </c:pt>
                <c:pt idx="39">
                  <c:v>10.442069465282193</c:v>
                </c:pt>
                <c:pt idx="40">
                  <c:v>10.689042419803506</c:v>
                </c:pt>
                <c:pt idx="41">
                  <c:v>10.947345219383575</c:v>
                </c:pt>
                <c:pt idx="42">
                  <c:v>11.219775508105318</c:v>
                </c:pt>
                <c:pt idx="43">
                  <c:v>11.462965996813086</c:v>
                </c:pt>
                <c:pt idx="44">
                  <c:v>11.701666667212276</c:v>
                </c:pt>
                <c:pt idx="45">
                  <c:v>11.935610779919362</c:v>
                </c:pt>
                <c:pt idx="46">
                  <c:v>12.179444968437096</c:v>
                </c:pt>
                <c:pt idx="47">
                  <c:v>12.444850494974769</c:v>
                </c:pt>
                <c:pt idx="48">
                  <c:v>12.721792826166382</c:v>
                </c:pt>
                <c:pt idx="49">
                  <c:v>12.982280535318333</c:v>
                </c:pt>
                <c:pt idx="50">
                  <c:v>13.241564046018263</c:v>
                </c:pt>
                <c:pt idx="51">
                  <c:v>13.498004994418014</c:v>
                </c:pt>
                <c:pt idx="52">
                  <c:v>13.748891458216184</c:v>
                </c:pt>
                <c:pt idx="53">
                  <c:v>13.995864860535804</c:v>
                </c:pt>
                <c:pt idx="54">
                  <c:v>14.257884184845032</c:v>
                </c:pt>
                <c:pt idx="55">
                  <c:v>14.504171572702212</c:v>
                </c:pt>
                <c:pt idx="56">
                  <c:v>14.753391040371236</c:v>
                </c:pt>
                <c:pt idx="57">
                  <c:v>15.00227071225116</c:v>
                </c:pt>
                <c:pt idx="58">
                  <c:v>15.248800326407281</c:v>
                </c:pt>
                <c:pt idx="59">
                  <c:v>15.495201251473386</c:v>
                </c:pt>
                <c:pt idx="60">
                  <c:v>15.73803213596188</c:v>
                </c:pt>
                <c:pt idx="61">
                  <c:v>15.976896954543182</c:v>
                </c:pt>
                <c:pt idx="62">
                  <c:v>16.207032939042431</c:v>
                </c:pt>
                <c:pt idx="63">
                  <c:v>16.465730938615515</c:v>
                </c:pt>
                <c:pt idx="64">
                  <c:v>16.723336385687698</c:v>
                </c:pt>
                <c:pt idx="65">
                  <c:v>16.958349785897681</c:v>
                </c:pt>
                <c:pt idx="66">
                  <c:v>17.197511542245248</c:v>
                </c:pt>
                <c:pt idx="67">
                  <c:v>17.420895323332775</c:v>
                </c:pt>
                <c:pt idx="68">
                  <c:v>17.667632697413964</c:v>
                </c:pt>
                <c:pt idx="69">
                  <c:v>17.903038662044086</c:v>
                </c:pt>
                <c:pt idx="70">
                  <c:v>18.145663942970181</c:v>
                </c:pt>
                <c:pt idx="71">
                  <c:v>18.400599376213997</c:v>
                </c:pt>
                <c:pt idx="72">
                  <c:v>18.652211492906638</c:v>
                </c:pt>
                <c:pt idx="73">
                  <c:v>18.898180991874202</c:v>
                </c:pt>
                <c:pt idx="74">
                  <c:v>19.143296875913034</c:v>
                </c:pt>
                <c:pt idx="75">
                  <c:v>19.384383015027176</c:v>
                </c:pt>
                <c:pt idx="76">
                  <c:v>19.605730497860019</c:v>
                </c:pt>
                <c:pt idx="77">
                  <c:v>19.841598534009886</c:v>
                </c:pt>
                <c:pt idx="78">
                  <c:v>20.088503177605769</c:v>
                </c:pt>
                <c:pt idx="79">
                  <c:v>20.324862795423346</c:v>
                </c:pt>
                <c:pt idx="80">
                  <c:v>20.551825815577242</c:v>
                </c:pt>
                <c:pt idx="81">
                  <c:v>20.771909247429043</c:v>
                </c:pt>
                <c:pt idx="82">
                  <c:v>20.992358291972856</c:v>
                </c:pt>
                <c:pt idx="83">
                  <c:v>21.221705180152561</c:v>
                </c:pt>
                <c:pt idx="84">
                  <c:v>21.431327968862149</c:v>
                </c:pt>
                <c:pt idx="85">
                  <c:v>21.655717162057257</c:v>
                </c:pt>
                <c:pt idx="86">
                  <c:v>21.887180295940905</c:v>
                </c:pt>
                <c:pt idx="87">
                  <c:v>22.11646033767439</c:v>
                </c:pt>
                <c:pt idx="88">
                  <c:v>22.354181436279319</c:v>
                </c:pt>
                <c:pt idx="89">
                  <c:v>22.576440381718079</c:v>
                </c:pt>
                <c:pt idx="90">
                  <c:v>22.786405063691088</c:v>
                </c:pt>
                <c:pt idx="91">
                  <c:v>23.004618715841595</c:v>
                </c:pt>
                <c:pt idx="92">
                  <c:v>23.215736065820092</c:v>
                </c:pt>
                <c:pt idx="93">
                  <c:v>23.418862855719173</c:v>
                </c:pt>
                <c:pt idx="94">
                  <c:v>23.617382062847387</c:v>
                </c:pt>
                <c:pt idx="95">
                  <c:v>23.822041059814062</c:v>
                </c:pt>
                <c:pt idx="96">
                  <c:v>24.03374845301375</c:v>
                </c:pt>
                <c:pt idx="97">
                  <c:v>24.247872263704519</c:v>
                </c:pt>
                <c:pt idx="98">
                  <c:v>24.456377927826509</c:v>
                </c:pt>
                <c:pt idx="99">
                  <c:v>24.647480957528032</c:v>
                </c:pt>
                <c:pt idx="100">
                  <c:v>24.840786970007283</c:v>
                </c:pt>
                <c:pt idx="101">
                  <c:v>25.031363435914457</c:v>
                </c:pt>
                <c:pt idx="102">
                  <c:v>25.228263577728605</c:v>
                </c:pt>
                <c:pt idx="103">
                  <c:v>25.415855013901524</c:v>
                </c:pt>
                <c:pt idx="104">
                  <c:v>25.615321941040225</c:v>
                </c:pt>
                <c:pt idx="105">
                  <c:v>25.806222981706476</c:v>
                </c:pt>
                <c:pt idx="106">
                  <c:v>26.001705658034123</c:v>
                </c:pt>
                <c:pt idx="107">
                  <c:v>26.183387423555313</c:v>
                </c:pt>
                <c:pt idx="108">
                  <c:v>26.364455744772389</c:v>
                </c:pt>
                <c:pt idx="109">
                  <c:v>26.552515349675677</c:v>
                </c:pt>
                <c:pt idx="110">
                  <c:v>26.726071171849089</c:v>
                </c:pt>
                <c:pt idx="111">
                  <c:v>26.89413694236735</c:v>
                </c:pt>
                <c:pt idx="112">
                  <c:v>27.069425812348243</c:v>
                </c:pt>
                <c:pt idx="113">
                  <c:v>27.236563204434074</c:v>
                </c:pt>
                <c:pt idx="114">
                  <c:v>27.413640032598142</c:v>
                </c:pt>
                <c:pt idx="115">
                  <c:v>27.589541576295737</c:v>
                </c:pt>
                <c:pt idx="116">
                  <c:v>27.769252275768856</c:v>
                </c:pt>
                <c:pt idx="117">
                  <c:v>27.956945255975352</c:v>
                </c:pt>
                <c:pt idx="118">
                  <c:v>28.138064003044683</c:v>
                </c:pt>
                <c:pt idx="119">
                  <c:v>28.318153740379092</c:v>
                </c:pt>
                <c:pt idx="120">
                  <c:v>28.489967194751522</c:v>
                </c:pt>
                <c:pt idx="121">
                  <c:v>28.661408446507156</c:v>
                </c:pt>
                <c:pt idx="122">
                  <c:v>28.828883429918911</c:v>
                </c:pt>
                <c:pt idx="123">
                  <c:v>29.005493054862459</c:v>
                </c:pt>
                <c:pt idx="124">
                  <c:v>29.179557517202795</c:v>
                </c:pt>
                <c:pt idx="125">
                  <c:v>29.374020410278959</c:v>
                </c:pt>
                <c:pt idx="126">
                  <c:v>29.558277342561492</c:v>
                </c:pt>
                <c:pt idx="127">
                  <c:v>29.729811530530679</c:v>
                </c:pt>
                <c:pt idx="128">
                  <c:v>29.900662209582151</c:v>
                </c:pt>
                <c:pt idx="129">
                  <c:v>30.071565945855816</c:v>
                </c:pt>
                <c:pt idx="130">
                  <c:v>30.245317897303071</c:v>
                </c:pt>
                <c:pt idx="131">
                  <c:v>30.425875262455083</c:v>
                </c:pt>
                <c:pt idx="132">
                  <c:v>30.593932365423232</c:v>
                </c:pt>
                <c:pt idx="133">
                  <c:v>30.760357061383782</c:v>
                </c:pt>
                <c:pt idx="134">
                  <c:v>30.919882309560471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-0.31271099654285273</c:v>
                </c:pt>
                <c:pt idx="2">
                  <c:v>-0.73353664516648109</c:v>
                </c:pt>
                <c:pt idx="3">
                  <c:v>-1.2747682350989127</c:v>
                </c:pt>
                <c:pt idx="4">
                  <c:v>-1.8597884404265983</c:v>
                </c:pt>
                <c:pt idx="5">
                  <c:v>-2.4976763989519206</c:v>
                </c:pt>
                <c:pt idx="6">
                  <c:v>-3.1003753362994591</c:v>
                </c:pt>
                <c:pt idx="7">
                  <c:v>-3.7460475136135738</c:v>
                </c:pt>
                <c:pt idx="8">
                  <c:v>-4.4636943923868042</c:v>
                </c:pt>
                <c:pt idx="9">
                  <c:v>-5.1193144295335955</c:v>
                </c:pt>
                <c:pt idx="10">
                  <c:v>-5.8572371076746457</c:v>
                </c:pt>
                <c:pt idx="11">
                  <c:v>-6.6750445682663901</c:v>
                </c:pt>
                <c:pt idx="12">
                  <c:v>-7.5862693669176284</c:v>
                </c:pt>
                <c:pt idx="13">
                  <c:v>-8.470673010104921</c:v>
                </c:pt>
                <c:pt idx="14">
                  <c:v>-9.2965048364620237</c:v>
                </c:pt>
                <c:pt idx="15">
                  <c:v>-10.09648984460636</c:v>
                </c:pt>
                <c:pt idx="16">
                  <c:v>-10.807159920477691</c:v>
                </c:pt>
                <c:pt idx="17">
                  <c:v>-11.452559422267345</c:v>
                </c:pt>
                <c:pt idx="18">
                  <c:v>-12.226100402104368</c:v>
                </c:pt>
                <c:pt idx="19">
                  <c:v>-12.935127671487248</c:v>
                </c:pt>
                <c:pt idx="20">
                  <c:v>-13.51768479140841</c:v>
                </c:pt>
                <c:pt idx="21">
                  <c:v>-14.09866388770439</c:v>
                </c:pt>
                <c:pt idx="22">
                  <c:v>-14.725279257470429</c:v>
                </c:pt>
                <c:pt idx="23">
                  <c:v>-15.263994482795486</c:v>
                </c:pt>
                <c:pt idx="24">
                  <c:v>-15.786431110221141</c:v>
                </c:pt>
                <c:pt idx="25">
                  <c:v>-16.295660187521474</c:v>
                </c:pt>
                <c:pt idx="26">
                  <c:v>-16.769452527664942</c:v>
                </c:pt>
                <c:pt idx="27">
                  <c:v>-17.267081603439099</c:v>
                </c:pt>
                <c:pt idx="28">
                  <c:v>-17.75948065266218</c:v>
                </c:pt>
                <c:pt idx="29">
                  <c:v>-18.198374176638143</c:v>
                </c:pt>
                <c:pt idx="30">
                  <c:v>-18.610698950978101</c:v>
                </c:pt>
                <c:pt idx="31">
                  <c:v>-18.998661344311145</c:v>
                </c:pt>
                <c:pt idx="32">
                  <c:v>-19.320827347750505</c:v>
                </c:pt>
                <c:pt idx="33">
                  <c:v>-19.614460523240712</c:v>
                </c:pt>
                <c:pt idx="34">
                  <c:v>-19.883604378038452</c:v>
                </c:pt>
                <c:pt idx="35">
                  <c:v>-20.189623866297364</c:v>
                </c:pt>
                <c:pt idx="36">
                  <c:v>-20.482097251630361</c:v>
                </c:pt>
                <c:pt idx="37">
                  <c:v>-20.745989208232917</c:v>
                </c:pt>
                <c:pt idx="38">
                  <c:v>-21.018740360587547</c:v>
                </c:pt>
                <c:pt idx="39">
                  <c:v>-21.266423154551617</c:v>
                </c:pt>
                <c:pt idx="40">
                  <c:v>-21.501964478317046</c:v>
                </c:pt>
                <c:pt idx="41">
                  <c:v>-21.715530048605189</c:v>
                </c:pt>
                <c:pt idx="42">
                  <c:v>-21.928476535123966</c:v>
                </c:pt>
                <c:pt idx="43">
                  <c:v>-22.171993212205681</c:v>
                </c:pt>
                <c:pt idx="44">
                  <c:v>-22.397619057113442</c:v>
                </c:pt>
                <c:pt idx="45">
                  <c:v>-22.63969693853609</c:v>
                </c:pt>
                <c:pt idx="46">
                  <c:v>-22.885541901012207</c:v>
                </c:pt>
                <c:pt idx="47">
                  <c:v>-23.128519509995275</c:v>
                </c:pt>
                <c:pt idx="48">
                  <c:v>-23.379172324044777</c:v>
                </c:pt>
                <c:pt idx="49">
                  <c:v>-23.643122665505746</c:v>
                </c:pt>
                <c:pt idx="50">
                  <c:v>-23.868959559817917</c:v>
                </c:pt>
                <c:pt idx="51">
                  <c:v>-24.106806963706031</c:v>
                </c:pt>
                <c:pt idx="52">
                  <c:v>-24.322462910879889</c:v>
                </c:pt>
                <c:pt idx="53">
                  <c:v>-24.529794407659541</c:v>
                </c:pt>
                <c:pt idx="54">
                  <c:v>-24.734628154635754</c:v>
                </c:pt>
                <c:pt idx="55">
                  <c:v>-24.947004788803607</c:v>
                </c:pt>
                <c:pt idx="56">
                  <c:v>-25.130165460347872</c:v>
                </c:pt>
                <c:pt idx="57">
                  <c:v>-25.318184823144723</c:v>
                </c:pt>
                <c:pt idx="58">
                  <c:v>-25.497782502489944</c:v>
                </c:pt>
                <c:pt idx="59">
                  <c:v>-25.670697137825474</c:v>
                </c:pt>
                <c:pt idx="60">
                  <c:v>-25.827928112490515</c:v>
                </c:pt>
                <c:pt idx="61">
                  <c:v>-25.983894764845783</c:v>
                </c:pt>
                <c:pt idx="62">
                  <c:v>-26.157319057812597</c:v>
                </c:pt>
                <c:pt idx="63">
                  <c:v>-26.325383176919896</c:v>
                </c:pt>
                <c:pt idx="64">
                  <c:v>-26.513046476528149</c:v>
                </c:pt>
                <c:pt idx="65">
                  <c:v>-26.681715057822391</c:v>
                </c:pt>
                <c:pt idx="66">
                  <c:v>-26.826262714697268</c:v>
                </c:pt>
                <c:pt idx="67">
                  <c:v>-26.963714916471229</c:v>
                </c:pt>
                <c:pt idx="68">
                  <c:v>-27.084471013420657</c:v>
                </c:pt>
                <c:pt idx="69">
                  <c:v>-27.21229512537737</c:v>
                </c:pt>
                <c:pt idx="70">
                  <c:v>-27.334742056018502</c:v>
                </c:pt>
                <c:pt idx="71">
                  <c:v>-27.467537167319779</c:v>
                </c:pt>
                <c:pt idx="72">
                  <c:v>-27.607237234149881</c:v>
                </c:pt>
                <c:pt idx="73">
                  <c:v>-27.741027280283848</c:v>
                </c:pt>
                <c:pt idx="74">
                  <c:v>-27.857601322006314</c:v>
                </c:pt>
                <c:pt idx="75">
                  <c:v>-27.96619236066201</c:v>
                </c:pt>
                <c:pt idx="76">
                  <c:v>-28.066957979501542</c:v>
                </c:pt>
                <c:pt idx="77">
                  <c:v>-28.156997746596144</c:v>
                </c:pt>
                <c:pt idx="78">
                  <c:v>-28.244688391645884</c:v>
                </c:pt>
                <c:pt idx="79">
                  <c:v>-28.32672043244337</c:v>
                </c:pt>
                <c:pt idx="80">
                  <c:v>-28.39923147389101</c:v>
                </c:pt>
                <c:pt idx="81">
                  <c:v>-28.464160787281426</c:v>
                </c:pt>
                <c:pt idx="82">
                  <c:v>-28.526587836452993</c:v>
                </c:pt>
                <c:pt idx="83">
                  <c:v>-28.58398712698266</c:v>
                </c:pt>
                <c:pt idx="84">
                  <c:v>-28.641553465203049</c:v>
                </c:pt>
                <c:pt idx="85">
                  <c:v>-28.688684599285391</c:v>
                </c:pt>
                <c:pt idx="86">
                  <c:v>-28.734530394877464</c:v>
                </c:pt>
                <c:pt idx="87">
                  <c:v>-28.777352869913532</c:v>
                </c:pt>
                <c:pt idx="88">
                  <c:v>-28.816253875181015</c:v>
                </c:pt>
                <c:pt idx="89">
                  <c:v>-28.856624710687431</c:v>
                </c:pt>
                <c:pt idx="90">
                  <c:v>-28.892376658132743</c:v>
                </c:pt>
                <c:pt idx="91">
                  <c:v>-28.922916936063164</c:v>
                </c:pt>
                <c:pt idx="92">
                  <c:v>-28.95078688813555</c:v>
                </c:pt>
                <c:pt idx="93">
                  <c:v>-28.975450564883435</c:v>
                </c:pt>
                <c:pt idx="94">
                  <c:v>-28.997316953019936</c:v>
                </c:pt>
                <c:pt idx="95">
                  <c:v>-29.016343474767009</c:v>
                </c:pt>
                <c:pt idx="96">
                  <c:v>-29.034225263050008</c:v>
                </c:pt>
                <c:pt idx="97">
                  <c:v>-29.051319552439882</c:v>
                </c:pt>
                <c:pt idx="98">
                  <c:v>-29.065597394991595</c:v>
                </c:pt>
                <c:pt idx="99">
                  <c:v>-29.076879612879235</c:v>
                </c:pt>
                <c:pt idx="100">
                  <c:v>-29.084569112827392</c:v>
                </c:pt>
                <c:pt idx="101">
                  <c:v>-29.089431947328908</c:v>
                </c:pt>
                <c:pt idx="102">
                  <c:v>-29.09162888480758</c:v>
                </c:pt>
                <c:pt idx="103">
                  <c:v>-29.091290843575781</c:v>
                </c:pt>
                <c:pt idx="104">
                  <c:v>-29.088686412291135</c:v>
                </c:pt>
                <c:pt idx="105">
                  <c:v>-29.083971587403443</c:v>
                </c:pt>
                <c:pt idx="106">
                  <c:v>-29.077603939603566</c:v>
                </c:pt>
                <c:pt idx="107">
                  <c:v>-29.069212884866378</c:v>
                </c:pt>
                <c:pt idx="108">
                  <c:v>-29.059771945933694</c:v>
                </c:pt>
                <c:pt idx="109">
                  <c:v>-29.049200689778655</c:v>
                </c:pt>
                <c:pt idx="110">
                  <c:v>-29.036764358749753</c:v>
                </c:pt>
                <c:pt idx="111">
                  <c:v>-29.023598687963645</c:v>
                </c:pt>
                <c:pt idx="112">
                  <c:v>-29.010024113665043</c:v>
                </c:pt>
                <c:pt idx="113">
                  <c:v>-28.995430894020455</c:v>
                </c:pt>
                <c:pt idx="114">
                  <c:v>-28.979970703092935</c:v>
                </c:pt>
                <c:pt idx="115">
                  <c:v>-28.962450746760023</c:v>
                </c:pt>
                <c:pt idx="116">
                  <c:v>-28.94499033328842</c:v>
                </c:pt>
                <c:pt idx="117">
                  <c:v>-28.925718488661477</c:v>
                </c:pt>
                <c:pt idx="118">
                  <c:v>-28.903770999956681</c:v>
                </c:pt>
                <c:pt idx="119">
                  <c:v>-28.876757639102767</c:v>
                </c:pt>
                <c:pt idx="120">
                  <c:v>-28.847323359798484</c:v>
                </c:pt>
                <c:pt idx="121">
                  <c:v>-28.818004550511514</c:v>
                </c:pt>
                <c:pt idx="122">
                  <c:v>-28.788099592182792</c:v>
                </c:pt>
                <c:pt idx="123">
                  <c:v>-28.758504059783437</c:v>
                </c:pt>
                <c:pt idx="124">
                  <c:v>-28.726529807835025</c:v>
                </c:pt>
                <c:pt idx="125">
                  <c:v>-28.694435396656782</c:v>
                </c:pt>
                <c:pt idx="126">
                  <c:v>-28.656062139128981</c:v>
                </c:pt>
                <c:pt idx="127">
                  <c:v>-28.618750310791778</c:v>
                </c:pt>
                <c:pt idx="128">
                  <c:v>-28.580304913438308</c:v>
                </c:pt>
                <c:pt idx="129">
                  <c:v>-28.542064075715391</c:v>
                </c:pt>
                <c:pt idx="130">
                  <c:v>-28.50193775681031</c:v>
                </c:pt>
                <c:pt idx="131">
                  <c:v>-28.461454389097202</c:v>
                </c:pt>
                <c:pt idx="132">
                  <c:v>-28.418563201660223</c:v>
                </c:pt>
                <c:pt idx="133">
                  <c:v>-28.377558187215978</c:v>
                </c:pt>
                <c:pt idx="134">
                  <c:v>-28.335865740954393</c:v>
                </c:pt>
                <c:pt idx="135">
                  <c:v>-28.294761886391161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36</c:v>
                </c:pt>
                <c:pt idx="1">
                  <c:v>43.326666666666668</c:v>
                </c:pt>
                <c:pt idx="2">
                  <c:v>46.790987654320993</c:v>
                </c:pt>
                <c:pt idx="3">
                  <c:v>49.701851257430278</c:v>
                </c:pt>
                <c:pt idx="4">
                  <c:v>53.365276852419186</c:v>
                </c:pt>
                <c:pt idx="5">
                  <c:v>57.816401101891863</c:v>
                </c:pt>
                <c:pt idx="6">
                  <c:v>58.227759740399073</c:v>
                </c:pt>
                <c:pt idx="7">
                  <c:v>58.204414502300423</c:v>
                </c:pt>
                <c:pt idx="8">
                  <c:v>62.50818485362754</c:v>
                </c:pt>
                <c:pt idx="9">
                  <c:v>63.97784823113976</c:v>
                </c:pt>
                <c:pt idx="10">
                  <c:v>67.52959928224017</c:v>
                </c:pt>
                <c:pt idx="11">
                  <c:v>67.4343435982084</c:v>
                </c:pt>
                <c:pt idx="12">
                  <c:v>67.288993799296534</c:v>
                </c:pt>
                <c:pt idx="13">
                  <c:v>68.816118243428619</c:v>
                </c:pt>
                <c:pt idx="14">
                  <c:v>68.560796002431786</c:v>
                </c:pt>
                <c:pt idx="15">
                  <c:v>70.510313452731012</c:v>
                </c:pt>
                <c:pt idx="16">
                  <c:v>71.805302835812043</c:v>
                </c:pt>
                <c:pt idx="17">
                  <c:v>71.814362324148362</c:v>
                </c:pt>
                <c:pt idx="18">
                  <c:v>73.29896888869726</c:v>
                </c:pt>
                <c:pt idx="19">
                  <c:v>75.106128115040207</c:v>
                </c:pt>
                <c:pt idx="20">
                  <c:v>74.375402334066877</c:v>
                </c:pt>
                <c:pt idx="21">
                  <c:v>79.792983601700541</c:v>
                </c:pt>
                <c:pt idx="22">
                  <c:v>84.451429309201941</c:v>
                </c:pt>
                <c:pt idx="23">
                  <c:v>85.612557331582764</c:v>
                </c:pt>
                <c:pt idx="24">
                  <c:v>86.567632202246401</c:v>
                </c:pt>
                <c:pt idx="25">
                  <c:v>87.782655479741237</c:v>
                </c:pt>
                <c:pt idx="26">
                  <c:v>87.783330387393534</c:v>
                </c:pt>
                <c:pt idx="27">
                  <c:v>89.476157641721016</c:v>
                </c:pt>
                <c:pt idx="28">
                  <c:v>91.603566070645257</c:v>
                </c:pt>
                <c:pt idx="29">
                  <c:v>93.360123774042194</c:v>
                </c:pt>
                <c:pt idx="30">
                  <c:v>94.897542053831984</c:v>
                </c:pt>
                <c:pt idx="31">
                  <c:v>97.197329509775471</c:v>
                </c:pt>
                <c:pt idx="32">
                  <c:v>99.698300491512001</c:v>
                </c:pt>
                <c:pt idx="33">
                  <c:v>100.85296919707743</c:v>
                </c:pt>
                <c:pt idx="34">
                  <c:v>100.20491267117865</c:v>
                </c:pt>
                <c:pt idx="35">
                  <c:v>103.17242195041679</c:v>
                </c:pt>
                <c:pt idx="36">
                  <c:v>107.85732589759759</c:v>
                </c:pt>
                <c:pt idx="37">
                  <c:v>108.76446245001367</c:v>
                </c:pt>
                <c:pt idx="38">
                  <c:v>105.62853424113356</c:v>
                </c:pt>
                <c:pt idx="39">
                  <c:v>104.81150912210026</c:v>
                </c:pt>
                <c:pt idx="40">
                  <c:v>106.98136688878931</c:v>
                </c:pt>
                <c:pt idx="41">
                  <c:v>109.64666247961591</c:v>
                </c:pt>
                <c:pt idx="42">
                  <c:v>106.81010227033811</c:v>
                </c:pt>
                <c:pt idx="43">
                  <c:v>104.4696394834674</c:v>
                </c:pt>
                <c:pt idx="44">
                  <c:v>101.43211828950396</c:v>
                </c:pt>
                <c:pt idx="45">
                  <c:v>97.895374033898605</c:v>
                </c:pt>
                <c:pt idx="46">
                  <c:v>94.591755793926268</c:v>
                </c:pt>
                <c:pt idx="47">
                  <c:v>91.419163296698827</c:v>
                </c:pt>
                <c:pt idx="48">
                  <c:v>88.50390356450832</c:v>
                </c:pt>
                <c:pt idx="49">
                  <c:v>85.618414570788886</c:v>
                </c:pt>
                <c:pt idx="50">
                  <c:v>83.058416323433207</c:v>
                </c:pt>
                <c:pt idx="51">
                  <c:v>80.243694225526397</c:v>
                </c:pt>
                <c:pt idx="52">
                  <c:v>76.925723651800922</c:v>
                </c:pt>
                <c:pt idx="53">
                  <c:v>74.060051952808251</c:v>
                </c:pt>
                <c:pt idx="54">
                  <c:v>71.636244594220841</c:v>
                </c:pt>
                <c:pt idx="55">
                  <c:v>68.855470435344898</c:v>
                </c:pt>
                <c:pt idx="56">
                  <c:v>66.631875011009697</c:v>
                </c:pt>
                <c:pt idx="57">
                  <c:v>64.296442207045203</c:v>
                </c:pt>
                <c:pt idx="58">
                  <c:v>62.54735545631214</c:v>
                </c:pt>
                <c:pt idx="59">
                  <c:v>60.055628943518641</c:v>
                </c:pt>
                <c:pt idx="60">
                  <c:v>57.296614116961749</c:v>
                </c:pt>
                <c:pt idx="61">
                  <c:v>54.276003912517425</c:v>
                </c:pt>
                <c:pt idx="62">
                  <c:v>51.705483770030575</c:v>
                </c:pt>
                <c:pt idx="63">
                  <c:v>50.002346040660399</c:v>
                </c:pt>
                <c:pt idx="64">
                  <c:v>48.580780607629578</c:v>
                </c:pt>
                <c:pt idx="65">
                  <c:v>47.059439668235171</c:v>
                </c:pt>
                <c:pt idx="66">
                  <c:v>45.404047257518684</c:v>
                </c:pt>
                <c:pt idx="67">
                  <c:v>43.911005185310046</c:v>
                </c:pt>
                <c:pt idx="68">
                  <c:v>42.146655341461326</c:v>
                </c:pt>
                <c:pt idx="69">
                  <c:v>41.405852292201516</c:v>
                </c:pt>
                <c:pt idx="70">
                  <c:v>41.035390338262246</c:v>
                </c:pt>
                <c:pt idx="71">
                  <c:v>39.698911940943653</c:v>
                </c:pt>
                <c:pt idx="72">
                  <c:v>37.694651518303928</c:v>
                </c:pt>
                <c:pt idx="73">
                  <c:v>37.394007810896127</c:v>
                </c:pt>
                <c:pt idx="74">
                  <c:v>36.766525095842923</c:v>
                </c:pt>
                <c:pt idx="75">
                  <c:v>34.645070370718813</c:v>
                </c:pt>
                <c:pt idx="76">
                  <c:v>32.633928493789966</c:v>
                </c:pt>
                <c:pt idx="77">
                  <c:v>31.110531417657722</c:v>
                </c:pt>
                <c:pt idx="78">
                  <c:v>31.133611078916388</c:v>
                </c:pt>
                <c:pt idx="79">
                  <c:v>31.410808950782144</c:v>
                </c:pt>
                <c:pt idx="80">
                  <c:v>30.398294591730664</c:v>
                </c:pt>
                <c:pt idx="81">
                  <c:v>29.014265738384694</c:v>
                </c:pt>
                <c:pt idx="82">
                  <c:v>27.847897115468566</c:v>
                </c:pt>
                <c:pt idx="83">
                  <c:v>28.83763849919869</c:v>
                </c:pt>
                <c:pt idx="84">
                  <c:v>29.177562448657721</c:v>
                </c:pt>
                <c:pt idx="85">
                  <c:v>29.211820240481138</c:v>
                </c:pt>
                <c:pt idx="86">
                  <c:v>28.506817068384137</c:v>
                </c:pt>
                <c:pt idx="87">
                  <c:v>27.472427733876696</c:v>
                </c:pt>
                <c:pt idx="88">
                  <c:v>27.536560933088019</c:v>
                </c:pt>
                <c:pt idx="89">
                  <c:v>26.732695964954402</c:v>
                </c:pt>
                <c:pt idx="90">
                  <c:v>25.568166852235372</c:v>
                </c:pt>
                <c:pt idx="91">
                  <c:v>24.233309070690961</c:v>
                </c:pt>
                <c:pt idx="92">
                  <c:v>23.181076036168751</c:v>
                </c:pt>
                <c:pt idx="93">
                  <c:v>21.60800498968414</c:v>
                </c:pt>
                <c:pt idx="94">
                  <c:v>20.933517461423861</c:v>
                </c:pt>
                <c:pt idx="95">
                  <c:v>19.273504186606729</c:v>
                </c:pt>
                <c:pt idx="96">
                  <c:v>17.743361292975369</c:v>
                </c:pt>
                <c:pt idx="97">
                  <c:v>16.522439766831813</c:v>
                </c:pt>
                <c:pt idx="98">
                  <c:v>15.695080223315637</c:v>
                </c:pt>
                <c:pt idx="99">
                  <c:v>14.277534830546848</c:v>
                </c:pt>
                <c:pt idx="100">
                  <c:v>12.30545826025196</c:v>
                </c:pt>
                <c:pt idx="101">
                  <c:v>10.948015359028044</c:v>
                </c:pt>
                <c:pt idx="102">
                  <c:v>10.289889608273761</c:v>
                </c:pt>
                <c:pt idx="103">
                  <c:v>9.7576438931926948</c:v>
                </c:pt>
                <c:pt idx="104">
                  <c:v>8.9071555532453424</c:v>
                </c:pt>
                <c:pt idx="105">
                  <c:v>8.4624773461083507</c:v>
                </c:pt>
                <c:pt idx="106">
                  <c:v>7.3809268685462683</c:v>
                </c:pt>
                <c:pt idx="107">
                  <c:v>6.7579994821772882</c:v>
                </c:pt>
                <c:pt idx="108">
                  <c:v>6.7684275084771253</c:v>
                </c:pt>
                <c:pt idx="109">
                  <c:v>6.3031564192288263</c:v>
                </c:pt>
                <c:pt idx="110">
                  <c:v>5.998844952884208</c:v>
                </c:pt>
                <c:pt idx="111">
                  <c:v>6.250938382014442</c:v>
                </c:pt>
                <c:pt idx="112">
                  <c:v>6.1687103622017592</c:v>
                </c:pt>
                <c:pt idx="113">
                  <c:v>6.8467748546628524</c:v>
                </c:pt>
                <c:pt idx="114">
                  <c:v>6.5355304016101137</c:v>
                </c:pt>
                <c:pt idx="115">
                  <c:v>6.3255962425388308</c:v>
                </c:pt>
                <c:pt idx="116">
                  <c:v>5.7864066768649414</c:v>
                </c:pt>
                <c:pt idx="117">
                  <c:v>5.608435147103032</c:v>
                </c:pt>
                <c:pt idx="118">
                  <c:v>6.378735929519868</c:v>
                </c:pt>
                <c:pt idx="119">
                  <c:v>6.3440355085573064</c:v>
                </c:pt>
                <c:pt idx="120">
                  <c:v>5.7366115725857076</c:v>
                </c:pt>
                <c:pt idx="121">
                  <c:v>5.3003951375196436</c:v>
                </c:pt>
                <c:pt idx="122">
                  <c:v>5.8214815920586487</c:v>
                </c:pt>
                <c:pt idx="123">
                  <c:v>6.0713890209789749</c:v>
                </c:pt>
                <c:pt idx="124">
                  <c:v>7.066933930665126</c:v>
                </c:pt>
                <c:pt idx="125">
                  <c:v>8.05656554566011</c:v>
                </c:pt>
                <c:pt idx="126">
                  <c:v>8.056306987237706</c:v>
                </c:pt>
                <c:pt idx="127">
                  <c:v>8.9885235909567864</c:v>
                </c:pt>
                <c:pt idx="128">
                  <c:v>8.8490493628127176</c:v>
                </c:pt>
                <c:pt idx="129">
                  <c:v>8.3559248846040148</c:v>
                </c:pt>
                <c:pt idx="130">
                  <c:v>8.0510093550864319</c:v>
                </c:pt>
                <c:pt idx="131">
                  <c:v>9.0608388211356647</c:v>
                </c:pt>
                <c:pt idx="132">
                  <c:v>9.1950775845322603</c:v>
                </c:pt>
                <c:pt idx="133">
                  <c:v>8.6610994954970426</c:v>
                </c:pt>
                <c:pt idx="134">
                  <c:v>9.4683836022143275</c:v>
                </c:pt>
                <c:pt idx="135">
                  <c:v>9.0714150110219123</c:v>
                </c:pt>
                <c:pt idx="136">
                  <c:v>9.0820302925799865</c:v>
                </c:pt>
                <c:pt idx="137">
                  <c:v>8.7307380880537178</c:v>
                </c:pt>
                <c:pt idx="138">
                  <c:v>8.1293241001768664</c:v>
                </c:pt>
                <c:pt idx="139">
                  <c:v>7.7576467809768426</c:v>
                </c:pt>
                <c:pt idx="140">
                  <c:v>7.4530241351978583</c:v>
                </c:pt>
                <c:pt idx="141">
                  <c:v>7.5990605918259044</c:v>
                </c:pt>
                <c:pt idx="142">
                  <c:v>7.9241823891434287</c:v>
                </c:pt>
                <c:pt idx="143">
                  <c:v>7.7018432713715423</c:v>
                </c:pt>
                <c:pt idx="144">
                  <c:v>8.6401902785804712</c:v>
                </c:pt>
                <c:pt idx="145">
                  <c:v>7.9094137958002779</c:v>
                </c:pt>
                <c:pt idx="146">
                  <c:v>7.4106390466065157</c:v>
                </c:pt>
                <c:pt idx="147">
                  <c:v>6.6350692434348293</c:v>
                </c:pt>
                <c:pt idx="148">
                  <c:v>6.6233736763555058</c:v>
                </c:pt>
                <c:pt idx="149">
                  <c:v>7.5399396060384909</c:v>
                </c:pt>
                <c:pt idx="150">
                  <c:v>7.3073924477013144</c:v>
                </c:pt>
                <c:pt idx="151">
                  <c:v>7.0854661152941327</c:v>
                </c:pt>
                <c:pt idx="152">
                  <c:v>7.5129268551907407</c:v>
                </c:pt>
                <c:pt idx="153">
                  <c:v>8.2023085325278764</c:v>
                </c:pt>
                <c:pt idx="154">
                  <c:v>8.4843288568578838</c:v>
                </c:pt>
                <c:pt idx="155">
                  <c:v>8.6264981914725869</c:v>
                </c:pt>
                <c:pt idx="156">
                  <c:v>10.344910466895124</c:v>
                </c:pt>
                <c:pt idx="157">
                  <c:v>10.789868960255474</c:v>
                </c:pt>
                <c:pt idx="158">
                  <c:v>10.867088076803762</c:v>
                </c:pt>
                <c:pt idx="159">
                  <c:v>10.70615323296169</c:v>
                </c:pt>
                <c:pt idx="160">
                  <c:v>9.6767801185838795</c:v>
                </c:pt>
                <c:pt idx="161">
                  <c:v>9.0431313313663537</c:v>
                </c:pt>
                <c:pt idx="162">
                  <c:v>8.3861561921216179</c:v>
                </c:pt>
                <c:pt idx="163">
                  <c:v>8.0721187070090004</c:v>
                </c:pt>
                <c:pt idx="164">
                  <c:v>9.0288949677578856</c:v>
                </c:pt>
                <c:pt idx="165">
                  <c:v>8.5953467452684116</c:v>
                </c:pt>
                <c:pt idx="166">
                  <c:v>9.2577354479691039</c:v>
                </c:pt>
                <c:pt idx="167">
                  <c:v>8.7747049541808604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5.0196381932136411E-3</c:v>
                </c:pt>
                <c:pt idx="43">
                  <c:v>5.0196381932136411E-3</c:v>
                </c:pt>
                <c:pt idx="44">
                  <c:v>5.0196381932136411E-3</c:v>
                </c:pt>
                <c:pt idx="45">
                  <c:v>5.0196381932136411E-3</c:v>
                </c:pt>
                <c:pt idx="46">
                  <c:v>5.0196381932136411E-3</c:v>
                </c:pt>
                <c:pt idx="47">
                  <c:v>5.0196381932136411E-3</c:v>
                </c:pt>
                <c:pt idx="48">
                  <c:v>5.0196381932136411E-3</c:v>
                </c:pt>
                <c:pt idx="49">
                  <c:v>5.0196381932136411E-3</c:v>
                </c:pt>
                <c:pt idx="50">
                  <c:v>5.0196381932136411E-3</c:v>
                </c:pt>
                <c:pt idx="51">
                  <c:v>5.0196381932136411E-3</c:v>
                </c:pt>
                <c:pt idx="52">
                  <c:v>5.0196381932136411E-3</c:v>
                </c:pt>
                <c:pt idx="53">
                  <c:v>5.0196381932136411E-3</c:v>
                </c:pt>
                <c:pt idx="54">
                  <c:v>5.0196381932136411E-3</c:v>
                </c:pt>
                <c:pt idx="55">
                  <c:v>5.0196381932136411E-3</c:v>
                </c:pt>
                <c:pt idx="56">
                  <c:v>5.0196381932136411E-3</c:v>
                </c:pt>
                <c:pt idx="57">
                  <c:v>5.0196381932136411E-3</c:v>
                </c:pt>
                <c:pt idx="58">
                  <c:v>5.0196381932136411E-3</c:v>
                </c:pt>
                <c:pt idx="59">
                  <c:v>5.0196381932136411E-3</c:v>
                </c:pt>
                <c:pt idx="60">
                  <c:v>5.0196381932136411E-3</c:v>
                </c:pt>
                <c:pt idx="61">
                  <c:v>5.0196381932136411E-3</c:v>
                </c:pt>
                <c:pt idx="62">
                  <c:v>5.0196381932136411E-3</c:v>
                </c:pt>
                <c:pt idx="63">
                  <c:v>5.0196381932136411E-3</c:v>
                </c:pt>
                <c:pt idx="64">
                  <c:v>5.0196381932136411E-3</c:v>
                </c:pt>
                <c:pt idx="65">
                  <c:v>5.0196381932136411E-3</c:v>
                </c:pt>
                <c:pt idx="66">
                  <c:v>5.0196381932136411E-3</c:v>
                </c:pt>
                <c:pt idx="67">
                  <c:v>5.0196381932136411E-3</c:v>
                </c:pt>
                <c:pt idx="68">
                  <c:v>5.0196381932136411E-3</c:v>
                </c:pt>
                <c:pt idx="69">
                  <c:v>5.0196381932136411E-3</c:v>
                </c:pt>
                <c:pt idx="70">
                  <c:v>5.0196381932136411E-3</c:v>
                </c:pt>
                <c:pt idx="71">
                  <c:v>5.0196381932136411E-3</c:v>
                </c:pt>
                <c:pt idx="72">
                  <c:v>5.0196381932136411E-3</c:v>
                </c:pt>
                <c:pt idx="73">
                  <c:v>5.0196381932136411E-3</c:v>
                </c:pt>
                <c:pt idx="74">
                  <c:v>5.0196381932136411E-3</c:v>
                </c:pt>
                <c:pt idx="75">
                  <c:v>5.0196381932136411E-3</c:v>
                </c:pt>
                <c:pt idx="76">
                  <c:v>5.7214945691144645E-3</c:v>
                </c:pt>
                <c:pt idx="77">
                  <c:v>6.6113112022474947E-3</c:v>
                </c:pt>
                <c:pt idx="78">
                  <c:v>7.5153462546830438E-3</c:v>
                </c:pt>
                <c:pt idx="79">
                  <c:v>8.4913011964490304E-3</c:v>
                </c:pt>
                <c:pt idx="80">
                  <c:v>9.5756173386439842E-3</c:v>
                </c:pt>
                <c:pt idx="81">
                  <c:v>1.0933733541352898E-2</c:v>
                </c:pt>
                <c:pt idx="82">
                  <c:v>1.2502959693193462E-2</c:v>
                </c:pt>
                <c:pt idx="83">
                  <c:v>1.4071485524441421E-2</c:v>
                </c:pt>
                <c:pt idx="84">
                  <c:v>1.5726651707334994E-2</c:v>
                </c:pt>
                <c:pt idx="85">
                  <c:v>1.7545311995583186E-2</c:v>
                </c:pt>
                <c:pt idx="86">
                  <c:v>1.986162856856543E-2</c:v>
                </c:pt>
                <c:pt idx="87">
                  <c:v>2.3089906010695344E-2</c:v>
                </c:pt>
                <c:pt idx="88">
                  <c:v>2.6505124513430796E-2</c:v>
                </c:pt>
                <c:pt idx="89">
                  <c:v>3.017294102038998E-2</c:v>
                </c:pt>
                <c:pt idx="90">
                  <c:v>3.4129179258995591E-2</c:v>
                </c:pt>
                <c:pt idx="91">
                  <c:v>3.9032085129152294E-2</c:v>
                </c:pt>
                <c:pt idx="92">
                  <c:v>4.5333963371154203E-2</c:v>
                </c:pt>
                <c:pt idx="93">
                  <c:v>5.1922264103989438E-2</c:v>
                </c:pt>
                <c:pt idx="94">
                  <c:v>5.9351064640878359E-2</c:v>
                </c:pt>
                <c:pt idx="95">
                  <c:v>6.7821420820023043E-2</c:v>
                </c:pt>
                <c:pt idx="96">
                  <c:v>7.9038315740497828E-2</c:v>
                </c:pt>
                <c:pt idx="97">
                  <c:v>8.9969927397968608E-2</c:v>
                </c:pt>
                <c:pt idx="98">
                  <c:v>0.10204664311766795</c:v>
                </c:pt>
                <c:pt idx="99">
                  <c:v>0.11563379022270277</c:v>
                </c:pt>
                <c:pt idx="100">
                  <c:v>0.13116710246359767</c:v>
                </c:pt>
                <c:pt idx="101">
                  <c:v>0.15108154009643635</c:v>
                </c:pt>
                <c:pt idx="102">
                  <c:v>0.17176351443187476</c:v>
                </c:pt>
                <c:pt idx="103">
                  <c:v>0.19637094778040354</c:v>
                </c:pt>
                <c:pt idx="104">
                  <c:v>0.22380254295341784</c:v>
                </c:pt>
                <c:pt idx="105">
                  <c:v>0.25205288190091402</c:v>
                </c:pt>
                <c:pt idx="106">
                  <c:v>0.28168605562414567</c:v>
                </c:pt>
                <c:pt idx="107">
                  <c:v>0.31519943935613359</c:v>
                </c:pt>
                <c:pt idx="108">
                  <c:v>0.34691693635859666</c:v>
                </c:pt>
                <c:pt idx="109">
                  <c:v>0.37987296715553309</c:v>
                </c:pt>
                <c:pt idx="110">
                  <c:v>0.41300015830743519</c:v>
                </c:pt>
                <c:pt idx="111">
                  <c:v>0.44481845933252007</c:v>
                </c:pt>
                <c:pt idx="112">
                  <c:v>0.47362421332409399</c:v>
                </c:pt>
                <c:pt idx="113">
                  <c:v>0.50226009174281461</c:v>
                </c:pt>
                <c:pt idx="114">
                  <c:v>0.52913917939647925</c:v>
                </c:pt>
                <c:pt idx="115">
                  <c:v>0.5551012511620862</c:v>
                </c:pt>
                <c:pt idx="116">
                  <c:v>0.58336638368207683</c:v>
                </c:pt>
                <c:pt idx="117">
                  <c:v>0.6068683964268764</c:v>
                </c:pt>
                <c:pt idx="118">
                  <c:v>0.62693343472540841</c:v>
                </c:pt>
                <c:pt idx="119">
                  <c:v>0.64289942334649774</c:v>
                </c:pt>
                <c:pt idx="120">
                  <c:v>0.65814004029362172</c:v>
                </c:pt>
                <c:pt idx="121">
                  <c:v>0.67214285202494517</c:v>
                </c:pt>
                <c:pt idx="122">
                  <c:v>0.68467428703483701</c:v>
                </c:pt>
                <c:pt idx="123">
                  <c:v>0.69435840597149789</c:v>
                </c:pt>
                <c:pt idx="124">
                  <c:v>0.70218400171707773</c:v>
                </c:pt>
                <c:pt idx="125">
                  <c:v>0.70880213001536307</c:v>
                </c:pt>
                <c:pt idx="126">
                  <c:v>0.71520940360998941</c:v>
                </c:pt>
                <c:pt idx="127">
                  <c:v>0.72060527100697724</c:v>
                </c:pt>
                <c:pt idx="128">
                  <c:v>0.72482463017343757</c:v>
                </c:pt>
                <c:pt idx="129">
                  <c:v>0.72906798699566688</c:v>
                </c:pt>
                <c:pt idx="130">
                  <c:v>0.732721871783936</c:v>
                </c:pt>
                <c:pt idx="131">
                  <c:v>0.73585206884284382</c:v>
                </c:pt>
                <c:pt idx="132">
                  <c:v>0.73835081487064547</c:v>
                </c:pt>
                <c:pt idx="133">
                  <c:v>0.74034678491818595</c:v>
                </c:pt>
                <c:pt idx="134">
                  <c:v>0.74196764623801337</c:v>
                </c:pt>
                <c:pt idx="135">
                  <c:v>0.74327620228784252</c:v>
                </c:pt>
                <c:pt idx="136">
                  <c:v>0.74442361167291404</c:v>
                </c:pt>
                <c:pt idx="137">
                  <c:v>0.74547596536416183</c:v>
                </c:pt>
                <c:pt idx="138">
                  <c:v>0.7463524415482079</c:v>
                </c:pt>
                <c:pt idx="139">
                  <c:v>0.74710094570768271</c:v>
                </c:pt>
                <c:pt idx="140">
                  <c:v>0.74767438126313057</c:v>
                </c:pt>
                <c:pt idx="141">
                  <c:v>0.74813055421255314</c:v>
                </c:pt>
                <c:pt idx="142">
                  <c:v>0.74847739692862214</c:v>
                </c:pt>
                <c:pt idx="143">
                  <c:v>0.74877442234132663</c:v>
                </c:pt>
                <c:pt idx="144">
                  <c:v>0.74901466995366106</c:v>
                </c:pt>
                <c:pt idx="145">
                  <c:v>0.74919623715467087</c:v>
                </c:pt>
                <c:pt idx="146">
                  <c:v>0.7493542967747352</c:v>
                </c:pt>
                <c:pt idx="147">
                  <c:v>0.74949297021233274</c:v>
                </c:pt>
                <c:pt idx="148">
                  <c:v>0.74960790373734665</c:v>
                </c:pt>
                <c:pt idx="149">
                  <c:v>0.74968994836622826</c:v>
                </c:pt>
                <c:pt idx="150">
                  <c:v>0.74975084201210151</c:v>
                </c:pt>
                <c:pt idx="151">
                  <c:v>0.74980463362264838</c:v>
                </c:pt>
                <c:pt idx="152">
                  <c:v>0.74984531668043697</c:v>
                </c:pt>
                <c:pt idx="153">
                  <c:v>0.74987668686719089</c:v>
                </c:pt>
                <c:pt idx="154">
                  <c:v>0.74990223789774002</c:v>
                </c:pt>
                <c:pt idx="155">
                  <c:v>0.7499225294598062</c:v>
                </c:pt>
                <c:pt idx="156">
                  <c:v>0.74993815997998636</c:v>
                </c:pt>
                <c:pt idx="157">
                  <c:v>0.74995041826423792</c:v>
                </c:pt>
                <c:pt idx="158">
                  <c:v>0.74996053583599309</c:v>
                </c:pt>
                <c:pt idx="159">
                  <c:v>0.74996843571712657</c:v>
                </c:pt>
                <c:pt idx="160">
                  <c:v>0.74997511458307309</c:v>
                </c:pt>
                <c:pt idx="161">
                  <c:v>0.74998040195030102</c:v>
                </c:pt>
                <c:pt idx="162">
                  <c:v>0.74998433900412786</c:v>
                </c:pt>
                <c:pt idx="163">
                  <c:v>0.74998796293154713</c:v>
                </c:pt>
                <c:pt idx="164">
                  <c:v>0.74999079727587381</c:v>
                </c:pt>
                <c:pt idx="165">
                  <c:v>0.74999275259707243</c:v>
                </c:pt>
                <c:pt idx="166">
                  <c:v>0.74999436022921839</c:v>
                </c:pt>
                <c:pt idx="167">
                  <c:v>0.7499955614729874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lincoln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lincoln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lincoln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E1" zoomScale="110" zoomScaleNormal="110" workbookViewId="0">
      <selection activeCell="E13" sqref="E13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178</v>
      </c>
      <c r="D1" s="123" t="s">
        <v>147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148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179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167</v>
      </c>
      <c r="D4" s="103" t="s">
        <v>270</v>
      </c>
      <c r="E4" s="58"/>
      <c r="F4" s="102" t="s">
        <v>187</v>
      </c>
      <c r="G4" s="86" t="str">
        <f>IF(H4="","Typical",H4)</f>
        <v>Very Dry</v>
      </c>
      <c r="H4" s="98" t="s">
        <v>200</v>
      </c>
      <c r="Z4"/>
      <c r="AA4"/>
      <c r="AB4"/>
      <c r="AC4"/>
    </row>
    <row r="5" spans="2:34" s="55" customFormat="1" ht="15.6">
      <c r="C5" s="102" t="s">
        <v>24</v>
      </c>
      <c r="D5" s="104" t="s">
        <v>63</v>
      </c>
      <c r="E5" s="58"/>
      <c r="F5" s="102" t="s">
        <v>188</v>
      </c>
      <c r="G5" s="86" t="str">
        <f>IF(H5="","Typical",H5)</f>
        <v>Very Dry</v>
      </c>
      <c r="H5" s="98" t="s">
        <v>200</v>
      </c>
      <c r="Z5"/>
      <c r="AA5"/>
      <c r="AB5"/>
      <c r="AC5"/>
    </row>
    <row r="6" spans="2:34" s="55" customFormat="1" ht="15.6">
      <c r="C6" s="102" t="s">
        <v>93</v>
      </c>
      <c r="D6" s="104" t="s">
        <v>92</v>
      </c>
      <c r="F6" s="102" t="s">
        <v>183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94</v>
      </c>
      <c r="D7" s="85" t="str">
        <f>IF(E7="","General",E7)</f>
        <v>General</v>
      </c>
      <c r="E7" s="92"/>
      <c r="Z7"/>
      <c r="AA7"/>
      <c r="AB7"/>
      <c r="AC7"/>
    </row>
    <row r="8" spans="2:34" s="55" customFormat="1">
      <c r="C8" s="64" t="s">
        <v>146</v>
      </c>
      <c r="D8" s="65" t="str">
        <f>CurrentCropName&amp;" "&amp;CurrentCropType&amp;" "&amp;CurrentCropVariety</f>
        <v>Sweetcorn Vegetable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45166</v>
      </c>
      <c r="E9" s="67">
        <v>45166</v>
      </c>
      <c r="F9" s="57" t="s">
        <v>141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45291</v>
      </c>
      <c r="E10" s="67"/>
      <c r="F10" s="57" t="s">
        <v>142</v>
      </c>
      <c r="G10" s="85" t="str">
        <f>IF(H10="",VLOOKUP(CurrentCropNameFull,CropCoefficients,15,FALSE),H10)</f>
        <v>MidReproductive</v>
      </c>
      <c r="H10" s="72"/>
      <c r="Z10"/>
      <c r="AA10"/>
      <c r="AB10"/>
      <c r="AC10"/>
    </row>
    <row r="11" spans="2:34" s="55" customFormat="1">
      <c r="C11" s="57" t="s">
        <v>132</v>
      </c>
      <c r="D11" s="85" t="str">
        <f>IF(CurrentUnits="kg/head",IF(E11="",VLOOKUP(CurrentCropNameFull,CropCoefficients,20,FALSE),E11),"1")</f>
        <v>1</v>
      </c>
      <c r="E11" s="72"/>
      <c r="F11" s="57" t="s">
        <v>129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22</v>
      </c>
      <c r="E12" s="69">
        <v>22</v>
      </c>
      <c r="F12" s="57" t="s">
        <v>131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13</v>
      </c>
      <c r="D13" s="86" t="str">
        <f>IF(E13="",VLOOKUP(CurrentCropNameFull,CropCoefficients,18,FALSE),E13)</f>
        <v>t/ha</v>
      </c>
      <c r="E13" s="71"/>
      <c r="F13" s="57" t="s">
        <v>130</v>
      </c>
      <c r="G13" s="93">
        <f>IF(H13="",VLOOKUP(CurrentCropNameFull,CropCoefficients,26,FALSE),H13)</f>
        <v>78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22</v>
      </c>
      <c r="C14" s="64" t="str">
        <f>"Yield "&amp;CurrentYield_tperHa&amp;" (t/ha)"</f>
        <v>Yield 22 (t/ha)</v>
      </c>
      <c r="D14" s="90" t="str">
        <f ca="1">"requires "&amp;ROUND(SUM('Model Interface'!O4:P4),0)&amp;" kg N/ha from all sources"</f>
        <v>requires 124 kg N/ha from all sources</v>
      </c>
      <c r="F14" s="57" t="s">
        <v>153</v>
      </c>
      <c r="G14" s="85" t="str">
        <f>IF(H14="","None removed",H14)</f>
        <v>None removed</v>
      </c>
      <c r="H14" s="72"/>
      <c r="R14" s="83">
        <f>PriorHarvestDate</f>
        <v>45124</v>
      </c>
      <c r="Z14"/>
      <c r="AA14"/>
      <c r="AB14"/>
      <c r="AC14"/>
    </row>
    <row r="15" spans="2:34" s="55" customFormat="1" ht="16.2" thickBot="1">
      <c r="B15" s="55">
        <f ca="1">SUMIF(B29:B43,1,G29:G43)</f>
        <v>77.792012236193841</v>
      </c>
      <c r="C15" s="105" t="s">
        <v>216</v>
      </c>
      <c r="D15" s="106" t="str">
        <f ca="1">SUMIF(B29:B43,1,G29:G43)&amp;" Kg/ha"</f>
        <v>77.7920122361938 Kg/ha</v>
      </c>
      <c r="E15" s="107" t="s">
        <v>182</v>
      </c>
      <c r="F15" s="57" t="s">
        <v>154</v>
      </c>
      <c r="G15" s="85" t="str">
        <f>IF(H15="","Full (Plough)",H15)</f>
        <v>Full (Plough)</v>
      </c>
      <c r="H15" s="72"/>
      <c r="R15" s="122" t="s">
        <v>219</v>
      </c>
      <c r="S15" s="122"/>
      <c r="T15" s="122"/>
      <c r="U15" s="122"/>
      <c r="V15" s="122"/>
      <c r="W15" s="115"/>
      <c r="X15" s="115"/>
      <c r="Y15" s="115"/>
      <c r="Z15" s="120" t="s">
        <v>218</v>
      </c>
      <c r="AA15" s="120"/>
      <c r="AB15" s="120"/>
      <c r="AC15" s="120"/>
      <c r="AD15" s="121" t="s">
        <v>220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180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Interface'!I6</f>
        <v>Date</v>
      </c>
      <c r="S17" s="55"/>
      <c r="T17" s="55" t="s">
        <v>152</v>
      </c>
      <c r="U17" s="55" t="s">
        <v>151</v>
      </c>
      <c r="V17" s="55" t="s">
        <v>11</v>
      </c>
      <c r="W17" s="55" t="s">
        <v>169</v>
      </c>
      <c r="X17" s="55" t="s">
        <v>238</v>
      </c>
      <c r="Y17" s="55" t="s">
        <v>239</v>
      </c>
      <c r="Z17" s="55" t="s">
        <v>197</v>
      </c>
      <c r="AA17" s="55" t="s">
        <v>198</v>
      </c>
      <c r="AB17" s="55" t="s">
        <v>183</v>
      </c>
      <c r="AC17" s="55" t="s">
        <v>201</v>
      </c>
      <c r="AD17" s="55" t="s">
        <v>12</v>
      </c>
      <c r="AE17" s="55"/>
      <c r="AF17" s="55" t="s">
        <v>152</v>
      </c>
      <c r="AG17" s="55" t="s">
        <v>151</v>
      </c>
      <c r="AH17" s="55" t="s">
        <v>11</v>
      </c>
      <c r="AI17" s="54" t="s">
        <v>169</v>
      </c>
      <c r="AJ17" s="55" t="s">
        <v>238</v>
      </c>
      <c r="AK17" s="55" t="s">
        <v>239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Interface'!W7:W496,('Model Interface'!W7:W496&gt;=StartGraphDate)*('Model Interface'!W7:W496&lt;=CurrentHarvestDate),"")</f>
        <v>45124</v>
      </c>
      <c r="S18" s="55">
        <f ca="1">IF(R18&gt;1,R18,"")</f>
        <v>45124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154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0.10928318448206772</v>
      </c>
      <c r="Y18" s="55">
        <f ca="1">VLOOKUP(S18,ModelOutputs,4,FALSE)</f>
        <v>0</v>
      </c>
      <c r="Z18">
        <f t="shared" ref="Z18:Z81" ca="1" si="3">VLOOKUP(S18,ModelOutputs,10,FALSE)*AWC</f>
        <v>36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Interface'!W7:W1000,('Model Interface'!W7:W1000&gt;=CurrentHarvestDate+1)*('Model Interface'!W7:W1000&lt;=FollowingHarvestDate),"")</f>
        <v>45292</v>
      </c>
      <c r="AE18" s="55">
        <f ca="1">IF(AD18&gt;1,AD18,"")</f>
        <v>45292</v>
      </c>
      <c r="AF18" s="55">
        <f t="shared" ref="AF18:AF20" ca="1" si="6">VLOOKUP(AE18,ModelOutputs,2,FALSE)</f>
        <v>28.325642118551357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0.22229985735588864</v>
      </c>
      <c r="AK18" s="55">
        <f t="shared" ref="AK18" ca="1" si="10">VLOOKUP(AE18,ModelOutputs,4,FALSE)</f>
        <v>-0.31271099654285273</v>
      </c>
    </row>
    <row r="19" spans="1:37" s="55" customFormat="1">
      <c r="C19" s="57" t="s">
        <v>213</v>
      </c>
      <c r="D19" s="85">
        <f>IF(E19="",60,E19)</f>
        <v>30</v>
      </c>
      <c r="E19" s="16">
        <v>30</v>
      </c>
      <c r="F19" s="94" t="str">
        <f ca="1">ROUND('Model Interface'!M3,0)&amp;" kg N/ha available from SOM mineralisation"</f>
        <v>32 kg N/ha available from SOM mineralisation</v>
      </c>
      <c r="R19" s="83">
        <f ca="1"/>
        <v>45125</v>
      </c>
      <c r="S19" s="55">
        <f t="shared" ref="S19:S82" ca="1" si="11">IF(R19&gt;1,R19,"")</f>
        <v>45125</v>
      </c>
      <c r="T19" s="55">
        <f t="shared" ca="1" si="0"/>
        <v>49.933876413527045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0.22523747955451828</v>
      </c>
      <c r="Y19" s="55">
        <f t="shared" ref="Y19:Y82" ca="1" si="14">VLOOKUP(S19,ModelOutputs,4,FALSE)+Y18</f>
        <v>-0.18207788154540056</v>
      </c>
      <c r="Z19">
        <f t="shared" ca="1" si="3"/>
        <v>43.326666666666668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45293</v>
      </c>
      <c r="AE19" s="55">
        <f t="shared" ref="AE19:AE20" ca="1" si="16">IF(AD19&gt;1,AD19,"")</f>
        <v>45293</v>
      </c>
      <c r="AF19" s="55">
        <f t="shared" ca="1" si="6"/>
        <v>28.148592412710109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0.46607580013826899</v>
      </c>
      <c r="AK19" s="55">
        <f t="shared" ref="AK19:AK82" ca="1" si="19">VLOOKUP(AE19,ModelOutputs,4,FALSE)+AK18</f>
        <v>-0.73353664516648109</v>
      </c>
    </row>
    <row r="20" spans="1:37" s="55" customFormat="1">
      <c r="C20" s="57" t="s">
        <v>223</v>
      </c>
      <c r="D20" s="85" t="str">
        <f>IF(E20="","Sedementary",E20)</f>
        <v>Sedimentary</v>
      </c>
      <c r="E20" s="16" t="s">
        <v>240</v>
      </c>
      <c r="F20" s="94"/>
      <c r="R20" s="83">
        <f ca="1"/>
        <v>45126</v>
      </c>
      <c r="S20" s="55">
        <f t="shared" ca="1" si="11"/>
        <v>45126</v>
      </c>
      <c r="T20" s="55">
        <f t="shared" ca="1" si="0"/>
        <v>49.861360721325823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0.34827732043772969</v>
      </c>
      <c r="Y20" s="55">
        <f t="shared" ca="1" si="14"/>
        <v>-0.37763341462983069</v>
      </c>
      <c r="Z20">
        <f t="shared" ca="1" si="3"/>
        <v>46.790987654320993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45294</v>
      </c>
      <c r="AE20" s="55">
        <f t="shared" ca="1" si="16"/>
        <v>45294</v>
      </c>
      <c r="AF20" s="55">
        <f t="shared" ca="1" si="6"/>
        <v>27.850971449427341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0.70968642678793581</v>
      </c>
      <c r="AK20" s="55">
        <f t="shared" ca="1" si="19"/>
        <v>-1.2747682350989127</v>
      </c>
    </row>
    <row r="21" spans="1:37" s="55" customFormat="1" ht="15.75" customHeight="1">
      <c r="B21" s="55">
        <f>VLOOKUP(SampleDepth,depths,2,FALSE)</f>
        <v>3</v>
      </c>
      <c r="C21" s="57" t="s">
        <v>204</v>
      </c>
      <c r="D21" s="85" t="str">
        <f>IF(E21="","0-30cm",E21)</f>
        <v>Top30cm</v>
      </c>
      <c r="E21" s="16" t="s">
        <v>260</v>
      </c>
      <c r="F21" s="94"/>
      <c r="R21" s="83">
        <f ca="1"/>
        <v>45127</v>
      </c>
      <c r="S21" s="55">
        <f t="shared" ca="1" si="11"/>
        <v>45127</v>
      </c>
      <c r="T21" s="55">
        <f t="shared" ca="1" si="0"/>
        <v>49.785002958760593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0.47770680983474706</v>
      </c>
      <c r="Y21" s="55">
        <f t="shared" ca="1" si="14"/>
        <v>-0.58342066659207803</v>
      </c>
      <c r="Z21">
        <f t="shared" ca="1" si="3"/>
        <v>49.701851257430278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45295</v>
      </c>
      <c r="AE21" s="55">
        <f t="shared" ref="AE21:AE84" ca="1" si="20">IF(AD21&gt;1,AD21,"")</f>
        <v>45295</v>
      </c>
      <c r="AF21" s="55">
        <f t="shared" ref="AF21:AF84" ca="1" si="21">VLOOKUP(AE21,ModelOutputs,2,FALSE)</f>
        <v>27.494946817823944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0.93868200051222717</v>
      </c>
      <c r="AK21" s="55">
        <f t="shared" ca="1" si="19"/>
        <v>-1.8597884404265983</v>
      </c>
    </row>
    <row r="22" spans="1:37" s="55" customFormat="1" ht="15" customHeight="1">
      <c r="C22" s="57" t="s">
        <v>205</v>
      </c>
      <c r="D22" s="85" t="str">
        <f>IF(E22="","loam",E22)</f>
        <v>LoamySand</v>
      </c>
      <c r="E22" s="16" t="s">
        <v>263</v>
      </c>
      <c r="F22" s="94"/>
      <c r="R22" s="83">
        <f ca="1"/>
        <v>45128</v>
      </c>
      <c r="S22" s="55">
        <f t="shared" ca="1" si="11"/>
        <v>45128</v>
      </c>
      <c r="T22" s="55">
        <f t="shared" ca="1" si="0"/>
        <v>49.703713318151884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0.60611748050879588</v>
      </c>
      <c r="Y22" s="55">
        <f t="shared" ca="1" si="14"/>
        <v>-0.79312097787483382</v>
      </c>
      <c r="Z22">
        <f t="shared" ca="1" si="3"/>
        <v>53.365276852419186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45296</v>
      </c>
      <c r="AE22" s="55">
        <f t="shared" ca="1" si="20"/>
        <v>45296</v>
      </c>
      <c r="AF22" s="55">
        <f t="shared" ca="1" si="21"/>
        <v>27.094261937837334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1.1758850790509388</v>
      </c>
      <c r="AK22" s="55">
        <f t="shared" ca="1" si="19"/>
        <v>-2.4976763989519206</v>
      </c>
    </row>
    <row r="23" spans="1:37" s="55" customFormat="1">
      <c r="C23" s="57"/>
      <c r="D23" s="85"/>
      <c r="E23" s="113"/>
      <c r="F23" s="94"/>
      <c r="R23" s="83">
        <f ca="1"/>
        <v>45129</v>
      </c>
      <c r="S23" s="55">
        <f t="shared" ca="1" si="11"/>
        <v>45129</v>
      </c>
      <c r="T23" s="55">
        <f t="shared" ca="1" si="0"/>
        <v>49.61683049560596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0.74532266442910455</v>
      </c>
      <c r="Y23" s="55">
        <f t="shared" ca="1" si="14"/>
        <v>-1.019208984341067</v>
      </c>
      <c r="Z23">
        <f t="shared" ca="1" si="3"/>
        <v>57.816401101891863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45297</v>
      </c>
      <c r="AE23" s="55">
        <f t="shared" ca="1" si="20"/>
        <v>45297</v>
      </c>
      <c r="AF23" s="55">
        <f t="shared" ca="1" si="21"/>
        <v>26.729856783650838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1.4141788622119811</v>
      </c>
      <c r="AK23" s="55">
        <f t="shared" ca="1" si="19"/>
        <v>-3.1003753362994591</v>
      </c>
    </row>
    <row r="24" spans="1:37" s="55" customFormat="1">
      <c r="C24" s="57" t="s">
        <v>222</v>
      </c>
      <c r="D24" s="85">
        <f>IF(E24="",0,E24)</f>
        <v>0</v>
      </c>
      <c r="E24" s="113">
        <v>0</v>
      </c>
      <c r="F24" s="94"/>
      <c r="R24" s="83">
        <f ca="1"/>
        <v>45130</v>
      </c>
      <c r="S24" s="55">
        <f t="shared" ca="1" si="11"/>
        <v>45130</v>
      </c>
      <c r="T24" s="55">
        <f t="shared" ca="1" si="0"/>
        <v>49.535011243819056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0.88924717840994494</v>
      </c>
      <c r="Y24" s="55">
        <f t="shared" ca="1" si="14"/>
        <v>-1.2449527501088145</v>
      </c>
      <c r="Z24">
        <f t="shared" ca="1" si="3"/>
        <v>58.227759740399073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45298</v>
      </c>
      <c r="AE24" s="55">
        <f t="shared" ca="1" si="20"/>
        <v>45298</v>
      </c>
      <c r="AF24" s="55">
        <f t="shared" ca="1" si="21"/>
        <v>26.346113822004053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1.6761080778793112</v>
      </c>
      <c r="AK24" s="55">
        <f t="shared" ca="1" si="19"/>
        <v>-3.7460475136135738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45131</v>
      </c>
      <c r="S25" s="55">
        <f t="shared" ca="1" si="11"/>
        <v>45131</v>
      </c>
      <c r="T25" s="55">
        <f t="shared" ca="1" si="0"/>
        <v>49.459164706687687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1.0312365942173265</v>
      </c>
      <c r="Y25" s="55">
        <f t="shared" ca="1" si="14"/>
        <v>-1.4627887030475635</v>
      </c>
      <c r="Z25">
        <f t="shared" ca="1" si="3"/>
        <v>58.204414502300423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45299</v>
      </c>
      <c r="AE25" s="55">
        <f t="shared" ca="1" si="20"/>
        <v>45299</v>
      </c>
      <c r="AF25" s="55">
        <f t="shared" ca="1" si="21"/>
        <v>25.890747289073019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1.9383884237215063</v>
      </c>
      <c r="AK25" s="55">
        <f t="shared" ca="1" si="19"/>
        <v>-4.4636943923868042</v>
      </c>
    </row>
    <row r="26" spans="1:37" s="55" customFormat="1" ht="15" thickBot="1">
      <c r="C26" s="56"/>
      <c r="D26" s="56"/>
      <c r="E26" s="56"/>
      <c r="F26" s="56"/>
      <c r="R26" s="83">
        <f ca="1"/>
        <v>45132</v>
      </c>
      <c r="S26" s="55">
        <f t="shared" ca="1" si="11"/>
        <v>45132</v>
      </c>
      <c r="T26" s="55">
        <f t="shared" ca="1" si="0"/>
        <v>49.389654864304042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1.1815787999066294</v>
      </c>
      <c r="Y26" s="55">
        <f t="shared" ca="1" si="14"/>
        <v>-1.6826407511205159</v>
      </c>
      <c r="Z26">
        <f t="shared" ca="1" si="3"/>
        <v>62.50818485362754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45300</v>
      </c>
      <c r="AE26" s="55">
        <f t="shared" ca="1" si="20"/>
        <v>45300</v>
      </c>
      <c r="AF26" s="55">
        <f t="shared" ca="1" si="21"/>
        <v>25.479408768060125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2.1826699398554057</v>
      </c>
      <c r="AK26" s="55">
        <f t="shared" ca="1" si="19"/>
        <v>-5.1193144295335955</v>
      </c>
    </row>
    <row r="27" spans="1:37" s="55" customFormat="1" ht="15" thickBot="1">
      <c r="C27" s="132" t="s">
        <v>133</v>
      </c>
      <c r="D27" s="133"/>
      <c r="E27" s="60"/>
      <c r="F27" s="134" t="s">
        <v>140</v>
      </c>
      <c r="G27" s="135"/>
      <c r="R27" s="83">
        <f ca="1"/>
        <v>45133</v>
      </c>
      <c r="S27" s="55">
        <f t="shared" ca="1" si="11"/>
        <v>45133</v>
      </c>
      <c r="T27" s="55">
        <f t="shared" ca="1" si="0"/>
        <v>49.328559728050806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1.3335342798456682</v>
      </c>
      <c r="Y27" s="55">
        <f t="shared" ca="1" si="14"/>
        <v>-1.8956913673127938</v>
      </c>
      <c r="Z27">
        <f t="shared" ca="1" si="3"/>
        <v>63.97784823113976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45301</v>
      </c>
      <c r="AE27" s="55">
        <f t="shared" ca="1" si="20"/>
        <v>45301</v>
      </c>
      <c r="AF27" s="55">
        <f t="shared" ca="1" si="21"/>
        <v>24.987667429170088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2.428851279106417</v>
      </c>
      <c r="AK27" s="55">
        <f t="shared" ca="1" si="19"/>
        <v>-5.8572371076746457</v>
      </c>
    </row>
    <row r="28" spans="1:37" s="55" customFormat="1" ht="15" thickBot="1">
      <c r="C28" s="108" t="s">
        <v>12</v>
      </c>
      <c r="D28" s="109" t="s">
        <v>107</v>
      </c>
      <c r="F28" s="8" t="s">
        <v>12</v>
      </c>
      <c r="G28" s="62" t="s">
        <v>107</v>
      </c>
      <c r="R28" s="83">
        <f ca="1"/>
        <v>45134</v>
      </c>
      <c r="S28" s="55">
        <f t="shared" ca="1" si="11"/>
        <v>45134</v>
      </c>
      <c r="T28" s="55">
        <f t="shared" ca="1" si="0"/>
        <v>49.280596376067969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1.4976068616729359</v>
      </c>
      <c r="Y28" s="55">
        <f t="shared" ca="1" si="14"/>
        <v>-2.1077273011229014</v>
      </c>
      <c r="Z28">
        <f t="shared" ca="1" si="3"/>
        <v>67.52959928224017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45302</v>
      </c>
      <c r="AE28" s="55">
        <f t="shared" ca="1" si="20"/>
        <v>45302</v>
      </c>
      <c r="AF28" s="55">
        <f t="shared" ca="1" si="21"/>
        <v>24.429828249219934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2.6888195597480062</v>
      </c>
      <c r="AK28" s="55">
        <f t="shared" ca="1" si="19"/>
        <v>-6.6750445682663901</v>
      </c>
    </row>
    <row r="29" spans="1:37" s="55" customFormat="1">
      <c r="A29" s="83">
        <f t="array" aca="1" ref="A29:A43" ca="1">_xlfn._xlws.FILTER('Model Interface'!W7:W496,'Model Interface'!X7:X496&gt;0,"")</f>
        <v>45263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45263</v>
      </c>
      <c r="G29" s="76">
        <f ca="1">IFERROR(VLOOKUP(F29,'Model Interface'!$I$7:$N$496,6,FALSE),"")</f>
        <v>24.202630382901685</v>
      </c>
      <c r="H29" s="55" t="str">
        <f ca="1">IF(B29=1,"Suggested","Applied or Planned")</f>
        <v>Suggested</v>
      </c>
      <c r="R29" s="83">
        <f ca="1"/>
        <v>45135</v>
      </c>
      <c r="S29" s="55">
        <f t="shared" ca="1" si="11"/>
        <v>45135</v>
      </c>
      <c r="T29" s="55">
        <f t="shared" ca="1" si="0"/>
        <v>49.238206789527105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1.6602548254770206</v>
      </c>
      <c r="Y29" s="55">
        <f t="shared" ca="1" si="14"/>
        <v>-2.3127648514678518</v>
      </c>
      <c r="Z29">
        <f t="shared" ca="1" si="3"/>
        <v>67.4343435982084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45303</v>
      </c>
      <c r="AE29" s="55">
        <f t="shared" ca="1" si="20"/>
        <v>45303</v>
      </c>
      <c r="AF29" s="55">
        <f t="shared" ca="1" si="21"/>
        <v>23.795724440738191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2.9659405499175042</v>
      </c>
      <c r="AK29" s="55">
        <f t="shared" ca="1" si="19"/>
        <v>-7.5862693669176284</v>
      </c>
    </row>
    <row r="30" spans="1:37" s="55" customFormat="1">
      <c r="A30" s="83">
        <f ca="1"/>
        <v>45270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45270</v>
      </c>
      <c r="G30" s="76">
        <f ca="1">IFERROR(VLOOKUP(F30,'Model Interface'!$I$7:$N$496,6,FALSE),"")</f>
        <v>26.192105443555533</v>
      </c>
      <c r="H30" s="55" t="str">
        <f t="shared" ref="H30:H43" ca="1" si="26">IF(F30="","",IF(F30&lt;=StartSchedullingDate,"Applied or Planned","Suggested"))</f>
        <v>Suggested</v>
      </c>
      <c r="R30" s="83">
        <f ca="1"/>
        <v>45136</v>
      </c>
      <c r="S30" s="55">
        <f t="shared" ca="1" si="11"/>
        <v>45136</v>
      </c>
      <c r="T30" s="55">
        <f t="shared" ca="1" si="0"/>
        <v>49.203158290531526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1.8302319587942635</v>
      </c>
      <c r="Y30" s="55">
        <f t="shared" ca="1" si="14"/>
        <v>-2.5177904837806695</v>
      </c>
      <c r="Z30">
        <f t="shared" ca="1" si="3"/>
        <v>67.288993799296534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45304</v>
      </c>
      <c r="AE30" s="55">
        <f t="shared" ca="1" si="20"/>
        <v>45304</v>
      </c>
      <c r="AF30" s="55">
        <f t="shared" ca="1" si="21"/>
        <v>23.191411045099258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3.2460307974658673</v>
      </c>
      <c r="AK30" s="55">
        <f t="shared" ca="1" si="19"/>
        <v>-8.470673010104921</v>
      </c>
    </row>
    <row r="31" spans="1:37" s="55" customFormat="1">
      <c r="A31" s="83">
        <f ca="1"/>
        <v>45278</v>
      </c>
      <c r="B31" s="55">
        <f t="shared" ca="1" si="24"/>
        <v>1</v>
      </c>
      <c r="C31" s="78"/>
      <c r="D31" s="81"/>
      <c r="F31" s="74">
        <f t="shared" ca="1" si="25"/>
        <v>45278</v>
      </c>
      <c r="G31" s="76">
        <f ca="1">IFERROR(VLOOKUP(F31,'Model Interface'!$I$7:$N$496,6,FALSE),"")</f>
        <v>27.397276409736612</v>
      </c>
      <c r="H31" s="55" t="str">
        <f t="shared" ca="1" si="26"/>
        <v>Suggested</v>
      </c>
      <c r="R31" s="83">
        <f ca="1"/>
        <v>45137</v>
      </c>
      <c r="S31" s="55">
        <f t="shared" ca="1" si="11"/>
        <v>45137</v>
      </c>
      <c r="T31" s="55">
        <f t="shared" ca="1" si="0"/>
        <v>49.174000328139101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1.9919751122624891</v>
      </c>
      <c r="Y31" s="55">
        <f t="shared" ca="1" si="14"/>
        <v>-2.7086915996413161</v>
      </c>
      <c r="Z31">
        <f t="shared" ca="1" si="3"/>
        <v>68.816118243428619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45305</v>
      </c>
      <c r="AE31" s="55">
        <f t="shared" ca="1" si="20"/>
        <v>45305</v>
      </c>
      <c r="AF31" s="55">
        <f t="shared" ca="1" si="21"/>
        <v>22.642864414623798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3.5233159933475107</v>
      </c>
      <c r="AK31" s="55">
        <f t="shared" ca="1" si="19"/>
        <v>-9.2965048364620237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Interface'!$I$7:$N$496,6,FALSE),"")</f>
        <v/>
      </c>
      <c r="H32" s="55" t="str">
        <f t="shared" ca="1" si="26"/>
        <v/>
      </c>
      <c r="R32" s="83">
        <f ca="1"/>
        <v>45138</v>
      </c>
      <c r="S32" s="55">
        <f t="shared" ca="1" si="11"/>
        <v>45138</v>
      </c>
      <c r="T32" s="55">
        <f t="shared" ca="1" si="0"/>
        <v>49.151589140748321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2.1595737673696682</v>
      </c>
      <c r="Y32" s="55">
        <f t="shared" ca="1" si="14"/>
        <v>-2.8987014421392758</v>
      </c>
      <c r="Z32">
        <f t="shared" ca="1" si="3"/>
        <v>68.560796002431786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45306</v>
      </c>
      <c r="AE32" s="55">
        <f t="shared" ca="1" si="20"/>
        <v>45306</v>
      </c>
      <c r="AF32" s="55">
        <f t="shared" ca="1" si="21"/>
        <v>22.128343966193732</v>
      </c>
      <c r="AG32" s="55">
        <f t="shared" ca="1" si="22"/>
        <v>1.5604044247967603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3.8087805530617822</v>
      </c>
      <c r="AK32" s="55">
        <f t="shared" ca="1" si="19"/>
        <v>-10.09648984460636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Interface'!$I$7:$N$496,6,FALSE),"")</f>
        <v/>
      </c>
      <c r="H33" s="55" t="str">
        <f t="shared" ca="1" si="26"/>
        <v/>
      </c>
      <c r="R33" s="83">
        <f ca="1"/>
        <v>45139</v>
      </c>
      <c r="S33" s="55">
        <f t="shared" ca="1" si="11"/>
        <v>45139</v>
      </c>
      <c r="T33" s="55">
        <f t="shared" ca="1" si="0"/>
        <v>49.139697878701917</v>
      </c>
      <c r="U33" s="55">
        <f t="shared" ca="1" si="1"/>
        <v>0</v>
      </c>
      <c r="V33" s="55">
        <f t="shared" ca="1" si="2"/>
        <v>0</v>
      </c>
      <c r="W33" s="55">
        <f t="shared" ca="1" si="12"/>
        <v>0</v>
      </c>
      <c r="X33" s="55">
        <f t="shared" ca="1" si="13"/>
        <v>2.3349786587271657</v>
      </c>
      <c r="Y33" s="55">
        <f t="shared" ca="1" si="14"/>
        <v>-3.085997595543176</v>
      </c>
      <c r="Z33">
        <f t="shared" ca="1" si="3"/>
        <v>70.510313452731012</v>
      </c>
      <c r="AA33">
        <f t="shared" ca="1" si="15"/>
        <v>0</v>
      </c>
      <c r="AB33">
        <f t="shared" ca="1" si="4"/>
        <v>0</v>
      </c>
      <c r="AC33">
        <f t="shared" ca="1" si="5"/>
        <v>0</v>
      </c>
      <c r="AD33" s="83">
        <f ca="1"/>
        <v>45307</v>
      </c>
      <c r="AE33" s="55">
        <f t="shared" ca="1" si="20"/>
        <v>45307</v>
      </c>
      <c r="AF33" s="55">
        <f t="shared" ca="1" si="21"/>
        <v>21.598077457364667</v>
      </c>
      <c r="AG33" s="55">
        <f t="shared" ca="1" si="22"/>
        <v>1.6506371518941509</v>
      </c>
      <c r="AH33" s="55">
        <f t="shared" ca="1" si="23"/>
        <v>0</v>
      </c>
      <c r="AI33" s="55">
        <f t="shared" ca="1" si="17"/>
        <v>0</v>
      </c>
      <c r="AJ33" s="55">
        <f t="shared" ca="1" si="18"/>
        <v>4.0794168472014389</v>
      </c>
      <c r="AK33" s="55">
        <f t="shared" ca="1" si="19"/>
        <v>-10.807159920477691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Interface'!$I$7:$N$496,6,FALSE),"")</f>
        <v/>
      </c>
      <c r="H34" s="55" t="str">
        <f t="shared" ca="1" si="26"/>
        <v/>
      </c>
      <c r="R34" s="83">
        <f ca="1"/>
        <v>45140</v>
      </c>
      <c r="S34" s="55">
        <f t="shared" ca="1" si="11"/>
        <v>45140</v>
      </c>
      <c r="T34" s="55">
        <f t="shared" ca="1" si="0"/>
        <v>49.134058718394925</v>
      </c>
      <c r="U34" s="55">
        <f t="shared" ca="1" si="1"/>
        <v>0</v>
      </c>
      <c r="V34" s="55">
        <f t="shared" ca="1" si="2"/>
        <v>0</v>
      </c>
      <c r="W34" s="55">
        <f t="shared" ca="1" si="12"/>
        <v>0</v>
      </c>
      <c r="X34" s="55">
        <f t="shared" ca="1" si="13"/>
        <v>2.5077824960567341</v>
      </c>
      <c r="Y34" s="55">
        <f t="shared" ca="1" si="14"/>
        <v>-3.2644405931797351</v>
      </c>
      <c r="Z34">
        <f t="shared" ca="1" si="3"/>
        <v>71.805302835812043</v>
      </c>
      <c r="AA34">
        <f t="shared" ca="1" si="15"/>
        <v>0</v>
      </c>
      <c r="AB34">
        <f t="shared" ca="1" si="4"/>
        <v>0</v>
      </c>
      <c r="AC34">
        <f t="shared" ca="1" si="5"/>
        <v>0</v>
      </c>
      <c r="AD34" s="83">
        <f ca="1"/>
        <v>45308</v>
      </c>
      <c r="AE34" s="55">
        <f t="shared" ca="1" si="20"/>
        <v>45308</v>
      </c>
      <c r="AF34" s="55">
        <f t="shared" ca="1" si="21"/>
        <v>21.12230532019435</v>
      </c>
      <c r="AG34" s="55">
        <f t="shared" ca="1" si="22"/>
        <v>1.7454050042526168</v>
      </c>
      <c r="AH34" s="55">
        <f t="shared" ca="1" si="23"/>
        <v>0</v>
      </c>
      <c r="AI34" s="55">
        <f t="shared" ca="1" si="17"/>
        <v>0</v>
      </c>
      <c r="AJ34" s="55">
        <f t="shared" ca="1" si="18"/>
        <v>4.343812064179243</v>
      </c>
      <c r="AK34" s="55">
        <f t="shared" ca="1" si="19"/>
        <v>-11.452559422267345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Interface'!$I$7:$N$496,6,FALSE),"")</f>
        <v/>
      </c>
      <c r="H35" s="55" t="str">
        <f t="shared" ca="1" si="26"/>
        <v/>
      </c>
      <c r="R35" s="83">
        <f ca="1"/>
        <v>45141</v>
      </c>
      <c r="S35" s="55">
        <f t="shared" ca="1" si="11"/>
        <v>45141</v>
      </c>
      <c r="T35" s="55">
        <f t="shared" ca="1" si="0"/>
        <v>49.131066896648093</v>
      </c>
      <c r="U35" s="55">
        <f t="shared" ca="1" si="1"/>
        <v>0</v>
      </c>
      <c r="V35" s="55">
        <f t="shared" ca="1" si="2"/>
        <v>0</v>
      </c>
      <c r="W35" s="55">
        <f t="shared" ca="1" si="12"/>
        <v>0</v>
      </c>
      <c r="X35" s="55">
        <f t="shared" ca="1" si="13"/>
        <v>2.6737140769281185</v>
      </c>
      <c r="Y35" s="55">
        <f t="shared" ca="1" si="14"/>
        <v>-3.4333639957979565</v>
      </c>
      <c r="Z35">
        <f t="shared" ca="1" si="3"/>
        <v>71.814362324148362</v>
      </c>
      <c r="AA35">
        <f t="shared" ca="1" si="15"/>
        <v>0</v>
      </c>
      <c r="AB35">
        <f t="shared" ca="1" si="4"/>
        <v>0</v>
      </c>
      <c r="AC35">
        <f t="shared" ca="1" si="5"/>
        <v>0</v>
      </c>
      <c r="AD35" s="83">
        <f ca="1"/>
        <v>45309</v>
      </c>
      <c r="AE35" s="55">
        <f t="shared" ca="1" si="20"/>
        <v>45309</v>
      </c>
      <c r="AF35" s="55">
        <f t="shared" ca="1" si="21"/>
        <v>20.534599054665154</v>
      </c>
      <c r="AG35" s="55">
        <f t="shared" ca="1" si="22"/>
        <v>1.8491427577454498</v>
      </c>
      <c r="AH35" s="55">
        <f t="shared" ca="1" si="23"/>
        <v>0</v>
      </c>
      <c r="AI35" s="55">
        <f t="shared" ca="1" si="17"/>
        <v>0</v>
      </c>
      <c r="AJ35" s="55">
        <f t="shared" ca="1" si="18"/>
        <v>4.6333845319799014</v>
      </c>
      <c r="AK35" s="55">
        <f t="shared" ca="1" si="19"/>
        <v>-12.226100402104368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134</v>
      </c>
      <c r="D36" s="133"/>
      <c r="F36" s="74" t="str">
        <f t="shared" ca="1" si="25"/>
        <v/>
      </c>
      <c r="G36" s="76" t="str">
        <f ca="1">IFERROR(VLOOKUP(F36,'Model Interface'!$I$7:$N$496,6,FALSE),"")</f>
        <v/>
      </c>
      <c r="H36" s="55" t="str">
        <f t="shared" ca="1" si="26"/>
        <v/>
      </c>
      <c r="R36" s="83">
        <f ca="1"/>
        <v>45142</v>
      </c>
      <c r="S36" s="55">
        <f t="shared" ca="1" si="11"/>
        <v>45142</v>
      </c>
      <c r="T36" s="55">
        <f t="shared" ca="1" si="0"/>
        <v>49.138918908062649</v>
      </c>
      <c r="U36" s="55">
        <f t="shared" ca="1" si="1"/>
        <v>0</v>
      </c>
      <c r="V36" s="55">
        <f t="shared" ca="1" si="2"/>
        <v>0</v>
      </c>
      <c r="W36" s="55">
        <f t="shared" ca="1" si="12"/>
        <v>0</v>
      </c>
      <c r="X36" s="55">
        <f t="shared" ca="1" si="13"/>
        <v>2.8505649959537123</v>
      </c>
      <c r="Y36" s="55">
        <f t="shared" ca="1" si="14"/>
        <v>-3.6023629034089986</v>
      </c>
      <c r="Z36">
        <f t="shared" ca="1" si="3"/>
        <v>73.29896888869726</v>
      </c>
      <c r="AA36">
        <f t="shared" ca="1" si="15"/>
        <v>0</v>
      </c>
      <c r="AB36">
        <f t="shared" ca="1" si="4"/>
        <v>0</v>
      </c>
      <c r="AC36">
        <f t="shared" ca="1" si="5"/>
        <v>0</v>
      </c>
      <c r="AD36" s="83">
        <f ca="1"/>
        <v>45310</v>
      </c>
      <c r="AE36" s="55">
        <f t="shared" ca="1" si="20"/>
        <v>45310</v>
      </c>
      <c r="AF36" s="55">
        <f t="shared" ca="1" si="21"/>
        <v>19.998435470426649</v>
      </c>
      <c r="AG36" s="55">
        <f t="shared" ca="1" si="22"/>
        <v>1.95735825283801</v>
      </c>
      <c r="AH36" s="55">
        <f t="shared" ca="1" si="23"/>
        <v>0</v>
      </c>
      <c r="AI36" s="55">
        <f t="shared" ca="1" si="17"/>
        <v>0</v>
      </c>
      <c r="AJ36" s="55">
        <f t="shared" ca="1" si="18"/>
        <v>4.9144637122168326</v>
      </c>
      <c r="AK36" s="55">
        <f t="shared" ca="1" si="19"/>
        <v>-12.935127671487248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12</v>
      </c>
      <c r="D37" s="109" t="s">
        <v>15</v>
      </c>
      <c r="F37" s="74" t="str">
        <f t="shared" ca="1" si="25"/>
        <v/>
      </c>
      <c r="G37" s="76" t="str">
        <f ca="1">IFERROR(VLOOKUP(F37,'Model Interface'!$I$7:$N$496,6,FALSE),"")</f>
        <v/>
      </c>
      <c r="H37" s="55" t="str">
        <f t="shared" ca="1" si="26"/>
        <v/>
      </c>
      <c r="R37" s="83">
        <f ca="1"/>
        <v>45143</v>
      </c>
      <c r="S37" s="55">
        <f t="shared" ca="1" si="11"/>
        <v>45143</v>
      </c>
      <c r="T37" s="55">
        <f t="shared" ca="1" si="0"/>
        <v>49.156790613946441</v>
      </c>
      <c r="U37" s="55">
        <f t="shared" ca="1" si="1"/>
        <v>0</v>
      </c>
      <c r="V37" s="55">
        <f t="shared" ca="1" si="2"/>
        <v>0</v>
      </c>
      <c r="W37" s="55">
        <f t="shared" ca="1" si="12"/>
        <v>0</v>
      </c>
      <c r="X37" s="55">
        <f t="shared" ca="1" si="13"/>
        <v>3.0343676635206096</v>
      </c>
      <c r="Y37" s="55">
        <f t="shared" ca="1" si="14"/>
        <v>-3.7682938650920996</v>
      </c>
      <c r="Z37">
        <f t="shared" ca="1" si="3"/>
        <v>75.106128115040207</v>
      </c>
      <c r="AA37">
        <f t="shared" ca="1" si="15"/>
        <v>0</v>
      </c>
      <c r="AB37">
        <f t="shared" ca="1" si="4"/>
        <v>0</v>
      </c>
      <c r="AC37">
        <f t="shared" ca="1" si="5"/>
        <v>0</v>
      </c>
      <c r="AD37" s="83">
        <f ca="1"/>
        <v>45311</v>
      </c>
      <c r="AE37" s="55">
        <f t="shared" ca="1" si="20"/>
        <v>45311</v>
      </c>
      <c r="AF37" s="55">
        <f t="shared" ca="1" si="21"/>
        <v>19.560473025731795</v>
      </c>
      <c r="AG37" s="55">
        <f t="shared" ca="1" si="22"/>
        <v>2.0641953072884336</v>
      </c>
      <c r="AH37" s="55">
        <f t="shared" ca="1" si="23"/>
        <v>0</v>
      </c>
      <c r="AI37" s="55">
        <f t="shared" ca="1" si="17"/>
        <v>0</v>
      </c>
      <c r="AJ37" s="55">
        <f t="shared" ca="1" si="18"/>
        <v>5.1658954418935661</v>
      </c>
      <c r="AK37" s="55">
        <f t="shared" ca="1" si="19"/>
        <v>-13.51768479140841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Interface'!$I$7:$N$496,6,FALSE),"")</f>
        <v/>
      </c>
      <c r="H38" s="55" t="str">
        <f t="shared" ca="1" si="26"/>
        <v/>
      </c>
      <c r="R38" s="83">
        <f ca="1"/>
        <v>45144</v>
      </c>
      <c r="S38" s="55">
        <f t="shared" ca="1" si="11"/>
        <v>45144</v>
      </c>
      <c r="T38" s="55">
        <f t="shared" ca="1" si="0"/>
        <v>49.178936278754243</v>
      </c>
      <c r="U38" s="55">
        <f t="shared" ca="1" si="1"/>
        <v>0</v>
      </c>
      <c r="V38" s="55">
        <f t="shared" ca="1" si="2"/>
        <v>0</v>
      </c>
      <c r="W38" s="55">
        <f t="shared" ca="1" si="12"/>
        <v>0</v>
      </c>
      <c r="X38" s="55">
        <f t="shared" ca="1" si="13"/>
        <v>3.2184647785132623</v>
      </c>
      <c r="Y38" s="55">
        <f t="shared" ca="1" si="14"/>
        <v>-3.9302453152769519</v>
      </c>
      <c r="Z38">
        <f t="shared" ca="1" si="3"/>
        <v>74.375402334066877</v>
      </c>
      <c r="AA38">
        <f t="shared" ca="1" si="15"/>
        <v>0</v>
      </c>
      <c r="AB38">
        <f t="shared" ca="1" si="4"/>
        <v>0</v>
      </c>
      <c r="AC38">
        <f t="shared" ca="1" si="5"/>
        <v>0</v>
      </c>
      <c r="AD38" s="83">
        <f ca="1"/>
        <v>45312</v>
      </c>
      <c r="AE38" s="55">
        <f t="shared" ca="1" si="20"/>
        <v>45312</v>
      </c>
      <c r="AF38" s="55">
        <f t="shared" ca="1" si="21"/>
        <v>19.13398651182067</v>
      </c>
      <c r="AG38" s="55">
        <f t="shared" ca="1" si="22"/>
        <v>2.188002099040367</v>
      </c>
      <c r="AH38" s="55">
        <f t="shared" ca="1" si="23"/>
        <v>0</v>
      </c>
      <c r="AI38" s="55">
        <f t="shared" ca="1" si="17"/>
        <v>0</v>
      </c>
      <c r="AJ38" s="55">
        <f t="shared" ca="1" si="18"/>
        <v>5.4441948160303513</v>
      </c>
      <c r="AK38" s="55">
        <f t="shared" ca="1" si="19"/>
        <v>-14.09866388770439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Interface'!$I$7:$N$496,6,FALSE),"")</f>
        <v/>
      </c>
      <c r="H39" s="55" t="str">
        <f t="shared" ca="1" si="26"/>
        <v/>
      </c>
      <c r="R39" s="83">
        <f ca="1"/>
        <v>45145</v>
      </c>
      <c r="S39" s="55">
        <f t="shared" ca="1" si="11"/>
        <v>45145</v>
      </c>
      <c r="T39" s="55">
        <f t="shared" ca="1" si="0"/>
        <v>49.21876506484606</v>
      </c>
      <c r="U39" s="55">
        <f t="shared" ca="1" si="1"/>
        <v>0</v>
      </c>
      <c r="V39" s="55">
        <f t="shared" ca="1" si="2"/>
        <v>0</v>
      </c>
      <c r="W39" s="55">
        <f t="shared" ca="1" si="12"/>
        <v>0</v>
      </c>
      <c r="X39" s="55">
        <f t="shared" ca="1" si="13"/>
        <v>3.4167400996733965</v>
      </c>
      <c r="Y39" s="55">
        <f t="shared" ca="1" si="14"/>
        <v>-4.0886918503452652</v>
      </c>
      <c r="Z39">
        <f t="shared" ca="1" si="3"/>
        <v>79.792983601700541</v>
      </c>
      <c r="AA39">
        <f t="shared" ca="1" si="15"/>
        <v>0</v>
      </c>
      <c r="AB39">
        <f t="shared" ca="1" si="4"/>
        <v>0</v>
      </c>
      <c r="AC39">
        <f t="shared" ca="1" si="5"/>
        <v>0</v>
      </c>
      <c r="AD39" s="83">
        <f ca="1"/>
        <v>45313</v>
      </c>
      <c r="AE39" s="55">
        <f t="shared" ca="1" si="20"/>
        <v>45313</v>
      </c>
      <c r="AF39" s="55">
        <f t="shared" ca="1" si="21"/>
        <v>18.668936574052715</v>
      </c>
      <c r="AG39" s="55">
        <f t="shared" ca="1" si="22"/>
        <v>2.3251084782090214</v>
      </c>
      <c r="AH39" s="55">
        <f t="shared" ca="1" si="23"/>
        <v>0</v>
      </c>
      <c r="AI39" s="55">
        <f t="shared" ca="1" si="17"/>
        <v>0</v>
      </c>
      <c r="AJ39" s="55">
        <f t="shared" ca="1" si="18"/>
        <v>5.7428666271970874</v>
      </c>
      <c r="AK39" s="55">
        <f t="shared" ca="1" si="19"/>
        <v>-14.725279257470429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Interface'!$I$7:$N$496,6,FALSE),"")</f>
        <v/>
      </c>
      <c r="H40" s="55" t="str">
        <f t="shared" ca="1" si="26"/>
        <v/>
      </c>
      <c r="R40" s="83">
        <f ca="1"/>
        <v>45146</v>
      </c>
      <c r="S40" s="55">
        <f t="shared" ca="1" si="11"/>
        <v>45146</v>
      </c>
      <c r="T40" s="55">
        <f t="shared" ca="1" si="0"/>
        <v>49.270885649319816</v>
      </c>
      <c r="U40" s="55">
        <f t="shared" ca="1" si="1"/>
        <v>0</v>
      </c>
      <c r="V40" s="55">
        <f t="shared" ca="1" si="2"/>
        <v>0</v>
      </c>
      <c r="W40" s="55">
        <f t="shared" ca="1" si="12"/>
        <v>0</v>
      </c>
      <c r="X40" s="55">
        <f t="shared" ca="1" si="13"/>
        <v>3.6197421130743557</v>
      </c>
      <c r="Y40" s="55">
        <f t="shared" ca="1" si="14"/>
        <v>-4.2395732792724719</v>
      </c>
      <c r="Z40">
        <f t="shared" ca="1" si="3"/>
        <v>84.451429309201941</v>
      </c>
      <c r="AA40">
        <f t="shared" ca="1" si="15"/>
        <v>0</v>
      </c>
      <c r="AB40">
        <f t="shared" ca="1" si="4"/>
        <v>0</v>
      </c>
      <c r="AC40">
        <f t="shared" ca="1" si="5"/>
        <v>0</v>
      </c>
      <c r="AD40" s="83">
        <f ca="1"/>
        <v>45314</v>
      </c>
      <c r="AE40" s="55">
        <f t="shared" ca="1" si="20"/>
        <v>45314</v>
      </c>
      <c r="AF40" s="55">
        <f t="shared" ca="1" si="21"/>
        <v>18.265792087148029</v>
      </c>
      <c r="AG40" s="55">
        <f t="shared" ca="1" si="22"/>
        <v>2.4619288705947913</v>
      </c>
      <c r="AH40" s="55">
        <f t="shared" ca="1" si="23"/>
        <v>0</v>
      </c>
      <c r="AI40" s="55">
        <f t="shared" ca="1" si="17"/>
        <v>0</v>
      </c>
      <c r="AJ40" s="55">
        <f t="shared" ca="1" si="18"/>
        <v>6.0152577580032265</v>
      </c>
      <c r="AK40" s="55">
        <f t="shared" ca="1" si="19"/>
        <v>-15.263994482795486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Interface'!$I$7:$N$496,6,FALSE),"")</f>
        <v/>
      </c>
      <c r="H41" s="55" t="str">
        <f t="shared" ca="1" si="26"/>
        <v/>
      </c>
      <c r="R41" s="83">
        <f ca="1"/>
        <v>45147</v>
      </c>
      <c r="S41" s="55">
        <f t="shared" ca="1" si="11"/>
        <v>45147</v>
      </c>
      <c r="T41" s="55">
        <f t="shared" ca="1" si="0"/>
        <v>49.321808077851053</v>
      </c>
      <c r="U41" s="55">
        <f t="shared" ca="1" si="1"/>
        <v>0</v>
      </c>
      <c r="V41" s="55">
        <f t="shared" ca="1" si="2"/>
        <v>0</v>
      </c>
      <c r="W41" s="55">
        <f t="shared" ca="1" si="12"/>
        <v>0</v>
      </c>
      <c r="X41" s="55">
        <f t="shared" ca="1" si="13"/>
        <v>3.8101459166636289</v>
      </c>
      <c r="Y41" s="55">
        <f t="shared" ca="1" si="14"/>
        <v>-4.3790546543305027</v>
      </c>
      <c r="Z41">
        <f t="shared" ca="1" si="3"/>
        <v>85.612557331582764</v>
      </c>
      <c r="AA41">
        <f t="shared" ca="1" si="15"/>
        <v>0</v>
      </c>
      <c r="AB41">
        <f t="shared" ca="1" si="4"/>
        <v>0</v>
      </c>
      <c r="AC41">
        <f t="shared" ca="1" si="5"/>
        <v>0</v>
      </c>
      <c r="AD41" s="83">
        <f ca="1"/>
        <v>45315</v>
      </c>
      <c r="AE41" s="55">
        <f t="shared" ca="1" si="20"/>
        <v>45315</v>
      </c>
      <c r="AF41" s="55">
        <f t="shared" ca="1" si="21"/>
        <v>17.868175255596558</v>
      </c>
      <c r="AG41" s="55">
        <f t="shared" ca="1" si="22"/>
        <v>2.6037588471915387</v>
      </c>
      <c r="AH41" s="55">
        <f t="shared" ca="1" si="23"/>
        <v>0</v>
      </c>
      <c r="AI41" s="55">
        <f t="shared" ca="1" si="17"/>
        <v>0</v>
      </c>
      <c r="AJ41" s="55">
        <f t="shared" ca="1" si="18"/>
        <v>6.2819075304741565</v>
      </c>
      <c r="AK41" s="55">
        <f t="shared" ca="1" si="19"/>
        <v>-15.786431110221141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Interface'!$I$7:$N$496,6,FALSE),"")</f>
        <v/>
      </c>
      <c r="H42" s="55" t="str">
        <f t="shared" ca="1" si="26"/>
        <v/>
      </c>
      <c r="R42" s="83">
        <f ca="1"/>
        <v>45148</v>
      </c>
      <c r="S42" s="55">
        <f t="shared" ca="1" si="11"/>
        <v>45148</v>
      </c>
      <c r="T42" s="55">
        <f t="shared" ca="1" si="0"/>
        <v>49.384241831650684</v>
      </c>
      <c r="U42" s="55">
        <f t="shared" ca="1" si="1"/>
        <v>0</v>
      </c>
      <c r="V42" s="55">
        <f t="shared" ca="1" si="2"/>
        <v>0</v>
      </c>
      <c r="W42" s="55">
        <f t="shared" ca="1" si="12"/>
        <v>0</v>
      </c>
      <c r="X42" s="55">
        <f t="shared" ca="1" si="13"/>
        <v>4.0121436631304395</v>
      </c>
      <c r="Y42" s="55">
        <f t="shared" ca="1" si="14"/>
        <v>-4.5186186469976768</v>
      </c>
      <c r="Z42">
        <f t="shared" ca="1" si="3"/>
        <v>86.567632202246401</v>
      </c>
      <c r="AA42">
        <f t="shared" ca="1" si="15"/>
        <v>0</v>
      </c>
      <c r="AB42">
        <f t="shared" ca="1" si="4"/>
        <v>0</v>
      </c>
      <c r="AC42">
        <f t="shared" ca="1" si="5"/>
        <v>0</v>
      </c>
      <c r="AD42" s="83">
        <f ca="1"/>
        <v>45316</v>
      </c>
      <c r="AE42" s="55">
        <f t="shared" ca="1" si="20"/>
        <v>45316</v>
      </c>
      <c r="AF42" s="55">
        <f t="shared" ca="1" si="21"/>
        <v>17.474847170157851</v>
      </c>
      <c r="AG42" s="55">
        <f t="shared" ca="1" si="22"/>
        <v>2.7522840399693789</v>
      </c>
      <c r="AH42" s="55">
        <f t="shared" ca="1" si="23"/>
        <v>0</v>
      </c>
      <c r="AI42" s="55">
        <f t="shared" ca="1" si="17"/>
        <v>0</v>
      </c>
      <c r="AJ42" s="55">
        <f t="shared" ca="1" si="18"/>
        <v>6.5463337151136223</v>
      </c>
      <c r="AK42" s="55">
        <f t="shared" ca="1" si="19"/>
        <v>-16.295660187521474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Interface'!$I$7:$N$496,6,FALSE),"")</f>
        <v/>
      </c>
      <c r="H43" s="55" t="str">
        <f t="shared" ca="1" si="26"/>
        <v/>
      </c>
      <c r="R43" s="83">
        <f ca="1"/>
        <v>45149</v>
      </c>
      <c r="S43" s="55">
        <f t="shared" ca="1" si="11"/>
        <v>45149</v>
      </c>
      <c r="T43" s="55">
        <f t="shared" ca="1" si="0"/>
        <v>49.459483548105979</v>
      </c>
      <c r="U43" s="55">
        <f t="shared" ca="1" si="1"/>
        <v>0</v>
      </c>
      <c r="V43" s="55">
        <f t="shared" ca="1" si="2"/>
        <v>0</v>
      </c>
      <c r="W43" s="55">
        <f t="shared" ca="1" si="12"/>
        <v>0</v>
      </c>
      <c r="X43" s="55">
        <f t="shared" ca="1" si="13"/>
        <v>4.2268813679384802</v>
      </c>
      <c r="Y43" s="55">
        <f t="shared" ca="1" si="14"/>
        <v>-4.6581146353504295</v>
      </c>
      <c r="Z43">
        <f t="shared" ca="1" si="3"/>
        <v>87.782655479741237</v>
      </c>
      <c r="AA43">
        <f t="shared" ca="1" si="15"/>
        <v>0</v>
      </c>
      <c r="AB43">
        <f t="shared" ca="1" si="4"/>
        <v>0</v>
      </c>
      <c r="AC43">
        <f t="shared" ca="1" si="5"/>
        <v>0</v>
      </c>
      <c r="AD43" s="83">
        <f ca="1"/>
        <v>45317</v>
      </c>
      <c r="AE43" s="55">
        <f t="shared" ca="1" si="20"/>
        <v>45317</v>
      </c>
      <c r="AF43" s="55">
        <f t="shared" ca="1" si="21"/>
        <v>17.104222039726427</v>
      </c>
      <c r="AG43" s="55">
        <f t="shared" ca="1" si="22"/>
        <v>2.906657779162356</v>
      </c>
      <c r="AH43" s="55">
        <f t="shared" ca="1" si="23"/>
        <v>0</v>
      </c>
      <c r="AI43" s="55">
        <f t="shared" ca="1" si="17"/>
        <v>0</v>
      </c>
      <c r="AJ43" s="55">
        <f t="shared" ca="1" si="18"/>
        <v>6.8038746640186423</v>
      </c>
      <c r="AK43" s="55">
        <f t="shared" ca="1" si="19"/>
        <v>-16.769452527664942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45166</v>
      </c>
      <c r="C44" s="94" t="s">
        <v>145</v>
      </c>
      <c r="D44" s="96">
        <f ca="1">MAX(CurrentEstablishDate,C38:C43,MAX(C29:C34)+1)</f>
        <v>45166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45150</v>
      </c>
      <c r="S44" s="55">
        <f t="shared" ca="1" si="11"/>
        <v>45150</v>
      </c>
      <c r="T44" s="55">
        <f t="shared" ca="1" si="0"/>
        <v>49.542293738704984</v>
      </c>
      <c r="U44" s="55">
        <f t="shared" ca="1" si="1"/>
        <v>0</v>
      </c>
      <c r="V44" s="55">
        <f t="shared" ca="1" si="2"/>
        <v>0</v>
      </c>
      <c r="W44" s="55">
        <f t="shared" ca="1" si="12"/>
        <v>0</v>
      </c>
      <c r="X44" s="55">
        <f t="shared" ca="1" si="13"/>
        <v>4.4469821962491549</v>
      </c>
      <c r="Y44" s="55">
        <f t="shared" ca="1" si="14"/>
        <v>-4.795405273062098</v>
      </c>
      <c r="Z44">
        <f t="shared" ca="1" si="3"/>
        <v>87.783330387393534</v>
      </c>
      <c r="AA44">
        <f t="shared" ca="1" si="15"/>
        <v>0</v>
      </c>
      <c r="AB44">
        <f t="shared" ca="1" si="4"/>
        <v>0</v>
      </c>
      <c r="AC44">
        <f t="shared" ca="1" si="5"/>
        <v>0</v>
      </c>
      <c r="AD44" s="83">
        <f ca="1"/>
        <v>45318</v>
      </c>
      <c r="AE44" s="55">
        <f t="shared" ca="1" si="20"/>
        <v>45318</v>
      </c>
      <c r="AF44" s="55">
        <f t="shared" ca="1" si="21"/>
        <v>16.705646093705273</v>
      </c>
      <c r="AG44" s="55">
        <f t="shared" ca="1" si="22"/>
        <v>3.0685496356141075</v>
      </c>
      <c r="AH44" s="55">
        <f t="shared" ca="1" si="23"/>
        <v>0</v>
      </c>
      <c r="AI44" s="55">
        <f t="shared" ca="1" si="17"/>
        <v>0</v>
      </c>
      <c r="AJ44" s="55">
        <f t="shared" ca="1" si="18"/>
        <v>7.064819650223396</v>
      </c>
      <c r="AK44" s="55">
        <f t="shared" ca="1" si="19"/>
        <v>-17.267081603439099</v>
      </c>
    </row>
    <row r="45" spans="1:37" s="55" customFormat="1">
      <c r="R45" s="83">
        <f ca="1"/>
        <v>45151</v>
      </c>
      <c r="S45" s="55">
        <f t="shared" ca="1" si="11"/>
        <v>45151</v>
      </c>
      <c r="T45" s="55">
        <f t="shared" ca="1" si="0"/>
        <v>49.629189416359971</v>
      </c>
      <c r="U45" s="55">
        <f t="shared" ca="1" si="1"/>
        <v>0</v>
      </c>
      <c r="V45" s="55">
        <f t="shared" ca="1" si="2"/>
        <v>0</v>
      </c>
      <c r="W45" s="55">
        <f t="shared" ca="1" si="12"/>
        <v>0</v>
      </c>
      <c r="X45" s="55">
        <f t="shared" ca="1" si="13"/>
        <v>4.66411139013697</v>
      </c>
      <c r="Y45" s="55">
        <f t="shared" ca="1" si="14"/>
        <v>-4.9256387892949256</v>
      </c>
      <c r="Z45">
        <f t="shared" ca="1" si="3"/>
        <v>89.476157641721016</v>
      </c>
      <c r="AA45">
        <f t="shared" ca="1" si="15"/>
        <v>0</v>
      </c>
      <c r="AB45">
        <f t="shared" ca="1" si="4"/>
        <v>0</v>
      </c>
      <c r="AC45">
        <f t="shared" ca="1" si="5"/>
        <v>0</v>
      </c>
      <c r="AD45" s="83">
        <f ca="1"/>
        <v>45319</v>
      </c>
      <c r="AE45" s="55">
        <f t="shared" ca="1" si="20"/>
        <v>45319</v>
      </c>
      <c r="AF45" s="55">
        <f t="shared" ca="1" si="21"/>
        <v>16.308748007211804</v>
      </c>
      <c r="AG45" s="55">
        <f t="shared" ca="1" si="22"/>
        <v>3.2469574994412067</v>
      </c>
      <c r="AH45" s="55">
        <f t="shared" ca="1" si="23"/>
        <v>0</v>
      </c>
      <c r="AI45" s="55">
        <f t="shared" ca="1" si="17"/>
        <v>0</v>
      </c>
      <c r="AJ45" s="55">
        <f t="shared" ca="1" si="18"/>
        <v>7.3387284767801075</v>
      </c>
      <c r="AK45" s="55">
        <f t="shared" ca="1" si="19"/>
        <v>-17.75948065266218</v>
      </c>
    </row>
    <row r="46" spans="1:37" s="55" customFormat="1" ht="15" thickBot="1">
      <c r="C46" s="129" t="s">
        <v>149</v>
      </c>
      <c r="D46" s="129"/>
      <c r="E46" s="129"/>
      <c r="F46" s="129"/>
      <c r="G46" s="129"/>
      <c r="H46" s="129"/>
      <c r="R46" s="83">
        <f ca="1"/>
        <v>45152</v>
      </c>
      <c r="S46" s="55">
        <f t="shared" ca="1" si="11"/>
        <v>45152</v>
      </c>
      <c r="T46" s="55">
        <f t="shared" ca="1" si="0"/>
        <v>49.723449465007334</v>
      </c>
      <c r="U46" s="55">
        <f t="shared" ca="1" si="1"/>
        <v>0</v>
      </c>
      <c r="V46" s="55">
        <f t="shared" ca="1" si="2"/>
        <v>0</v>
      </c>
      <c r="W46" s="55">
        <f t="shared" ca="1" si="12"/>
        <v>0</v>
      </c>
      <c r="X46" s="55">
        <f t="shared" ca="1" si="13"/>
        <v>4.8834979720516962</v>
      </c>
      <c r="Y46" s="55">
        <f t="shared" ca="1" si="14"/>
        <v>-5.0507653225622882</v>
      </c>
      <c r="Z46">
        <f t="shared" ca="1" si="3"/>
        <v>91.603566070645257</v>
      </c>
      <c r="AA46">
        <f t="shared" ca="1" si="15"/>
        <v>0</v>
      </c>
      <c r="AB46">
        <f t="shared" ca="1" si="4"/>
        <v>0</v>
      </c>
      <c r="AC46">
        <f t="shared" ca="1" si="5"/>
        <v>0</v>
      </c>
      <c r="AD46" s="83">
        <f ca="1"/>
        <v>45320</v>
      </c>
      <c r="AE46" s="55">
        <f t="shared" ca="1" si="20"/>
        <v>45320</v>
      </c>
      <c r="AF46" s="55">
        <f t="shared" ca="1" si="21"/>
        <v>15.952154756106324</v>
      </c>
      <c r="AG46" s="55">
        <f t="shared" ca="1" si="22"/>
        <v>3.4405844412460049</v>
      </c>
      <c r="AH46" s="55">
        <f t="shared" ca="1" si="23"/>
        <v>0</v>
      </c>
      <c r="AI46" s="55">
        <f t="shared" ca="1" si="17"/>
        <v>0</v>
      </c>
      <c r="AJ46" s="55">
        <f t="shared" ca="1" si="18"/>
        <v>7.6146556914553889</v>
      </c>
      <c r="AK46" s="55">
        <f t="shared" ca="1" si="19"/>
        <v>-18.198374176638143</v>
      </c>
    </row>
    <row r="47" spans="1:37" s="55" customFormat="1">
      <c r="C47" s="61" t="s">
        <v>24</v>
      </c>
      <c r="D47" s="88" t="str">
        <f>IF(E47="","Fodder",E47)</f>
        <v>Fodder</v>
      </c>
      <c r="E47" s="87" t="s">
        <v>30</v>
      </c>
      <c r="F47" s="61" t="s">
        <v>129</v>
      </c>
      <c r="G47" s="88">
        <f>IF(H47="",VLOOKUP(PriorCropNameFull,CropCoefficients,23,FALSE),H47)</f>
        <v>0</v>
      </c>
      <c r="H47" s="89"/>
      <c r="R47" s="83">
        <f ca="1"/>
        <v>45153</v>
      </c>
      <c r="S47" s="55">
        <f t="shared" ca="1" si="11"/>
        <v>45153</v>
      </c>
      <c r="T47" s="55">
        <f t="shared" ca="1" si="0"/>
        <v>49.820191490573613</v>
      </c>
      <c r="U47" s="55">
        <f t="shared" ca="1" si="1"/>
        <v>0</v>
      </c>
      <c r="V47" s="55">
        <f t="shared" ca="1" si="2"/>
        <v>0</v>
      </c>
      <c r="W47" s="55">
        <f t="shared" ca="1" si="12"/>
        <v>0</v>
      </c>
      <c r="X47" s="55">
        <f t="shared" ca="1" si="13"/>
        <v>5.0985173720534682</v>
      </c>
      <c r="Y47" s="55">
        <f t="shared" ca="1" si="14"/>
        <v>-5.1690426969977823</v>
      </c>
      <c r="Z47">
        <f t="shared" ca="1" si="3"/>
        <v>93.360123774042194</v>
      </c>
      <c r="AA47">
        <f t="shared" ca="1" si="15"/>
        <v>0</v>
      </c>
      <c r="AB47">
        <f t="shared" ca="1" si="4"/>
        <v>0</v>
      </c>
      <c r="AC47">
        <f t="shared" ca="1" si="5"/>
        <v>0</v>
      </c>
      <c r="AD47" s="83">
        <f ca="1"/>
        <v>45321</v>
      </c>
      <c r="AE47" s="55">
        <f t="shared" ca="1" si="20"/>
        <v>45321</v>
      </c>
      <c r="AF47" s="55">
        <f t="shared" ca="1" si="21"/>
        <v>15.611645000998976</v>
      </c>
      <c r="AG47" s="55">
        <f t="shared" ca="1" si="22"/>
        <v>3.6519628944578644</v>
      </c>
      <c r="AH47" s="55">
        <f t="shared" ca="1" si="23"/>
        <v>0</v>
      </c>
      <c r="AI47" s="55">
        <f t="shared" ca="1" si="17"/>
        <v>0</v>
      </c>
      <c r="AJ47" s="55">
        <f t="shared" ca="1" si="18"/>
        <v>7.8978491638998589</v>
      </c>
      <c r="AK47" s="55">
        <f t="shared" ca="1" si="19"/>
        <v>-18.610698950978101</v>
      </c>
    </row>
    <row r="48" spans="1:37" s="55" customFormat="1">
      <c r="C48" s="61" t="s">
        <v>93</v>
      </c>
      <c r="D48" s="84" t="str">
        <f>IF(E48="","Barley",E48)</f>
        <v>Oat</v>
      </c>
      <c r="E48" s="66" t="s">
        <v>31</v>
      </c>
      <c r="F48" s="61" t="s">
        <v>131</v>
      </c>
      <c r="G48" s="84">
        <f>IF(H48="",VLOOKUP(PriorCropNameFull,CropCoefficients,22,FALSE),H48)</f>
        <v>0</v>
      </c>
      <c r="H48" s="72"/>
      <c r="R48" s="83">
        <f ca="1"/>
        <v>45154</v>
      </c>
      <c r="S48" s="55">
        <f t="shared" ca="1" si="11"/>
        <v>45154</v>
      </c>
      <c r="T48" s="55">
        <f t="shared" ca="1" si="0"/>
        <v>49.927952090448905</v>
      </c>
      <c r="U48" s="55">
        <f t="shared" ca="1" si="1"/>
        <v>0</v>
      </c>
      <c r="V48" s="55">
        <f t="shared" ca="1" si="2"/>
        <v>0</v>
      </c>
      <c r="W48" s="55">
        <f t="shared" ca="1" si="12"/>
        <v>0</v>
      </c>
      <c r="X48" s="55">
        <f t="shared" ca="1" si="13"/>
        <v>5.3227445459583942</v>
      </c>
      <c r="Y48" s="55">
        <f t="shared" ca="1" si="14"/>
        <v>-5.2855092710274194</v>
      </c>
      <c r="Z48">
        <f t="shared" ca="1" si="3"/>
        <v>94.897542053831984</v>
      </c>
      <c r="AA48">
        <f t="shared" ca="1" si="15"/>
        <v>0</v>
      </c>
      <c r="AB48">
        <f t="shared" ca="1" si="4"/>
        <v>0</v>
      </c>
      <c r="AC48">
        <f t="shared" ca="1" si="5"/>
        <v>0</v>
      </c>
      <c r="AD48" s="83">
        <f ca="1"/>
        <v>45322</v>
      </c>
      <c r="AE48" s="55">
        <f t="shared" ca="1" si="20"/>
        <v>45322</v>
      </c>
      <c r="AF48" s="55">
        <f t="shared" ca="1" si="21"/>
        <v>15.281585971624674</v>
      </c>
      <c r="AG48" s="55">
        <f t="shared" ca="1" si="22"/>
        <v>3.8776331424412329</v>
      </c>
      <c r="AH48" s="55">
        <f t="shared" ca="1" si="23"/>
        <v>0</v>
      </c>
      <c r="AI48" s="55">
        <f t="shared" ca="1" si="17"/>
        <v>0</v>
      </c>
      <c r="AJ48" s="55">
        <f t="shared" ca="1" si="18"/>
        <v>8.1814227758419698</v>
      </c>
      <c r="AK48" s="55">
        <f t="shared" ca="1" si="19"/>
        <v>-18.998661344311145</v>
      </c>
    </row>
    <row r="49" spans="2:37" s="55" customFormat="1">
      <c r="C49" s="61" t="s">
        <v>94</v>
      </c>
      <c r="D49" s="84" t="str">
        <f>IF(E49="","General",E49)</f>
        <v>General</v>
      </c>
      <c r="E49" s="66"/>
      <c r="F49" s="61" t="s">
        <v>130</v>
      </c>
      <c r="G49" s="84">
        <f>IF(H49="",VLOOKUP(PriorCropNameFull,CropCoefficients,26,FALSE),H49)</f>
        <v>0</v>
      </c>
      <c r="H49" s="72"/>
      <c r="R49" s="83">
        <f ca="1"/>
        <v>45155</v>
      </c>
      <c r="S49" s="55">
        <f t="shared" ca="1" si="11"/>
        <v>45155</v>
      </c>
      <c r="T49" s="55">
        <f t="shared" ca="1" si="0"/>
        <v>50.054769564913883</v>
      </c>
      <c r="U49" s="55">
        <f t="shared" ca="1" si="1"/>
        <v>0</v>
      </c>
      <c r="V49" s="55">
        <f t="shared" ca="1" si="2"/>
        <v>0</v>
      </c>
      <c r="W49" s="55">
        <f t="shared" ca="1" si="12"/>
        <v>0</v>
      </c>
      <c r="X49" s="55">
        <f t="shared" ca="1" si="13"/>
        <v>5.5666944902689446</v>
      </c>
      <c r="Y49" s="55">
        <f t="shared" ca="1" si="14"/>
        <v>-5.4026417408729897</v>
      </c>
      <c r="Z49">
        <f t="shared" ca="1" si="3"/>
        <v>97.197329509775471</v>
      </c>
      <c r="AA49">
        <f t="shared" ca="1" si="15"/>
        <v>0</v>
      </c>
      <c r="AB49">
        <f t="shared" ca="1" si="4"/>
        <v>0</v>
      </c>
      <c r="AC49">
        <f t="shared" ca="1" si="5"/>
        <v>0</v>
      </c>
      <c r="AD49" s="83">
        <f ca="1"/>
        <v>45323</v>
      </c>
      <c r="AE49" s="55">
        <f t="shared" ca="1" si="20"/>
        <v>45323</v>
      </c>
      <c r="AF49" s="55">
        <f t="shared" ca="1" si="21"/>
        <v>14.993985870861216</v>
      </c>
      <c r="AG49" s="55">
        <f t="shared" ca="1" si="22"/>
        <v>4.1092419728169611</v>
      </c>
      <c r="AH49" s="55">
        <f t="shared" ca="1" si="23"/>
        <v>0</v>
      </c>
      <c r="AI49" s="55">
        <f t="shared" ca="1" si="17"/>
        <v>0</v>
      </c>
      <c r="AJ49" s="55">
        <f t="shared" ca="1" si="18"/>
        <v>8.4475975088936011</v>
      </c>
      <c r="AK49" s="55">
        <f t="shared" ca="1" si="19"/>
        <v>-19.320827347750505</v>
      </c>
    </row>
    <row r="50" spans="2:37" s="55" customFormat="1">
      <c r="B50" s="90">
        <f>IF(PriorUnits="kg/head",PriorYield*PriorPopulation/1000,IF(PriorUnits="kg/ha",PriorYield/1000,PriorYield))</f>
        <v>10</v>
      </c>
      <c r="C50" s="64" t="s">
        <v>146</v>
      </c>
      <c r="D50" s="65" t="str">
        <f>PriorCropName&amp;" "&amp;PriorCropType&amp;" "&amp;PriorCropVariety</f>
        <v>Oat Fodder General</v>
      </c>
      <c r="F50" s="56"/>
      <c r="R50" s="83">
        <f ca="1"/>
        <v>45156</v>
      </c>
      <c r="S50" s="55">
        <f t="shared" ca="1" si="11"/>
        <v>45156</v>
      </c>
      <c r="T50" s="55">
        <f t="shared" ca="1" si="0"/>
        <v>50.193246156212297</v>
      </c>
      <c r="U50" s="55">
        <f t="shared" ca="1" si="1"/>
        <v>0</v>
      </c>
      <c r="V50" s="55">
        <f t="shared" ca="1" si="2"/>
        <v>0</v>
      </c>
      <c r="W50" s="55">
        <f t="shared" ca="1" si="12"/>
        <v>0</v>
      </c>
      <c r="X50" s="55">
        <f t="shared" ca="1" si="13"/>
        <v>5.8189377702830161</v>
      </c>
      <c r="Y50" s="55">
        <f t="shared" ca="1" si="14"/>
        <v>-5.5164084295886493</v>
      </c>
      <c r="Z50">
        <f t="shared" ca="1" si="3"/>
        <v>99.698300491512001</v>
      </c>
      <c r="AA50">
        <f t="shared" ca="1" si="15"/>
        <v>0</v>
      </c>
      <c r="AB50">
        <f t="shared" ca="1" si="4"/>
        <v>0</v>
      </c>
      <c r="AC50">
        <f t="shared" ca="1" si="5"/>
        <v>0</v>
      </c>
      <c r="AD50" s="83">
        <f ca="1"/>
        <v>45324</v>
      </c>
      <c r="AE50" s="55">
        <f t="shared" ca="1" si="20"/>
        <v>45324</v>
      </c>
      <c r="AF50" s="55">
        <f t="shared" ca="1" si="21"/>
        <v>14.715760673463148</v>
      </c>
      <c r="AG50" s="55">
        <f t="shared" ca="1" si="22"/>
        <v>4.3396380098426039</v>
      </c>
      <c r="AH50" s="55">
        <f t="shared" ca="1" si="23"/>
        <v>0</v>
      </c>
      <c r="AI50" s="55">
        <f t="shared" ca="1" si="17"/>
        <v>0</v>
      </c>
      <c r="AJ50" s="55">
        <f t="shared" ca="1" si="18"/>
        <v>8.6934015240113816</v>
      </c>
      <c r="AK50" s="55">
        <f t="shared" ca="1" si="19"/>
        <v>-19.614460523240712</v>
      </c>
    </row>
    <row r="51" spans="2:37" s="55" customFormat="1">
      <c r="C51" s="61" t="s">
        <v>4</v>
      </c>
      <c r="D51" s="68">
        <f>IF(E51="",CurrentEstablishDate-60,E51)</f>
        <v>44999</v>
      </c>
      <c r="E51" s="67">
        <v>44999</v>
      </c>
      <c r="F51" s="61" t="s">
        <v>141</v>
      </c>
      <c r="G51" s="84" t="str">
        <f>IF(H51="",VLOOKUP(PriorCropNameFull,CropCoefficients,13,FALSE),H51)</f>
        <v>Seed</v>
      </c>
      <c r="H51" s="72"/>
      <c r="R51" s="83">
        <f ca="1"/>
        <v>45157</v>
      </c>
      <c r="S51" s="55">
        <f t="shared" ca="1" si="11"/>
        <v>45157</v>
      </c>
      <c r="T51" s="55">
        <f t="shared" ca="1" si="0"/>
        <v>50.333172841798721</v>
      </c>
      <c r="U51" s="55">
        <f t="shared" ca="1" si="1"/>
        <v>0</v>
      </c>
      <c r="V51" s="55">
        <f t="shared" ca="1" si="2"/>
        <v>0</v>
      </c>
      <c r="W51" s="55">
        <f t="shared" ca="1" si="12"/>
        <v>0</v>
      </c>
      <c r="X51" s="55">
        <f t="shared" ca="1" si="13"/>
        <v>6.0667927246343165</v>
      </c>
      <c r="Y51" s="55">
        <f t="shared" ca="1" si="14"/>
        <v>-5.6243366983535195</v>
      </c>
      <c r="Z51">
        <f t="shared" ca="1" si="3"/>
        <v>100.85296919707743</v>
      </c>
      <c r="AA51">
        <f t="shared" ca="1" si="15"/>
        <v>0</v>
      </c>
      <c r="AB51">
        <f t="shared" ca="1" si="4"/>
        <v>0</v>
      </c>
      <c r="AC51">
        <f t="shared" ca="1" si="5"/>
        <v>0</v>
      </c>
      <c r="AD51" s="83">
        <f ca="1"/>
        <v>45325</v>
      </c>
      <c r="AE51" s="55">
        <f t="shared" ca="1" si="20"/>
        <v>45325</v>
      </c>
      <c r="AF51" s="55">
        <f t="shared" ca="1" si="21"/>
        <v>14.446712127694047</v>
      </c>
      <c r="AG51" s="55">
        <f t="shared" ca="1" si="22"/>
        <v>4.5798098068495978</v>
      </c>
      <c r="AH51" s="55">
        <f t="shared" ca="1" si="23"/>
        <v>0</v>
      </c>
      <c r="AI51" s="55">
        <f t="shared" ca="1" si="17"/>
        <v>0</v>
      </c>
      <c r="AJ51" s="55">
        <f t="shared" ca="1" si="18"/>
        <v>8.9336686300470145</v>
      </c>
      <c r="AK51" s="55">
        <f t="shared" ca="1" si="19"/>
        <v>-19.883604378038452</v>
      </c>
    </row>
    <row r="52" spans="2:37" s="55" customFormat="1">
      <c r="C52" s="61" t="s">
        <v>5</v>
      </c>
      <c r="D52" s="68">
        <f>IF(E52="",CurrentEstablishDate-15,E52)</f>
        <v>45124</v>
      </c>
      <c r="E52" s="67">
        <v>45124</v>
      </c>
      <c r="F52" s="61" t="s">
        <v>142</v>
      </c>
      <c r="G52" s="84" t="str">
        <f>IF(H52="",VLOOKUP(PriorCropNameFull,CropCoefficients,15,FALSE),H52)</f>
        <v>EarlyReproductive</v>
      </c>
      <c r="H52" s="72"/>
      <c r="R52" s="83">
        <f ca="1"/>
        <v>45158</v>
      </c>
      <c r="S52" s="55">
        <f t="shared" ca="1" si="11"/>
        <v>45158</v>
      </c>
      <c r="T52" s="55">
        <f t="shared" ca="1" si="0"/>
        <v>50.475868152723542</v>
      </c>
      <c r="U52" s="55">
        <f t="shared" ca="1" si="1"/>
        <v>0</v>
      </c>
      <c r="V52" s="55">
        <f t="shared" ca="1" si="2"/>
        <v>0</v>
      </c>
      <c r="W52" s="55">
        <f t="shared" ca="1" si="12"/>
        <v>0</v>
      </c>
      <c r="X52" s="55">
        <f t="shared" ca="1" si="13"/>
        <v>6.314252179762871</v>
      </c>
      <c r="Y52" s="55">
        <f t="shared" ca="1" si="14"/>
        <v>-5.7291008425572567</v>
      </c>
      <c r="Z52">
        <f t="shared" ca="1" si="3"/>
        <v>100.20491267117865</v>
      </c>
      <c r="AA52">
        <f t="shared" ca="1" si="15"/>
        <v>0</v>
      </c>
      <c r="AB52">
        <f t="shared" ca="1" si="4"/>
        <v>0</v>
      </c>
      <c r="AC52">
        <f t="shared" ca="1" si="5"/>
        <v>0</v>
      </c>
      <c r="AD52" s="83">
        <f ca="1"/>
        <v>45326</v>
      </c>
      <c r="AE52" s="55">
        <f t="shared" ca="1" si="20"/>
        <v>45326</v>
      </c>
      <c r="AF52" s="55">
        <f t="shared" ca="1" si="21"/>
        <v>14.13553600631176</v>
      </c>
      <c r="AG52" s="55">
        <f t="shared" ca="1" si="22"/>
        <v>4.858169231557679</v>
      </c>
      <c r="AH52" s="55">
        <f t="shared" ca="1" si="23"/>
        <v>0</v>
      </c>
      <c r="AI52" s="55">
        <f t="shared" ca="1" si="17"/>
        <v>0</v>
      </c>
      <c r="AJ52" s="55">
        <f t="shared" ca="1" si="18"/>
        <v>9.2068714216317193</v>
      </c>
      <c r="AK52" s="55">
        <f t="shared" ca="1" si="19"/>
        <v>-20.189623866297364</v>
      </c>
    </row>
    <row r="53" spans="2:37" s="55" customFormat="1">
      <c r="C53" s="61" t="s">
        <v>132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45159</v>
      </c>
      <c r="S53" s="55">
        <f t="shared" ca="1" si="11"/>
        <v>45159</v>
      </c>
      <c r="T53" s="55">
        <f t="shared" ca="1" si="0"/>
        <v>50.623725974780712</v>
      </c>
      <c r="U53" s="55">
        <f t="shared" ca="1" si="1"/>
        <v>0</v>
      </c>
      <c r="V53" s="55">
        <f t="shared" ca="1" si="2"/>
        <v>0</v>
      </c>
      <c r="W53" s="55">
        <f t="shared" ca="1" si="12"/>
        <v>0</v>
      </c>
      <c r="X53" s="55">
        <f t="shared" ca="1" si="13"/>
        <v>6.5613042944841578</v>
      </c>
      <c r="Y53" s="55">
        <f t="shared" ca="1" si="14"/>
        <v>-5.8282951352213725</v>
      </c>
      <c r="Z53">
        <f t="shared" ca="1" si="3"/>
        <v>103.17242195041679</v>
      </c>
      <c r="AA53">
        <f t="shared" ca="1" si="15"/>
        <v>0</v>
      </c>
      <c r="AB53">
        <f t="shared" ca="1" si="4"/>
        <v>0</v>
      </c>
      <c r="AC53">
        <f t="shared" ca="1" si="5"/>
        <v>0</v>
      </c>
      <c r="AD53" s="83">
        <f ca="1"/>
        <v>45327</v>
      </c>
      <c r="AE53" s="55">
        <f t="shared" ca="1" si="20"/>
        <v>45327</v>
      </c>
      <c r="AF53" s="55">
        <f t="shared" ca="1" si="21"/>
        <v>13.820253103692888</v>
      </c>
      <c r="AG53" s="55">
        <f t="shared" ca="1" si="22"/>
        <v>5.1219779413457509</v>
      </c>
      <c r="AH53" s="55">
        <f t="shared" ca="1" si="23"/>
        <v>0</v>
      </c>
      <c r="AI53" s="55">
        <f t="shared" ca="1" si="17"/>
        <v>0</v>
      </c>
      <c r="AJ53" s="55">
        <f t="shared" ca="1" si="18"/>
        <v>9.4478706141339153</v>
      </c>
      <c r="AK53" s="55">
        <f t="shared" ca="1" si="19"/>
        <v>-20.482097251630361</v>
      </c>
    </row>
    <row r="54" spans="2:37" s="54" customFormat="1">
      <c r="B54" s="55"/>
      <c r="C54" s="61" t="s">
        <v>96</v>
      </c>
      <c r="D54" s="70">
        <f>IF(E54="",VLOOKUP(PriorCropNameFull,CropCoefficients,17,FALSE),E54)</f>
        <v>10</v>
      </c>
      <c r="E54" s="69"/>
      <c r="F54" s="61" t="s">
        <v>144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45160</v>
      </c>
      <c r="S54" s="55">
        <f t="shared" ca="1" si="11"/>
        <v>45160</v>
      </c>
      <c r="T54" s="55">
        <f t="shared" ca="1" si="0"/>
        <v>50.792900362182763</v>
      </c>
      <c r="U54" s="55">
        <f t="shared" ca="1" si="1"/>
        <v>0</v>
      </c>
      <c r="V54" s="55">
        <f t="shared" ca="1" si="2"/>
        <v>0</v>
      </c>
      <c r="W54" s="55">
        <f t="shared" ca="1" si="12"/>
        <v>0</v>
      </c>
      <c r="X54" s="55">
        <f t="shared" ca="1" si="13"/>
        <v>6.8281019156623444</v>
      </c>
      <c r="Y54" s="55">
        <f t="shared" ca="1" si="14"/>
        <v>-5.9259183689975083</v>
      </c>
      <c r="Z54">
        <f t="shared" ca="1" si="3"/>
        <v>107.85732589759759</v>
      </c>
      <c r="AA54">
        <f t="shared" ca="1" si="15"/>
        <v>0</v>
      </c>
      <c r="AB54">
        <f t="shared" ca="1" si="4"/>
        <v>0</v>
      </c>
      <c r="AC54">
        <f t="shared" ca="1" si="5"/>
        <v>0</v>
      </c>
      <c r="AD54" s="83">
        <f ca="1"/>
        <v>45328</v>
      </c>
      <c r="AE54" s="55">
        <f t="shared" ca="1" si="20"/>
        <v>45328</v>
      </c>
      <c r="AF54" s="55">
        <f t="shared" ca="1" si="21"/>
        <v>13.515884604946475</v>
      </c>
      <c r="AG54" s="55">
        <f t="shared" ca="1" si="22"/>
        <v>5.4079111470874741</v>
      </c>
      <c r="AH54" s="55">
        <f t="shared" ca="1" si="23"/>
        <v>0</v>
      </c>
      <c r="AI54" s="55">
        <f t="shared" ca="1" si="17"/>
        <v>0</v>
      </c>
      <c r="AJ54" s="55">
        <f t="shared" ca="1" si="18"/>
        <v>9.6933272777317825</v>
      </c>
      <c r="AK54" s="55">
        <f t="shared" ca="1" si="19"/>
        <v>-20.745989208232917</v>
      </c>
    </row>
    <row r="55" spans="2:37" s="55" customFormat="1">
      <c r="C55" s="61" t="s">
        <v>13</v>
      </c>
      <c r="D55" s="84" t="str">
        <f>IF(E55="",VLOOKUP(PriorCropNameFull,CropCoefficients,18,FALSE),E55)</f>
        <v>t/ha</v>
      </c>
      <c r="E55" s="71"/>
      <c r="F55" s="58" t="s">
        <v>154</v>
      </c>
      <c r="G55" s="85" t="str">
        <f>IF(H55="","Full (Plough)",H55)</f>
        <v>Full (Plough)</v>
      </c>
      <c r="H55" s="72"/>
      <c r="R55" s="83">
        <f ca="1"/>
        <v>45161</v>
      </c>
      <c r="S55" s="55">
        <f t="shared" ca="1" si="11"/>
        <v>45161</v>
      </c>
      <c r="T55" s="55">
        <f t="shared" ca="1" si="0"/>
        <v>50.970838868167455</v>
      </c>
      <c r="U55" s="55">
        <f t="shared" ca="1" si="1"/>
        <v>0</v>
      </c>
      <c r="V55" s="55">
        <f t="shared" ca="1" si="2"/>
        <v>0</v>
      </c>
      <c r="W55" s="55">
        <f t="shared" ca="1" si="12"/>
        <v>0</v>
      </c>
      <c r="X55" s="55">
        <f t="shared" ca="1" si="13"/>
        <v>7.1012573118078643</v>
      </c>
      <c r="Y55" s="55">
        <f t="shared" ca="1" si="14"/>
        <v>-6.0211352591583385</v>
      </c>
      <c r="Z55">
        <f t="shared" ca="1" si="3"/>
        <v>108.76446245001367</v>
      </c>
      <c r="AA55">
        <f t="shared" ca="1" si="15"/>
        <v>0</v>
      </c>
      <c r="AB55">
        <f t="shared" ca="1" si="4"/>
        <v>0</v>
      </c>
      <c r="AC55">
        <f t="shared" ca="1" si="5"/>
        <v>0</v>
      </c>
      <c r="AD55" s="83">
        <f ca="1"/>
        <v>45329</v>
      </c>
      <c r="AE55" s="55">
        <f t="shared" ca="1" si="20"/>
        <v>45329</v>
      </c>
      <c r="AF55" s="55">
        <f t="shared" ca="1" si="21"/>
        <v>13.189332207612537</v>
      </c>
      <c r="AG55" s="55">
        <f t="shared" ca="1" si="22"/>
        <v>5.709195304492571</v>
      </c>
      <c r="AH55" s="55">
        <f t="shared" ca="1" si="23"/>
        <v>0</v>
      </c>
      <c r="AI55" s="55">
        <f t="shared" ca="1" si="17"/>
        <v>0</v>
      </c>
      <c r="AJ55" s="55">
        <f t="shared" ca="1" si="18"/>
        <v>9.9408101901575723</v>
      </c>
      <c r="AK55" s="55">
        <f t="shared" ca="1" si="19"/>
        <v>-21.018740360587547</v>
      </c>
    </row>
    <row r="56" spans="2:37" s="55" customFormat="1">
      <c r="C56" s="64" t="str">
        <f>"Yield "&amp;ROUND(PriorYield_tperHa,0)&amp;" (t/ha)"</f>
        <v>Yield 10 (t/ha)</v>
      </c>
      <c r="D56" s="90" t="str">
        <f ca="1">"Previous crop residues are providing "&amp;ROUND('Model Interface'!L5,0)&amp;" kg N/ha to the current crop"</f>
        <v>Previous crop residues are providing -8 kg N/ha to the current crop</v>
      </c>
      <c r="R56" s="83">
        <f ca="1"/>
        <v>45162</v>
      </c>
      <c r="S56" s="55">
        <f t="shared" ca="1" si="11"/>
        <v>45162</v>
      </c>
      <c r="T56" s="55">
        <f t="shared" ca="1" si="0"/>
        <v>51.153373967008498</v>
      </c>
      <c r="U56" s="55">
        <f t="shared" ca="1" si="1"/>
        <v>0</v>
      </c>
      <c r="V56" s="55">
        <f t="shared" ca="1" si="2"/>
        <v>0</v>
      </c>
      <c r="W56" s="55">
        <f t="shared" ca="1" si="12"/>
        <v>0</v>
      </c>
      <c r="X56" s="55">
        <f t="shared" ca="1" si="13"/>
        <v>7.3787202706251129</v>
      </c>
      <c r="Y56" s="55">
        <f t="shared" ca="1" si="14"/>
        <v>-6.1160631191345418</v>
      </c>
      <c r="Z56">
        <f t="shared" ca="1" si="3"/>
        <v>105.62853424113356</v>
      </c>
      <c r="AA56">
        <f t="shared" ca="1" si="15"/>
        <v>0</v>
      </c>
      <c r="AB56">
        <f t="shared" ca="1" si="4"/>
        <v>0</v>
      </c>
      <c r="AC56">
        <f t="shared" ca="1" si="5"/>
        <v>0</v>
      </c>
      <c r="AD56" s="83">
        <f ca="1"/>
        <v>45330</v>
      </c>
      <c r="AE56" s="55">
        <f t="shared" ca="1" si="20"/>
        <v>45330</v>
      </c>
      <c r="AF56" s="55">
        <f t="shared" ca="1" si="21"/>
        <v>12.867803246608894</v>
      </c>
      <c r="AG56" s="55">
        <f t="shared" ca="1" si="22"/>
        <v>6.0333053119619677</v>
      </c>
      <c r="AH56" s="55">
        <f t="shared" ca="1" si="23"/>
        <v>0</v>
      </c>
      <c r="AI56" s="55">
        <f t="shared" ca="1" si="17"/>
        <v>0</v>
      </c>
      <c r="AJ56" s="55">
        <f t="shared" ca="1" si="18"/>
        <v>10.191074030587396</v>
      </c>
      <c r="AK56" s="55">
        <f t="shared" ca="1" si="19"/>
        <v>-21.266423154551617</v>
      </c>
    </row>
    <row r="57" spans="2:37" s="55" customFormat="1" ht="15" thickBot="1">
      <c r="C57" s="129" t="s">
        <v>150</v>
      </c>
      <c r="D57" s="129"/>
      <c r="E57" s="129"/>
      <c r="F57" s="129"/>
      <c r="G57" s="129"/>
      <c r="H57" s="129"/>
      <c r="R57" s="83">
        <f ca="1"/>
        <v>45163</v>
      </c>
      <c r="S57" s="55">
        <f t="shared" ca="1" si="11"/>
        <v>45163</v>
      </c>
      <c r="T57" s="55">
        <f t="shared" ca="1" si="0"/>
        <v>51.341419609543607</v>
      </c>
      <c r="U57" s="55">
        <f t="shared" ca="1" si="1"/>
        <v>0</v>
      </c>
      <c r="V57" s="55">
        <f t="shared" ca="1" si="2"/>
        <v>0</v>
      </c>
      <c r="W57" s="55">
        <f t="shared" ca="1" si="12"/>
        <v>0</v>
      </c>
      <c r="X57" s="55">
        <f t="shared" ca="1" si="13"/>
        <v>7.6596151103895735</v>
      </c>
      <c r="Y57" s="55">
        <f t="shared" ca="1" si="14"/>
        <v>-6.2089123163638913</v>
      </c>
      <c r="Z57">
        <f t="shared" ca="1" si="3"/>
        <v>104.81150912210026</v>
      </c>
      <c r="AA57">
        <f t="shared" ca="1" si="15"/>
        <v>0</v>
      </c>
      <c r="AB57">
        <f t="shared" ca="1" si="4"/>
        <v>0</v>
      </c>
      <c r="AC57">
        <f t="shared" ca="1" si="5"/>
        <v>0</v>
      </c>
      <c r="AD57" s="83">
        <f ca="1"/>
        <v>45331</v>
      </c>
      <c r="AE57" s="55">
        <f t="shared" ca="1" si="20"/>
        <v>45331</v>
      </c>
      <c r="AF57" s="55">
        <f t="shared" ca="1" si="21"/>
        <v>12.539211714203557</v>
      </c>
      <c r="AG57" s="55">
        <f t="shared" ca="1" si="22"/>
        <v>6.3773509552966727</v>
      </c>
      <c r="AH57" s="55">
        <f t="shared" ca="1" si="23"/>
        <v>0</v>
      </c>
      <c r="AI57" s="55">
        <f t="shared" ca="1" si="17"/>
        <v>0</v>
      </c>
      <c r="AJ57" s="55">
        <f t="shared" ca="1" si="18"/>
        <v>10.442069465282193</v>
      </c>
      <c r="AK57" s="55">
        <f t="shared" ca="1" si="19"/>
        <v>-21.501964478317046</v>
      </c>
    </row>
    <row r="58" spans="2:37" s="55" customFormat="1">
      <c r="C58" s="61" t="s">
        <v>24</v>
      </c>
      <c r="D58" s="88" t="str">
        <f>IF(E58="","Fodder",E58)</f>
        <v>Fodder</v>
      </c>
      <c r="E58" s="87"/>
      <c r="F58" s="61" t="s">
        <v>129</v>
      </c>
      <c r="G58" s="88">
        <f>IF(H58="",VLOOKUP(FollowingCropFullName,CropCoefficients,23,FALSE),H58)</f>
        <v>0</v>
      </c>
      <c r="H58" s="89"/>
      <c r="R58" s="83">
        <f ca="1"/>
        <v>45164</v>
      </c>
      <c r="S58" s="55">
        <f t="shared" ca="1" si="11"/>
        <v>45164</v>
      </c>
      <c r="T58" s="55">
        <f t="shared" ca="1" si="0"/>
        <v>51.537916103755528</v>
      </c>
      <c r="U58" s="55">
        <f t="shared" ca="1" si="1"/>
        <v>0</v>
      </c>
      <c r="V58" s="55">
        <f t="shared" ca="1" si="2"/>
        <v>0</v>
      </c>
      <c r="W58" s="55">
        <f t="shared" ca="1" si="12"/>
        <v>0</v>
      </c>
      <c r="X58" s="55">
        <f t="shared" ca="1" si="13"/>
        <v>7.9452642504586191</v>
      </c>
      <c r="Y58" s="55">
        <f t="shared" ca="1" si="14"/>
        <v>-6.298064962221015</v>
      </c>
      <c r="Z58">
        <f t="shared" ca="1" si="3"/>
        <v>106.98136688878931</v>
      </c>
      <c r="AA58">
        <f t="shared" ca="1" si="15"/>
        <v>0</v>
      </c>
      <c r="AB58">
        <f t="shared" ca="1" si="4"/>
        <v>0</v>
      </c>
      <c r="AC58">
        <f t="shared" ca="1" si="5"/>
        <v>0</v>
      </c>
      <c r="AD58" s="83">
        <f ca="1"/>
        <v>45332</v>
      </c>
      <c r="AE58" s="55">
        <f t="shared" ca="1" si="20"/>
        <v>45332</v>
      </c>
      <c r="AF58" s="55">
        <f t="shared" ca="1" si="21"/>
        <v>12.211550828928285</v>
      </c>
      <c r="AG58" s="55">
        <f t="shared" ca="1" si="22"/>
        <v>6.7384192248051145</v>
      </c>
      <c r="AH58" s="55">
        <f t="shared" ca="1" si="23"/>
        <v>0</v>
      </c>
      <c r="AI58" s="55">
        <f t="shared" ca="1" si="17"/>
        <v>0</v>
      </c>
      <c r="AJ58" s="55">
        <f t="shared" ca="1" si="18"/>
        <v>10.689042419803506</v>
      </c>
      <c r="AK58" s="55">
        <f t="shared" ca="1" si="19"/>
        <v>-21.715530048605189</v>
      </c>
    </row>
    <row r="59" spans="2:37" s="55" customFormat="1">
      <c r="C59" s="61" t="s">
        <v>93</v>
      </c>
      <c r="D59" s="84" t="str">
        <f>IF(E59="","Oat",E59)</f>
        <v>Oat</v>
      </c>
      <c r="E59" s="66"/>
      <c r="F59" s="61" t="s">
        <v>131</v>
      </c>
      <c r="G59" s="84">
        <f>IF(H59="",VLOOKUP(FollowingCropFullName,CropCoefficients,22,FALSE),H59)</f>
        <v>0</v>
      </c>
      <c r="H59" s="72"/>
      <c r="R59" s="83">
        <f ca="1"/>
        <v>45165</v>
      </c>
      <c r="S59" s="55">
        <f t="shared" ca="1" si="11"/>
        <v>45165</v>
      </c>
      <c r="T59" s="55">
        <f t="shared" ca="1" si="0"/>
        <v>51.746033162784499</v>
      </c>
      <c r="U59" s="55">
        <f t="shared" ca="1" si="1"/>
        <v>0</v>
      </c>
      <c r="V59" s="55">
        <f t="shared" ca="1" si="2"/>
        <v>0</v>
      </c>
      <c r="W59" s="55">
        <f t="shared" ca="1" si="12"/>
        <v>0</v>
      </c>
      <c r="X59" s="55">
        <f t="shared" ca="1" si="13"/>
        <v>8.2393806598605117</v>
      </c>
      <c r="Y59" s="55">
        <f t="shared" ca="1" si="14"/>
        <v>-6.3840643125939405</v>
      </c>
      <c r="Z59">
        <f t="shared" ca="1" si="3"/>
        <v>109.64666247961591</v>
      </c>
      <c r="AA59">
        <f t="shared" ca="1" si="15"/>
        <v>0</v>
      </c>
      <c r="AB59">
        <f t="shared" ca="1" si="4"/>
        <v>0</v>
      </c>
      <c r="AC59">
        <f t="shared" ca="1" si="5"/>
        <v>0</v>
      </c>
      <c r="AD59" s="83">
        <f ca="1"/>
        <v>45333</v>
      </c>
      <c r="AE59" s="55">
        <f t="shared" ca="1" si="20"/>
        <v>45333</v>
      </c>
      <c r="AF59" s="55">
        <f t="shared" ca="1" si="21"/>
        <v>11.861691953345527</v>
      </c>
      <c r="AG59" s="55">
        <f t="shared" ca="1" si="22"/>
        <v>7.1336344134491618</v>
      </c>
      <c r="AH59" s="55">
        <f t="shared" ca="1" si="23"/>
        <v>0</v>
      </c>
      <c r="AI59" s="55">
        <f t="shared" ca="1" si="17"/>
        <v>0</v>
      </c>
      <c r="AJ59" s="55">
        <f t="shared" ca="1" si="18"/>
        <v>10.947345219383575</v>
      </c>
      <c r="AK59" s="55">
        <f t="shared" ca="1" si="19"/>
        <v>-21.928476535123966</v>
      </c>
    </row>
    <row r="60" spans="2:37" s="55" customFormat="1">
      <c r="C60" s="61" t="s">
        <v>94</v>
      </c>
      <c r="D60" s="84" t="str">
        <f>IF(E60="","General",E60)</f>
        <v>General</v>
      </c>
      <c r="E60" s="66"/>
      <c r="F60" s="61" t="s">
        <v>130</v>
      </c>
      <c r="G60" s="84">
        <f>IF(H60="",VLOOKUP(FollowingCropFullName,CropCoefficients,26,FALSE),H60)</f>
        <v>0</v>
      </c>
      <c r="H60" s="72"/>
      <c r="R60" s="83">
        <f ca="1"/>
        <v>45166</v>
      </c>
      <c r="S60" s="55">
        <f t="shared" ca="1" si="11"/>
        <v>45166</v>
      </c>
      <c r="T60" s="55">
        <f t="shared" ca="1" si="0"/>
        <v>51.956191487436165</v>
      </c>
      <c r="U60" s="55">
        <f t="shared" ca="1" si="1"/>
        <v>0.96524946299463588</v>
      </c>
      <c r="V60" s="55">
        <f t="shared" ca="1" si="2"/>
        <v>0</v>
      </c>
      <c r="W60" s="55">
        <f t="shared" ca="1" si="12"/>
        <v>0</v>
      </c>
      <c r="X60" s="55">
        <f t="shared" ca="1" si="13"/>
        <v>8.5341782505485497</v>
      </c>
      <c r="Y60" s="55">
        <f t="shared" ca="1" si="14"/>
        <v>-6.4687035786303193</v>
      </c>
      <c r="Z60">
        <f t="shared" ca="1" si="3"/>
        <v>106.81010227033811</v>
      </c>
      <c r="AA60">
        <f t="shared" ca="1" si="15"/>
        <v>0</v>
      </c>
      <c r="AB60">
        <f t="shared" ca="1" si="4"/>
        <v>0</v>
      </c>
      <c r="AC60">
        <f t="shared" ca="1" si="5"/>
        <v>5.0196381932136411E-3</v>
      </c>
      <c r="AD60" s="83">
        <f ca="1"/>
        <v>45334</v>
      </c>
      <c r="AE60" s="55">
        <f t="shared" ca="1" si="20"/>
        <v>45334</v>
      </c>
      <c r="AF60" s="55">
        <f t="shared" ca="1" si="21"/>
        <v>11.460999294145413</v>
      </c>
      <c r="AG60" s="55">
        <f t="shared" ca="1" si="22"/>
        <v>7.5632406842893056</v>
      </c>
      <c r="AH60" s="55">
        <f t="shared" ca="1" si="23"/>
        <v>0</v>
      </c>
      <c r="AI60" s="55">
        <f t="shared" ca="1" si="17"/>
        <v>0</v>
      </c>
      <c r="AJ60" s="55">
        <f t="shared" ca="1" si="18"/>
        <v>11.219775508105318</v>
      </c>
      <c r="AK60" s="55">
        <f t="shared" ca="1" si="19"/>
        <v>-22.171993212205681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146</v>
      </c>
      <c r="D61" s="65" t="str">
        <f>FollowingCropName&amp;" "&amp;FollowingCropType&amp;" "&amp;FollowingCropVariety</f>
        <v>Oat Fodder General</v>
      </c>
      <c r="F61" s="56"/>
      <c r="R61" s="83">
        <f ca="1"/>
        <v>45167</v>
      </c>
      <c r="S61" s="55">
        <f t="shared" ca="1" si="11"/>
        <v>45167</v>
      </c>
      <c r="T61" s="55">
        <f t="shared" ca="1" si="0"/>
        <v>52.153885080529697</v>
      </c>
      <c r="U61" s="55">
        <f t="shared" ca="1" si="1"/>
        <v>0.96524946299463588</v>
      </c>
      <c r="V61" s="55">
        <f t="shared" ca="1" si="2"/>
        <v>0</v>
      </c>
      <c r="W61" s="55">
        <f t="shared" ca="1" si="12"/>
        <v>0</v>
      </c>
      <c r="X61" s="55">
        <f t="shared" ca="1" si="13"/>
        <v>8.8114250870428457</v>
      </c>
      <c r="Y61" s="55">
        <f t="shared" ca="1" si="14"/>
        <v>-6.5482568220310808</v>
      </c>
      <c r="Z61">
        <f t="shared" ca="1" si="3"/>
        <v>104.4696394834674</v>
      </c>
      <c r="AA61">
        <f t="shared" ca="1" si="15"/>
        <v>0</v>
      </c>
      <c r="AB61">
        <f t="shared" ca="1" si="4"/>
        <v>0</v>
      </c>
      <c r="AC61">
        <f t="shared" ca="1" si="5"/>
        <v>5.0196381932136411E-3</v>
      </c>
      <c r="AD61" s="83">
        <f ca="1"/>
        <v>45335</v>
      </c>
      <c r="AE61" s="55">
        <f t="shared" ca="1" si="20"/>
        <v>45335</v>
      </c>
      <c r="AF61" s="55">
        <f t="shared" ca="1" si="21"/>
        <v>11.065030977240493</v>
      </c>
      <c r="AG61" s="55">
        <f t="shared" ca="1" si="22"/>
        <v>7.9767736449942337</v>
      </c>
      <c r="AH61" s="55">
        <f t="shared" ca="1" si="23"/>
        <v>0</v>
      </c>
      <c r="AI61" s="55">
        <f t="shared" ca="1" si="17"/>
        <v>0</v>
      </c>
      <c r="AJ61" s="55">
        <f t="shared" ca="1" si="18"/>
        <v>11.462965996813086</v>
      </c>
      <c r="AK61" s="55">
        <f t="shared" ca="1" si="19"/>
        <v>-22.397619057113442</v>
      </c>
    </row>
    <row r="62" spans="2:37" s="55" customFormat="1">
      <c r="C62" s="61" t="s">
        <v>4</v>
      </c>
      <c r="D62" s="68">
        <f ca="1">IF(E62="",CurrentHarvestDate+15,E62)</f>
        <v>45306</v>
      </c>
      <c r="E62" s="67"/>
      <c r="F62" s="61" t="s">
        <v>141</v>
      </c>
      <c r="G62" s="84" t="str">
        <f>IF(H62="",VLOOKUP(FollowingCropFullName,CropCoefficients,13,FALSE),H62)</f>
        <v>Seed</v>
      </c>
      <c r="H62" s="72"/>
      <c r="R62" s="83">
        <f ca="1"/>
        <v>45168</v>
      </c>
      <c r="S62" s="55">
        <f t="shared" ca="1" si="11"/>
        <v>45168</v>
      </c>
      <c r="T62" s="55">
        <f t="shared" ca="1" si="0"/>
        <v>52.359457053259703</v>
      </c>
      <c r="U62" s="55">
        <f t="shared" ca="1" si="1"/>
        <v>0.96524946299463588</v>
      </c>
      <c r="V62" s="55">
        <f t="shared" ca="1" si="2"/>
        <v>0</v>
      </c>
      <c r="W62" s="55">
        <f t="shared" ca="1" si="12"/>
        <v>0</v>
      </c>
      <c r="X62" s="55">
        <f t="shared" ca="1" si="13"/>
        <v>9.0967512386743916</v>
      </c>
      <c r="Y62" s="55">
        <f t="shared" ca="1" si="14"/>
        <v>-6.6280110009326201</v>
      </c>
      <c r="Z62">
        <f t="shared" ca="1" si="3"/>
        <v>101.43211828950396</v>
      </c>
      <c r="AA62">
        <f t="shared" ca="1" si="15"/>
        <v>0</v>
      </c>
      <c r="AB62">
        <f t="shared" ca="1" si="4"/>
        <v>0</v>
      </c>
      <c r="AC62">
        <f t="shared" ca="1" si="5"/>
        <v>5.0196381932136411E-3</v>
      </c>
      <c r="AD62" s="83">
        <f ca="1"/>
        <v>45336</v>
      </c>
      <c r="AE62" s="55">
        <f t="shared" ca="1" si="20"/>
        <v>45336</v>
      </c>
      <c r="AF62" s="55">
        <f t="shared" ca="1" si="21"/>
        <v>10.640277935290612</v>
      </c>
      <c r="AG62" s="55">
        <f t="shared" ca="1" si="22"/>
        <v>8.3981494759206559</v>
      </c>
      <c r="AH62" s="55">
        <f t="shared" ca="1" si="23"/>
        <v>0</v>
      </c>
      <c r="AI62" s="55">
        <f t="shared" ca="1" si="17"/>
        <v>0</v>
      </c>
      <c r="AJ62" s="55">
        <f t="shared" ca="1" si="18"/>
        <v>11.701666667212276</v>
      </c>
      <c r="AK62" s="55">
        <f t="shared" ca="1" si="19"/>
        <v>-22.63969693853609</v>
      </c>
    </row>
    <row r="63" spans="2:37" s="55" customFormat="1">
      <c r="C63" s="61" t="s">
        <v>5</v>
      </c>
      <c r="D63" s="68">
        <f ca="1">IF(E63="",FollowingEstablishDate+120,E63)</f>
        <v>45426</v>
      </c>
      <c r="E63" s="67"/>
      <c r="F63" s="61" t="s">
        <v>142</v>
      </c>
      <c r="G63" s="84" t="str">
        <f>IF(H63="",VLOOKUP(FollowingCropFullName,CropCoefficients,15,FALSE),H63)</f>
        <v>EarlyReproductive</v>
      </c>
      <c r="H63" s="72"/>
      <c r="R63" s="83">
        <f ca="1"/>
        <v>45169</v>
      </c>
      <c r="S63" s="55">
        <f t="shared" ca="1" si="11"/>
        <v>45169</v>
      </c>
      <c r="T63" s="55">
        <f t="shared" ca="1" si="0"/>
        <v>52.537367819832653</v>
      </c>
      <c r="U63" s="55">
        <f t="shared" ca="1" si="1"/>
        <v>0.96524946299463588</v>
      </c>
      <c r="V63" s="55">
        <f t="shared" ca="1" si="2"/>
        <v>0</v>
      </c>
      <c r="W63" s="55">
        <f t="shared" ca="1" si="12"/>
        <v>0</v>
      </c>
      <c r="X63" s="55">
        <f t="shared" ca="1" si="13"/>
        <v>9.3467743476935556</v>
      </c>
      <c r="Y63" s="55">
        <f t="shared" ca="1" si="14"/>
        <v>-6.7001233433788343</v>
      </c>
      <c r="Z63">
        <f t="shared" ca="1" si="3"/>
        <v>97.895374033898605</v>
      </c>
      <c r="AA63">
        <f t="shared" ca="1" si="15"/>
        <v>0</v>
      </c>
      <c r="AB63">
        <f t="shared" ca="1" si="4"/>
        <v>0</v>
      </c>
      <c r="AC63">
        <f t="shared" ca="1" si="5"/>
        <v>5.0196381932136411E-3</v>
      </c>
      <c r="AD63" s="83">
        <f ca="1"/>
        <v>45337</v>
      </c>
      <c r="AE63" s="55">
        <f t="shared" ca="1" si="20"/>
        <v>45337</v>
      </c>
      <c r="AF63" s="55">
        <f t="shared" ca="1" si="21"/>
        <v>10.197654191145388</v>
      </c>
      <c r="AG63" s="55">
        <f t="shared" ca="1" si="22"/>
        <v>8.8288723702968497</v>
      </c>
      <c r="AH63" s="55">
        <f t="shared" ca="1" si="23"/>
        <v>0</v>
      </c>
      <c r="AI63" s="55">
        <f t="shared" ca="1" si="17"/>
        <v>0</v>
      </c>
      <c r="AJ63" s="55">
        <f t="shared" ca="1" si="18"/>
        <v>11.935610779919362</v>
      </c>
      <c r="AK63" s="55">
        <f t="shared" ca="1" si="19"/>
        <v>-22.885541901012207</v>
      </c>
    </row>
    <row r="64" spans="2:37" s="54" customFormat="1">
      <c r="B64" s="55"/>
      <c r="C64" s="61" t="s">
        <v>132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45170</v>
      </c>
      <c r="S64" s="55">
        <f t="shared" ca="1" si="11"/>
        <v>45170</v>
      </c>
      <c r="T64" s="55">
        <f t="shared" ca="1" si="0"/>
        <v>52.723656514669777</v>
      </c>
      <c r="U64" s="55">
        <f t="shared" ca="1" si="1"/>
        <v>0.96524946299463588</v>
      </c>
      <c r="V64" s="55">
        <f t="shared" ca="1" si="2"/>
        <v>0</v>
      </c>
      <c r="W64" s="55">
        <f t="shared" ca="1" si="12"/>
        <v>0</v>
      </c>
      <c r="X64" s="55">
        <f t="shared" ca="1" si="13"/>
        <v>9.6058081278281584</v>
      </c>
      <c r="Y64" s="55">
        <f t="shared" ca="1" si="14"/>
        <v>-6.772868428676313</v>
      </c>
      <c r="Z64">
        <f t="shared" ca="1" si="3"/>
        <v>94.591755793926268</v>
      </c>
      <c r="AA64">
        <f t="shared" ca="1" si="15"/>
        <v>0</v>
      </c>
      <c r="AB64">
        <f t="shared" ca="1" si="4"/>
        <v>0</v>
      </c>
      <c r="AC64">
        <f t="shared" ca="1" si="5"/>
        <v>5.0196381932136411E-3</v>
      </c>
      <c r="AD64" s="83">
        <f ca="1"/>
        <v>45338</v>
      </c>
      <c r="AE64" s="55">
        <f t="shared" ca="1" si="20"/>
        <v>45338</v>
      </c>
      <c r="AF64" s="55">
        <f t="shared" ca="1" si="21"/>
        <v>9.7296018896185981</v>
      </c>
      <c r="AG64" s="55">
        <f t="shared" ca="1" si="22"/>
        <v>9.2977812513583054</v>
      </c>
      <c r="AH64" s="55">
        <f t="shared" ca="1" si="23"/>
        <v>0</v>
      </c>
      <c r="AI64" s="55">
        <f t="shared" ca="1" si="17"/>
        <v>0</v>
      </c>
      <c r="AJ64" s="55">
        <f t="shared" ca="1" si="18"/>
        <v>12.179444968437096</v>
      </c>
      <c r="AK64" s="55">
        <f t="shared" ca="1" si="19"/>
        <v>-23.128519509995275</v>
      </c>
    </row>
    <row r="65" spans="2:37" s="55" customFormat="1">
      <c r="C65" s="61" t="s">
        <v>96</v>
      </c>
      <c r="D65" s="70">
        <f>IF(E65="",VLOOKUP(FollowingCropFullName,CropCoefficients,17,FALSE),E65)</f>
        <v>10</v>
      </c>
      <c r="E65" s="69"/>
      <c r="F65" s="61" t="s">
        <v>144</v>
      </c>
      <c r="G65" s="85" t="str">
        <f>IF(H65="","None removed",H65)</f>
        <v>None removed</v>
      </c>
      <c r="H65" s="72"/>
      <c r="R65" s="83">
        <f ca="1"/>
        <v>45171</v>
      </c>
      <c r="S65" s="55">
        <f t="shared" ca="1" si="11"/>
        <v>45171</v>
      </c>
      <c r="T65" s="55">
        <f t="shared" ca="1" si="0"/>
        <v>52.913615789381382</v>
      </c>
      <c r="U65" s="55">
        <f t="shared" ca="1" si="1"/>
        <v>0.96524946299463588</v>
      </c>
      <c r="V65" s="55">
        <f t="shared" ca="1" si="2"/>
        <v>0</v>
      </c>
      <c r="W65" s="55">
        <f t="shared" ca="1" si="12"/>
        <v>0</v>
      </c>
      <c r="X65" s="55">
        <f t="shared" ca="1" si="13"/>
        <v>9.8678507239730067</v>
      </c>
      <c r="Y65" s="55">
        <f t="shared" ca="1" si="14"/>
        <v>-6.8449517501095549</v>
      </c>
      <c r="Z65">
        <f t="shared" ca="1" si="3"/>
        <v>91.419163296698827</v>
      </c>
      <c r="AA65">
        <f t="shared" ca="1" si="15"/>
        <v>0</v>
      </c>
      <c r="AB65">
        <f t="shared" ca="1" si="4"/>
        <v>0</v>
      </c>
      <c r="AC65">
        <f t="shared" ca="1" si="5"/>
        <v>5.0196381932136411E-3</v>
      </c>
      <c r="AD65" s="83">
        <f ca="1"/>
        <v>45339</v>
      </c>
      <c r="AE65" s="55">
        <f t="shared" ca="1" si="20"/>
        <v>45339</v>
      </c>
      <c r="AF65" s="55">
        <f t="shared" ca="1" si="21"/>
        <v>9.2163813693273013</v>
      </c>
      <c r="AG65" s="55">
        <f t="shared" ca="1" si="22"/>
        <v>9.8257544841377733</v>
      </c>
      <c r="AH65" s="55">
        <f t="shared" ca="1" si="23"/>
        <v>0</v>
      </c>
      <c r="AI65" s="55">
        <f t="shared" ca="1" si="17"/>
        <v>0</v>
      </c>
      <c r="AJ65" s="55">
        <f t="shared" ca="1" si="18"/>
        <v>12.444850494974769</v>
      </c>
      <c r="AK65" s="55">
        <f t="shared" ca="1" si="19"/>
        <v>-23.379172324044777</v>
      </c>
    </row>
    <row r="66" spans="2:37" s="55" customFormat="1">
      <c r="C66" s="61" t="s">
        <v>13</v>
      </c>
      <c r="D66" s="84" t="str">
        <f>IF(E66="",VLOOKUP(FollowingCropFullName,CropCoefficients,18,FALSE),E66)</f>
        <v>t/ha</v>
      </c>
      <c r="E66" s="71"/>
      <c r="F66" s="57" t="s">
        <v>154</v>
      </c>
      <c r="G66" s="85" t="str">
        <f>IF(H66="","Full (Plough)",H66)</f>
        <v>Full (Plough)</v>
      </c>
      <c r="H66" s="72"/>
      <c r="R66" s="83">
        <f ca="1"/>
        <v>45172</v>
      </c>
      <c r="S66" s="55">
        <f t="shared" ca="1" si="11"/>
        <v>45172</v>
      </c>
      <c r="T66" s="55">
        <f t="shared" ca="1" si="0"/>
        <v>53.092380406715769</v>
      </c>
      <c r="U66" s="55">
        <f t="shared" ca="1" si="1"/>
        <v>0.96524946299463588</v>
      </c>
      <c r="V66" s="55">
        <f t="shared" ca="1" si="2"/>
        <v>0</v>
      </c>
      <c r="W66" s="55">
        <f t="shared" ca="1" si="12"/>
        <v>0</v>
      </c>
      <c r="X66" s="55">
        <f t="shared" ca="1" si="13"/>
        <v>10.11447285781226</v>
      </c>
      <c r="Y66" s="55">
        <f t="shared" ca="1" si="14"/>
        <v>-6.9128092666144223</v>
      </c>
      <c r="Z66">
        <f t="shared" ca="1" si="3"/>
        <v>88.50390356450832</v>
      </c>
      <c r="AA66">
        <f t="shared" ca="1" si="15"/>
        <v>0</v>
      </c>
      <c r="AB66">
        <f t="shared" ca="1" si="4"/>
        <v>0</v>
      </c>
      <c r="AC66">
        <f t="shared" ca="1" si="5"/>
        <v>5.0196381932136411E-3</v>
      </c>
      <c r="AD66" s="83">
        <f ca="1"/>
        <v>45340</v>
      </c>
      <c r="AE66" s="55">
        <f t="shared" ca="1" si="20"/>
        <v>45340</v>
      </c>
      <c r="AF66" s="55">
        <f t="shared" ca="1" si="21"/>
        <v>8.6592407694296725</v>
      </c>
      <c r="AG66" s="55">
        <f t="shared" ca="1" si="22"/>
        <v>10.395887073766046</v>
      </c>
      <c r="AH66" s="55">
        <f t="shared" ca="1" si="23"/>
        <v>0</v>
      </c>
      <c r="AI66" s="55">
        <f t="shared" ca="1" si="17"/>
        <v>0</v>
      </c>
      <c r="AJ66" s="55">
        <f t="shared" ca="1" si="18"/>
        <v>12.721792826166382</v>
      </c>
      <c r="AK66" s="55">
        <f t="shared" ca="1" si="19"/>
        <v>-23.643122665505746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Interface'!K5,0)&amp;" kg N/ha"</f>
        <v>Following crop will take up 154 kg N/ha</v>
      </c>
      <c r="R67" s="83">
        <f ca="1"/>
        <v>45173</v>
      </c>
      <c r="S67" s="55">
        <f t="shared" ca="1" si="11"/>
        <v>45173</v>
      </c>
      <c r="T67" s="55">
        <f t="shared" ca="1" si="0"/>
        <v>53.265551700199246</v>
      </c>
      <c r="U67" s="55">
        <f t="shared" ca="1" si="1"/>
        <v>0.96524946299463588</v>
      </c>
      <c r="V67" s="55">
        <f t="shared" ca="1" si="2"/>
        <v>0</v>
      </c>
      <c r="W67" s="55">
        <f t="shared" ca="1" si="12"/>
        <v>0</v>
      </c>
      <c r="X67" s="55">
        <f t="shared" ca="1" si="13"/>
        <v>10.352639811113304</v>
      </c>
      <c r="Y67" s="55">
        <f t="shared" ca="1" si="14"/>
        <v>-6.9778049264319932</v>
      </c>
      <c r="Z67">
        <f t="shared" ca="1" si="3"/>
        <v>85.618414570788886</v>
      </c>
      <c r="AA67">
        <f t="shared" ca="1" si="15"/>
        <v>0</v>
      </c>
      <c r="AB67">
        <f t="shared" ca="1" si="4"/>
        <v>0</v>
      </c>
      <c r="AC67">
        <f t="shared" ca="1" si="5"/>
        <v>5.0196381932136411E-3</v>
      </c>
      <c r="AD67" s="83">
        <f ca="1"/>
        <v>45341</v>
      </c>
      <c r="AE67" s="55">
        <f t="shared" ca="1" si="20"/>
        <v>45341</v>
      </c>
      <c r="AF67" s="55">
        <f t="shared" ca="1" si="21"/>
        <v>8.112779864102011</v>
      </c>
      <c r="AG67" s="55">
        <f t="shared" ca="1" si="22"/>
        <v>10.976998793933488</v>
      </c>
      <c r="AH67" s="55">
        <f t="shared" ca="1" si="23"/>
        <v>0</v>
      </c>
      <c r="AI67" s="55">
        <f t="shared" ca="1" si="17"/>
        <v>0</v>
      </c>
      <c r="AJ67" s="55">
        <f t="shared" ca="1" si="18"/>
        <v>12.982280535318333</v>
      </c>
      <c r="AK67" s="55">
        <f t="shared" ca="1" si="19"/>
        <v>-23.868959559817917</v>
      </c>
    </row>
    <row r="68" spans="2:37" ht="15" thickBot="1">
      <c r="C68" s="131" t="s">
        <v>181</v>
      </c>
      <c r="D68" s="131"/>
      <c r="E68" s="131"/>
      <c r="F68" s="131"/>
      <c r="G68" s="131"/>
      <c r="H68" s="131"/>
      <c r="R68" s="83">
        <f ca="1"/>
        <v>45174</v>
      </c>
      <c r="S68" s="55">
        <f t="shared" ca="1" si="11"/>
        <v>45174</v>
      </c>
      <c r="T68" s="55">
        <f t="shared" ca="1" si="0"/>
        <v>53.430046303907574</v>
      </c>
      <c r="U68" s="55">
        <f t="shared" ca="1" si="1"/>
        <v>0.96524946299463588</v>
      </c>
      <c r="V68" s="55">
        <f t="shared" ca="1" si="2"/>
        <v>0</v>
      </c>
      <c r="W68" s="55">
        <f t="shared" ca="1" si="12"/>
        <v>0</v>
      </c>
      <c r="X68" s="55">
        <f t="shared" ca="1" si="13"/>
        <v>10.578484361180141</v>
      </c>
      <c r="Y68" s="55">
        <f t="shared" ca="1" si="14"/>
        <v>-7.0391548727905047</v>
      </c>
      <c r="Z68">
        <f t="shared" ca="1" si="3"/>
        <v>83.058416323433207</v>
      </c>
      <c r="AA68">
        <f t="shared" ca="1" si="15"/>
        <v>0</v>
      </c>
      <c r="AB68">
        <f t="shared" ca="1" si="4"/>
        <v>0</v>
      </c>
      <c r="AC68">
        <f t="shared" ca="1" si="5"/>
        <v>5.0196381932136411E-3</v>
      </c>
      <c r="AD68" s="83">
        <f ca="1"/>
        <v>45342</v>
      </c>
      <c r="AE68" s="55">
        <f t="shared" ca="1" si="20"/>
        <v>45342</v>
      </c>
      <c r="AF68" s="55">
        <f t="shared" ca="1" si="21"/>
        <v>7.5346010782818258</v>
      </c>
      <c r="AG68" s="55">
        <f t="shared" ca="1" si="22"/>
        <v>11.576613686565489</v>
      </c>
      <c r="AH68" s="55">
        <f t="shared" ca="1" si="23"/>
        <v>0</v>
      </c>
      <c r="AI68" s="55">
        <f t="shared" ca="1" si="17"/>
        <v>0</v>
      </c>
      <c r="AJ68" s="55">
        <f t="shared" ca="1" si="18"/>
        <v>13.241564046018263</v>
      </c>
      <c r="AK68" s="55">
        <f t="shared" ca="1" si="19"/>
        <v>-24.106806963706031</v>
      </c>
    </row>
    <row r="69" spans="2:37">
      <c r="C69" s="61"/>
      <c r="D69" s="88"/>
      <c r="E69" s="99"/>
      <c r="R69" s="83">
        <f ca="1"/>
        <v>45175</v>
      </c>
      <c r="S69" s="55">
        <f t="shared" ca="1" si="11"/>
        <v>45175</v>
      </c>
      <c r="T69" s="55">
        <f t="shared" ca="1" si="0"/>
        <v>53.598258322870713</v>
      </c>
      <c r="U69" s="55">
        <f t="shared" ca="1" si="1"/>
        <v>0.96524946299463588</v>
      </c>
      <c r="V69" s="55">
        <f t="shared" ca="1" si="2"/>
        <v>0</v>
      </c>
      <c r="W69" s="55">
        <f t="shared" ca="1" si="12"/>
        <v>0</v>
      </c>
      <c r="X69" s="55">
        <f t="shared" ca="1" si="13"/>
        <v>10.807312161015357</v>
      </c>
      <c r="Y69" s="55">
        <f t="shared" ca="1" si="14"/>
        <v>-7.0997706536625804</v>
      </c>
      <c r="Z69">
        <f t="shared" ca="1" si="3"/>
        <v>80.243694225526397</v>
      </c>
      <c r="AA69">
        <f t="shared" ca="1" si="15"/>
        <v>0</v>
      </c>
      <c r="AB69">
        <f t="shared" ca="1" si="4"/>
        <v>0</v>
      </c>
      <c r="AC69">
        <f t="shared" ca="1" si="5"/>
        <v>5.0196381932136411E-3</v>
      </c>
      <c r="AD69" s="83">
        <f ca="1"/>
        <v>45343</v>
      </c>
      <c r="AE69" s="55">
        <f t="shared" ca="1" si="20"/>
        <v>45343</v>
      </c>
      <c r="AF69" s="55">
        <f t="shared" ca="1" si="21"/>
        <v>6.9433781750068047</v>
      </c>
      <c r="AG69" s="55">
        <f t="shared" ca="1" si="22"/>
        <v>12.208621591066404</v>
      </c>
      <c r="AH69" s="55">
        <f t="shared" ca="1" si="23"/>
        <v>0</v>
      </c>
      <c r="AI69" s="55">
        <f t="shared" ca="1" si="17"/>
        <v>0</v>
      </c>
      <c r="AJ69" s="55">
        <f t="shared" ca="1" si="18"/>
        <v>13.498004994418014</v>
      </c>
      <c r="AK69" s="55">
        <f t="shared" ca="1" si="19"/>
        <v>-24.322462910879889</v>
      </c>
    </row>
    <row r="70" spans="2:37">
      <c r="C70" s="61"/>
      <c r="D70" s="84"/>
      <c r="E70" s="69"/>
      <c r="R70" s="83">
        <f ca="1"/>
        <v>45176</v>
      </c>
      <c r="S70" s="55">
        <f t="shared" ca="1" si="11"/>
        <v>45176</v>
      </c>
      <c r="T70" s="55">
        <f t="shared" ca="1" si="0"/>
        <v>53.761861401390298</v>
      </c>
      <c r="U70" s="55">
        <f t="shared" ca="1" si="1"/>
        <v>0.96524946299463588</v>
      </c>
      <c r="V70" s="55">
        <f t="shared" ca="1" si="2"/>
        <v>0</v>
      </c>
      <c r="W70" s="55">
        <f t="shared" ca="1" si="12"/>
        <v>0</v>
      </c>
      <c r="X70" s="55">
        <f t="shared" ca="1" si="13"/>
        <v>11.029217034154703</v>
      </c>
      <c r="Y70" s="55">
        <f t="shared" ca="1" si="14"/>
        <v>-7.158072448282339</v>
      </c>
      <c r="Z70">
        <f t="shared" ca="1" si="3"/>
        <v>76.925723651800922</v>
      </c>
      <c r="AA70">
        <f t="shared" ca="1" si="15"/>
        <v>0</v>
      </c>
      <c r="AB70">
        <f t="shared" ca="1" si="4"/>
        <v>0</v>
      </c>
      <c r="AC70">
        <f t="shared" ca="1" si="5"/>
        <v>5.0196381932136411E-3</v>
      </c>
      <c r="AD70" s="83">
        <f ca="1"/>
        <v>45344</v>
      </c>
      <c r="AE70" s="55">
        <f t="shared" ca="1" si="20"/>
        <v>45344</v>
      </c>
      <c r="AF70" s="55">
        <f t="shared" ca="1" si="21"/>
        <v>6.3351887701856278</v>
      </c>
      <c r="AG70" s="55">
        <f t="shared" ca="1" si="22"/>
        <v>12.860365962906098</v>
      </c>
      <c r="AH70" s="55">
        <f t="shared" ca="1" si="23"/>
        <v>0</v>
      </c>
      <c r="AI70" s="55">
        <f t="shared" ca="1" si="17"/>
        <v>0</v>
      </c>
      <c r="AJ70" s="55">
        <f t="shared" ca="1" si="18"/>
        <v>13.748891458216184</v>
      </c>
      <c r="AK70" s="55">
        <f t="shared" ca="1" si="19"/>
        <v>-24.529794407659541</v>
      </c>
    </row>
    <row r="71" spans="2:37">
      <c r="C71" s="61"/>
      <c r="D71" s="84"/>
      <c r="E71" s="69"/>
      <c r="R71" s="83">
        <f ca="1"/>
        <v>45177</v>
      </c>
      <c r="S71" s="55">
        <f t="shared" ca="1" si="11"/>
        <v>45177</v>
      </c>
      <c r="T71" s="55">
        <f t="shared" ca="1" si="0"/>
        <v>53.914366269600379</v>
      </c>
      <c r="U71" s="55">
        <f t="shared" ca="1" si="1"/>
        <v>0.96524946299463588</v>
      </c>
      <c r="V71" s="55">
        <f t="shared" ca="1" si="2"/>
        <v>0</v>
      </c>
      <c r="W71" s="55">
        <f t="shared" ca="1" si="12"/>
        <v>0</v>
      </c>
      <c r="X71" s="55">
        <f t="shared" ca="1" si="13"/>
        <v>11.236146417788914</v>
      </c>
      <c r="Y71" s="55">
        <f t="shared" ca="1" si="14"/>
        <v>-7.2124969637064726</v>
      </c>
      <c r="Z71">
        <f t="shared" ca="1" si="3"/>
        <v>74.060051952808251</v>
      </c>
      <c r="AA71">
        <f t="shared" ca="1" si="15"/>
        <v>0</v>
      </c>
      <c r="AB71">
        <f t="shared" ca="1" si="4"/>
        <v>0</v>
      </c>
      <c r="AC71">
        <f t="shared" ca="1" si="5"/>
        <v>5.0196381932136411E-3</v>
      </c>
      <c r="AD71" s="83">
        <f ca="1"/>
        <v>45345</v>
      </c>
      <c r="AE71" s="55">
        <f t="shared" ca="1" si="20"/>
        <v>45345</v>
      </c>
      <c r="AF71" s="55">
        <f t="shared" ca="1" si="21"/>
        <v>5.7058841722547671</v>
      </c>
      <c r="AG71" s="55">
        <f t="shared" ca="1" si="22"/>
        <v>13.531810216180364</v>
      </c>
      <c r="AH71" s="55">
        <f t="shared" ca="1" si="23"/>
        <v>0</v>
      </c>
      <c r="AI71" s="55">
        <f t="shared" ca="1" si="17"/>
        <v>0</v>
      </c>
      <c r="AJ71" s="55">
        <f t="shared" ca="1" si="18"/>
        <v>13.995864860535804</v>
      </c>
      <c r="AK71" s="55">
        <f t="shared" ca="1" si="19"/>
        <v>-24.734628154635754</v>
      </c>
    </row>
    <row r="72" spans="2:37">
      <c r="C72" s="61"/>
      <c r="D72" s="84">
        <v>120</v>
      </c>
      <c r="E72" s="69">
        <v>120</v>
      </c>
      <c r="R72" s="83">
        <f ca="1"/>
        <v>45178</v>
      </c>
      <c r="S72" s="55">
        <f t="shared" ca="1" si="11"/>
        <v>45178</v>
      </c>
      <c r="T72" s="55">
        <f t="shared" ca="1" si="0"/>
        <v>54.053830177980522</v>
      </c>
      <c r="U72" s="55">
        <f t="shared" ca="1" si="1"/>
        <v>0.96524946299463588</v>
      </c>
      <c r="V72" s="55">
        <f t="shared" ca="1" si="2"/>
        <v>0</v>
      </c>
      <c r="W72" s="55">
        <f t="shared" ca="1" si="12"/>
        <v>0</v>
      </c>
      <c r="X72" s="55">
        <f t="shared" ca="1" si="13"/>
        <v>11.425723842492163</v>
      </c>
      <c r="Y72" s="55">
        <f t="shared" ca="1" si="14"/>
        <v>-7.2626104800295819</v>
      </c>
      <c r="Z72">
        <f t="shared" ca="1" si="3"/>
        <v>71.636244594220841</v>
      </c>
      <c r="AA72">
        <f t="shared" ca="1" si="15"/>
        <v>0</v>
      </c>
      <c r="AB72">
        <f t="shared" ca="1" si="4"/>
        <v>0</v>
      </c>
      <c r="AC72">
        <f t="shared" ca="1" si="5"/>
        <v>5.0196381932136411E-3</v>
      </c>
      <c r="AD72" s="83">
        <f ca="1"/>
        <v>45346</v>
      </c>
      <c r="AE72" s="55">
        <f t="shared" ca="1" si="20"/>
        <v>45346</v>
      </c>
      <c r="AF72" s="55">
        <f t="shared" ca="1" si="21"/>
        <v>5.0204910071101434</v>
      </c>
      <c r="AG72" s="55">
        <f t="shared" ca="1" si="22"/>
        <v>14.266846071466363</v>
      </c>
      <c r="AH72" s="55">
        <f t="shared" ca="1" si="23"/>
        <v>0</v>
      </c>
      <c r="AI72" s="55">
        <f t="shared" ca="1" si="17"/>
        <v>0</v>
      </c>
      <c r="AJ72" s="55">
        <f t="shared" ca="1" si="18"/>
        <v>14.257884184845032</v>
      </c>
      <c r="AK72" s="55">
        <f t="shared" ca="1" si="19"/>
        <v>-24.947004788803607</v>
      </c>
    </row>
    <row r="73" spans="2:37">
      <c r="R73" s="83">
        <f ca="1"/>
        <v>45179</v>
      </c>
      <c r="S73" s="55">
        <f t="shared" ca="1" si="11"/>
        <v>45179</v>
      </c>
      <c r="T73" s="55">
        <f t="shared" ca="1" si="0"/>
        <v>54.206138083695521</v>
      </c>
      <c r="U73" s="55">
        <f t="shared" ca="1" si="1"/>
        <v>0.96524946299463588</v>
      </c>
      <c r="V73" s="55">
        <f t="shared" ca="1" si="2"/>
        <v>0</v>
      </c>
      <c r="W73" s="55">
        <f t="shared" ca="1" si="12"/>
        <v>0</v>
      </c>
      <c r="X73" s="55">
        <f t="shared" ca="1" si="13"/>
        <v>11.629419923624873</v>
      </c>
      <c r="Y73" s="55">
        <f t="shared" ca="1" si="14"/>
        <v>-7.3139986554472936</v>
      </c>
      <c r="Z73">
        <f t="shared" ca="1" si="3"/>
        <v>68.855470435344898</v>
      </c>
      <c r="AA73">
        <f t="shared" ca="1" si="15"/>
        <v>0</v>
      </c>
      <c r="AB73">
        <f t="shared" ca="1" si="4"/>
        <v>0</v>
      </c>
      <c r="AC73">
        <f t="shared" ca="1" si="5"/>
        <v>5.0196381932136411E-3</v>
      </c>
      <c r="AD73" s="83">
        <f ca="1"/>
        <v>45347</v>
      </c>
      <c r="AE73" s="55">
        <f t="shared" ca="1" si="20"/>
        <v>45347</v>
      </c>
      <c r="AF73" s="55">
        <f t="shared" ca="1" si="21"/>
        <v>4.3393544062183445</v>
      </c>
      <c r="AG73" s="55">
        <f t="shared" ca="1" si="22"/>
        <v>15.011109388671077</v>
      </c>
      <c r="AH73" s="55">
        <f t="shared" ca="1" si="23"/>
        <v>0</v>
      </c>
      <c r="AI73" s="55">
        <f t="shared" ca="1" si="17"/>
        <v>0</v>
      </c>
      <c r="AJ73" s="55">
        <f t="shared" ca="1" si="18"/>
        <v>14.504171572702212</v>
      </c>
      <c r="AK73" s="55">
        <f t="shared" ca="1" si="19"/>
        <v>-25.130165460347872</v>
      </c>
    </row>
    <row r="74" spans="2:37">
      <c r="R74" s="83">
        <f ca="1"/>
        <v>45180</v>
      </c>
      <c r="S74" s="55">
        <f t="shared" ca="1" si="11"/>
        <v>45180</v>
      </c>
      <c r="T74" s="55">
        <f t="shared" ca="1" si="0"/>
        <v>54.367896472659993</v>
      </c>
      <c r="U74" s="55">
        <f t="shared" ca="1" si="1"/>
        <v>0.96524946299463588</v>
      </c>
      <c r="V74" s="55">
        <f t="shared" ca="1" si="2"/>
        <v>0</v>
      </c>
      <c r="W74" s="55">
        <f t="shared" ca="1" si="12"/>
        <v>0</v>
      </c>
      <c r="X74" s="55">
        <f t="shared" ca="1" si="13"/>
        <v>11.842656021450718</v>
      </c>
      <c r="Y74" s="55">
        <f t="shared" ca="1" si="14"/>
        <v>-7.3654763643086625</v>
      </c>
      <c r="Z74">
        <f t="shared" ca="1" si="3"/>
        <v>66.631875011009697</v>
      </c>
      <c r="AA74">
        <f t="shared" ca="1" si="15"/>
        <v>0</v>
      </c>
      <c r="AB74">
        <f t="shared" ca="1" si="4"/>
        <v>0</v>
      </c>
      <c r="AC74">
        <f t="shared" ca="1" si="5"/>
        <v>5.0196381932136411E-3</v>
      </c>
      <c r="AD74" s="83">
        <f ca="1"/>
        <v>45348</v>
      </c>
      <c r="AE74" s="55">
        <f t="shared" ca="1" si="20"/>
        <v>45348</v>
      </c>
      <c r="AF74" s="55">
        <f t="shared" ca="1" si="21"/>
        <v>3.6204448161470273</v>
      </c>
      <c r="AG74" s="55">
        <f t="shared" ca="1" si="22"/>
        <v>15.791219083614568</v>
      </c>
      <c r="AH74" s="55">
        <f t="shared" ca="1" si="23"/>
        <v>0</v>
      </c>
      <c r="AI74" s="55">
        <f t="shared" ca="1" si="17"/>
        <v>0</v>
      </c>
      <c r="AJ74" s="55">
        <f t="shared" ca="1" si="18"/>
        <v>14.753391040371236</v>
      </c>
      <c r="AK74" s="55">
        <f t="shared" ca="1" si="19"/>
        <v>-25.318184823144723</v>
      </c>
    </row>
    <row r="75" spans="2:37">
      <c r="R75" s="83">
        <f ca="1"/>
        <v>45181</v>
      </c>
      <c r="S75" s="55">
        <f t="shared" ca="1" si="11"/>
        <v>45181</v>
      </c>
      <c r="T75" s="55">
        <f t="shared" ca="1" si="0"/>
        <v>54.525106570474733</v>
      </c>
      <c r="U75" s="55">
        <f t="shared" ca="1" si="1"/>
        <v>0.96524946299463588</v>
      </c>
      <c r="V75" s="55">
        <f t="shared" ca="1" si="2"/>
        <v>0</v>
      </c>
      <c r="W75" s="55">
        <f t="shared" ca="1" si="12"/>
        <v>0</v>
      </c>
      <c r="X75" s="55">
        <f t="shared" ca="1" si="13"/>
        <v>12.048600988398482</v>
      </c>
      <c r="Y75" s="55">
        <f t="shared" ca="1" si="14"/>
        <v>-7.414211233441681</v>
      </c>
      <c r="Z75">
        <f t="shared" ca="1" si="3"/>
        <v>64.296442207045203</v>
      </c>
      <c r="AA75">
        <f t="shared" ca="1" si="15"/>
        <v>0</v>
      </c>
      <c r="AB75">
        <f t="shared" ca="1" si="4"/>
        <v>0</v>
      </c>
      <c r="AC75">
        <f t="shared" ca="1" si="5"/>
        <v>5.0196381932136411E-3</v>
      </c>
      <c r="AD75" s="83">
        <f ca="1"/>
        <v>45349</v>
      </c>
      <c r="AE75" s="55">
        <f t="shared" ca="1" si="20"/>
        <v>45349</v>
      </c>
      <c r="AF75" s="55">
        <f t="shared" ca="1" si="21"/>
        <v>2.8713268071524247</v>
      </c>
      <c r="AG75" s="55">
        <f t="shared" ca="1" si="22"/>
        <v>16.609619085143873</v>
      </c>
      <c r="AH75" s="55">
        <f t="shared" ca="1" si="23"/>
        <v>0</v>
      </c>
      <c r="AI75" s="55">
        <f t="shared" ca="1" si="17"/>
        <v>0</v>
      </c>
      <c r="AJ75" s="55">
        <f t="shared" ca="1" si="18"/>
        <v>15.00227071225116</v>
      </c>
      <c r="AK75" s="55">
        <f t="shared" ca="1" si="19"/>
        <v>-25.497782502489944</v>
      </c>
    </row>
    <row r="76" spans="2:37">
      <c r="R76" s="83">
        <f ca="1"/>
        <v>45182</v>
      </c>
      <c r="S76" s="55">
        <f t="shared" ca="1" si="11"/>
        <v>45182</v>
      </c>
      <c r="T76" s="55">
        <f t="shared" ca="1" si="0"/>
        <v>54.676670645666391</v>
      </c>
      <c r="U76" s="55">
        <f t="shared" ca="1" si="1"/>
        <v>0.96524946299463588</v>
      </c>
      <c r="V76" s="55">
        <f t="shared" ca="1" si="2"/>
        <v>0</v>
      </c>
      <c r="W76" s="55">
        <f t="shared" ca="1" si="12"/>
        <v>0</v>
      </c>
      <c r="X76" s="55">
        <f t="shared" ca="1" si="13"/>
        <v>12.245815350452085</v>
      </c>
      <c r="Y76" s="55">
        <f t="shared" ca="1" si="14"/>
        <v>-7.4598615203036251</v>
      </c>
      <c r="Z76">
        <f t="shared" ca="1" si="3"/>
        <v>62.54735545631214</v>
      </c>
      <c r="AA76">
        <f t="shared" ca="1" si="15"/>
        <v>0</v>
      </c>
      <c r="AB76">
        <f t="shared" ca="1" si="4"/>
        <v>0</v>
      </c>
      <c r="AC76">
        <f t="shared" ca="1" si="5"/>
        <v>5.0196381932136411E-3</v>
      </c>
      <c r="AD76" s="83">
        <f ca="1"/>
        <v>45350</v>
      </c>
      <c r="AE76" s="55">
        <f t="shared" ca="1" si="20"/>
        <v>45350</v>
      </c>
      <c r="AF76" s="55">
        <f t="shared" ca="1" si="21"/>
        <v>2.0947872480253271</v>
      </c>
      <c r="AG76" s="55">
        <f t="shared" ca="1" si="22"/>
        <v>17.459773623091561</v>
      </c>
      <c r="AH76" s="55">
        <f t="shared" ca="1" si="23"/>
        <v>0</v>
      </c>
      <c r="AI76" s="55">
        <f t="shared" ca="1" si="17"/>
        <v>0</v>
      </c>
      <c r="AJ76" s="55">
        <f t="shared" ca="1" si="18"/>
        <v>15.248800326407281</v>
      </c>
      <c r="AK76" s="55">
        <f t="shared" ca="1" si="19"/>
        <v>-25.670697137825474</v>
      </c>
    </row>
    <row r="77" spans="2:37">
      <c r="R77" s="83">
        <f ca="1"/>
        <v>45183</v>
      </c>
      <c r="S77" s="55">
        <f t="shared" ca="1" si="11"/>
        <v>45183</v>
      </c>
      <c r="T77" s="55">
        <f t="shared" ca="1" si="0"/>
        <v>54.833068675327837</v>
      </c>
      <c r="U77" s="55">
        <f t="shared" ca="1" si="1"/>
        <v>0.96524946299463588</v>
      </c>
      <c r="V77" s="55">
        <f t="shared" ca="1" si="2"/>
        <v>0</v>
      </c>
      <c r="W77" s="55">
        <f t="shared" ca="1" si="12"/>
        <v>0</v>
      </c>
      <c r="X77" s="55">
        <f t="shared" ca="1" si="13"/>
        <v>12.447106740856979</v>
      </c>
      <c r="Y77" s="55">
        <f t="shared" ca="1" si="14"/>
        <v>-7.5047548810470719</v>
      </c>
      <c r="Z77">
        <f t="shared" ca="1" si="3"/>
        <v>60.055628943518641</v>
      </c>
      <c r="AA77">
        <f t="shared" ca="1" si="15"/>
        <v>0</v>
      </c>
      <c r="AB77">
        <f t="shared" ca="1" si="4"/>
        <v>0</v>
      </c>
      <c r="AC77">
        <f t="shared" ca="1" si="5"/>
        <v>5.0196381932136411E-3</v>
      </c>
      <c r="AD77" s="83">
        <f ca="1"/>
        <v>45351</v>
      </c>
      <c r="AE77" s="55">
        <f t="shared" ca="1" si="20"/>
        <v>45351</v>
      </c>
      <c r="AF77" s="55">
        <f t="shared" ca="1" si="21"/>
        <v>1.2840240729705035</v>
      </c>
      <c r="AG77" s="55">
        <f t="shared" ca="1" si="22"/>
        <v>18.359706748547449</v>
      </c>
      <c r="AH77" s="55">
        <f t="shared" ca="1" si="23"/>
        <v>0</v>
      </c>
      <c r="AI77" s="55">
        <f t="shared" ca="1" si="17"/>
        <v>0</v>
      </c>
      <c r="AJ77" s="55">
        <f t="shared" ca="1" si="18"/>
        <v>15.495201251473386</v>
      </c>
      <c r="AK77" s="55">
        <f t="shared" ca="1" si="19"/>
        <v>-25.827928112490515</v>
      </c>
    </row>
    <row r="78" spans="2:37">
      <c r="R78" s="83">
        <f ca="1"/>
        <v>45184</v>
      </c>
      <c r="S78" s="55">
        <f t="shared" ca="1" si="11"/>
        <v>45184</v>
      </c>
      <c r="T78" s="55">
        <f t="shared" ca="1" si="0"/>
        <v>55.00102183318937</v>
      </c>
      <c r="U78" s="55">
        <f t="shared" ca="1" si="1"/>
        <v>0.96524946299463588</v>
      </c>
      <c r="V78" s="55">
        <f t="shared" ca="1" si="2"/>
        <v>0</v>
      </c>
      <c r="W78" s="55">
        <f t="shared" ca="1" si="12"/>
        <v>0</v>
      </c>
      <c r="X78" s="55">
        <f t="shared" ca="1" si="13"/>
        <v>12.658050319946069</v>
      </c>
      <c r="Y78" s="55">
        <f t="shared" ca="1" si="14"/>
        <v>-7.5477453022746266</v>
      </c>
      <c r="Z78">
        <f t="shared" ca="1" si="3"/>
        <v>57.296614116961749</v>
      </c>
      <c r="AA78">
        <f t="shared" ca="1" si="15"/>
        <v>0</v>
      </c>
      <c r="AB78">
        <f t="shared" ca="1" si="4"/>
        <v>0</v>
      </c>
      <c r="AC78">
        <f t="shared" ca="1" si="5"/>
        <v>5.0196381932136411E-3</v>
      </c>
      <c r="AD78" s="83">
        <f ca="1"/>
        <v>45352</v>
      </c>
      <c r="AE78" s="55">
        <f t="shared" ca="1" si="20"/>
        <v>45352</v>
      </c>
      <c r="AF78" s="55">
        <f t="shared" ca="1" si="21"/>
        <v>0.44616484252670197</v>
      </c>
      <c r="AG78" s="55">
        <f t="shared" ca="1" si="22"/>
        <v>19.284430211124477</v>
      </c>
      <c r="AH78" s="55">
        <f t="shared" ca="1" si="23"/>
        <v>0</v>
      </c>
      <c r="AI78" s="55">
        <f t="shared" ca="1" si="17"/>
        <v>0</v>
      </c>
      <c r="AJ78" s="55">
        <f t="shared" ca="1" si="18"/>
        <v>15.73803213596188</v>
      </c>
      <c r="AK78" s="55">
        <f t="shared" ca="1" si="19"/>
        <v>-25.983894764845783</v>
      </c>
    </row>
    <row r="79" spans="2:37">
      <c r="R79" s="83">
        <f ca="1"/>
        <v>45185</v>
      </c>
      <c r="S79" s="55">
        <f t="shared" ca="1" si="11"/>
        <v>45185</v>
      </c>
      <c r="T79" s="55">
        <f t="shared" ca="1" si="0"/>
        <v>55.16362878700253</v>
      </c>
      <c r="U79" s="55">
        <f t="shared" ca="1" si="1"/>
        <v>0.96524946299463588</v>
      </c>
      <c r="V79" s="55">
        <f t="shared" ca="1" si="2"/>
        <v>0</v>
      </c>
      <c r="W79" s="55">
        <f t="shared" ca="1" si="12"/>
        <v>0</v>
      </c>
      <c r="X79" s="55">
        <f t="shared" ca="1" si="13"/>
        <v>12.858884394605933</v>
      </c>
      <c r="Y79" s="55">
        <f t="shared" ca="1" si="14"/>
        <v>-7.5859724231213299</v>
      </c>
      <c r="Z79">
        <f t="shared" ca="1" si="3"/>
        <v>54.276003912517425</v>
      </c>
      <c r="AA79">
        <f t="shared" ca="1" si="15"/>
        <v>0</v>
      </c>
      <c r="AB79">
        <f t="shared" ca="1" si="4"/>
        <v>0</v>
      </c>
      <c r="AC79">
        <f t="shared" ca="1" si="5"/>
        <v>5.0196381932136411E-3</v>
      </c>
      <c r="AD79" s="83">
        <f ca="1"/>
        <v>45353</v>
      </c>
      <c r="AE79" s="55">
        <f t="shared" ca="1" si="20"/>
        <v>45353</v>
      </c>
      <c r="AF79" s="55">
        <f t="shared" ca="1" si="21"/>
        <v>-0.40866259961264695</v>
      </c>
      <c r="AG79" s="55">
        <f t="shared" ca="1" si="22"/>
        <v>20.204698178878314</v>
      </c>
      <c r="AH79" s="55">
        <f t="shared" ca="1" si="23"/>
        <v>0</v>
      </c>
      <c r="AI79" s="55">
        <f t="shared" ca="1" si="17"/>
        <v>0</v>
      </c>
      <c r="AJ79" s="55">
        <f t="shared" ca="1" si="18"/>
        <v>15.976896954543182</v>
      </c>
      <c r="AK79" s="55">
        <f t="shared" ca="1" si="19"/>
        <v>-26.157319057812597</v>
      </c>
    </row>
    <row r="80" spans="2:37">
      <c r="R80" s="83">
        <f ca="1"/>
        <v>45186</v>
      </c>
      <c r="S80" s="55">
        <f t="shared" ca="1" si="11"/>
        <v>45186</v>
      </c>
      <c r="T80" s="55">
        <f t="shared" ca="1" si="0"/>
        <v>55.31411993527135</v>
      </c>
      <c r="U80" s="55">
        <f t="shared" ca="1" si="1"/>
        <v>0.96524946299463588</v>
      </c>
      <c r="V80" s="55">
        <f t="shared" ca="1" si="2"/>
        <v>0</v>
      </c>
      <c r="W80" s="55">
        <f t="shared" ca="1" si="12"/>
        <v>0</v>
      </c>
      <c r="X80" s="55">
        <f t="shared" ca="1" si="13"/>
        <v>13.042586080432393</v>
      </c>
      <c r="Y80" s="55">
        <f t="shared" ca="1" si="14"/>
        <v>-7.6191829606789758</v>
      </c>
      <c r="Z80">
        <f t="shared" ca="1" si="3"/>
        <v>51.705483770030575</v>
      </c>
      <c r="AA80">
        <f t="shared" ca="1" si="15"/>
        <v>0</v>
      </c>
      <c r="AB80">
        <f t="shared" ca="1" si="4"/>
        <v>0</v>
      </c>
      <c r="AC80">
        <f t="shared" ca="1" si="5"/>
        <v>5.0196381932136411E-3</v>
      </c>
      <c r="AD80" s="83">
        <f ca="1"/>
        <v>45354</v>
      </c>
      <c r="AE80" s="55">
        <f t="shared" ca="1" si="20"/>
        <v>45354</v>
      </c>
      <c r="AF80" s="55">
        <f t="shared" ca="1" si="21"/>
        <v>-1.2669154092691541</v>
      </c>
      <c r="AG80" s="55">
        <f t="shared" ca="1" si="22"/>
        <v>21.125022853926769</v>
      </c>
      <c r="AH80" s="55">
        <f t="shared" ca="1" si="23"/>
        <v>0</v>
      </c>
      <c r="AI80" s="55">
        <f t="shared" ca="1" si="17"/>
        <v>0</v>
      </c>
      <c r="AJ80" s="55">
        <f t="shared" ca="1" si="18"/>
        <v>16.207032939042431</v>
      </c>
      <c r="AK80" s="55">
        <f t="shared" ca="1" si="19"/>
        <v>-26.325383176919896</v>
      </c>
    </row>
    <row r="81" spans="18:37">
      <c r="R81" s="83">
        <f ca="1"/>
        <v>45187</v>
      </c>
      <c r="S81" s="55">
        <f t="shared" ca="1" si="11"/>
        <v>45187</v>
      </c>
      <c r="T81" s="55">
        <f t="shared" ca="1" si="0"/>
        <v>55.45995197209551</v>
      </c>
      <c r="U81" s="55">
        <f t="shared" ca="1" si="1"/>
        <v>0.96524946299463588</v>
      </c>
      <c r="V81" s="55">
        <f t="shared" ca="1" si="2"/>
        <v>0</v>
      </c>
      <c r="W81" s="55">
        <f t="shared" ca="1" si="12"/>
        <v>0</v>
      </c>
      <c r="X81" s="55">
        <f t="shared" ca="1" si="13"/>
        <v>13.218566233207147</v>
      </c>
      <c r="Y81" s="55">
        <f t="shared" ca="1" si="14"/>
        <v>-7.6493310766295677</v>
      </c>
      <c r="Z81">
        <f t="shared" ca="1" si="3"/>
        <v>50.002346040660399</v>
      </c>
      <c r="AA81">
        <f t="shared" ca="1" si="15"/>
        <v>0</v>
      </c>
      <c r="AB81">
        <f t="shared" ca="1" si="4"/>
        <v>0</v>
      </c>
      <c r="AC81">
        <f t="shared" ca="1" si="5"/>
        <v>5.0196381932136411E-3</v>
      </c>
      <c r="AD81" s="83">
        <f ca="1"/>
        <v>45355</v>
      </c>
      <c r="AE81" s="55">
        <f t="shared" ca="1" si="20"/>
        <v>45355</v>
      </c>
      <c r="AF81" s="55">
        <f t="shared" ca="1" si="21"/>
        <v>-2.2311555869143245</v>
      </c>
      <c r="AG81" s="55">
        <f t="shared" ca="1" si="22"/>
        <v>22.160297731536769</v>
      </c>
      <c r="AH81" s="55">
        <f t="shared" ca="1" si="23"/>
        <v>0</v>
      </c>
      <c r="AI81" s="55">
        <f t="shared" ca="1" si="17"/>
        <v>0</v>
      </c>
      <c r="AJ81" s="55">
        <f t="shared" ca="1" si="18"/>
        <v>16.465730938615515</v>
      </c>
      <c r="AK81" s="55">
        <f t="shared" ca="1" si="19"/>
        <v>-26.513046476528149</v>
      </c>
    </row>
    <row r="82" spans="18:37">
      <c r="R82" s="83">
        <f ca="1"/>
        <v>45188</v>
      </c>
      <c r="S82" s="55">
        <f t="shared" ca="1" si="11"/>
        <v>45188</v>
      </c>
      <c r="T82" s="55">
        <f t="shared" ref="T82:T145" ca="1" si="27">VLOOKUP(S82,ModelOutputs,2,FALSE)</f>
        <v>55.609653071433442</v>
      </c>
      <c r="U82" s="55">
        <f t="shared" ref="U82:U145" ca="1" si="28">VLOOKUP(S82,ModelOutputs,7,FALSE)</f>
        <v>0.96524946299463588</v>
      </c>
      <c r="V82" s="55">
        <f t="shared" ref="V82:V145" ca="1" si="29">VLOOKUP(S82,ModelOutputs,6,FALSE)</f>
        <v>0</v>
      </c>
      <c r="W82" s="55">
        <f t="shared" ca="1" si="12"/>
        <v>0</v>
      </c>
      <c r="X82" s="55">
        <f t="shared" ca="1" si="13"/>
        <v>13.396808586888451</v>
      </c>
      <c r="Y82" s="55">
        <f t="shared" ca="1" si="14"/>
        <v>-7.677872330972944</v>
      </c>
      <c r="Z82">
        <f t="shared" ref="Z82:Z145" ca="1" si="30">VLOOKUP(S82,ModelOutputs,10,FALSE)*AWC</f>
        <v>48.580780607629578</v>
      </c>
      <c r="AA82">
        <f t="shared" ca="1" si="15"/>
        <v>0</v>
      </c>
      <c r="AB82">
        <f t="shared" ref="AB82:AB145" ca="1" si="31">VLOOKUP(S82,ModelOutputs,12,FALSE)</f>
        <v>0</v>
      </c>
      <c r="AC82">
        <f t="shared" ref="AC82:AC145" ca="1" si="32">VLOOKUP(S82,ModelOutputs,13,FALSE)</f>
        <v>5.0196381932136411E-3</v>
      </c>
      <c r="AD82" s="83">
        <f ca="1"/>
        <v>45356</v>
      </c>
      <c r="AE82" s="55">
        <f t="shared" ca="1" si="20"/>
        <v>45356</v>
      </c>
      <c r="AF82" s="55">
        <f t="shared" ca="1" si="21"/>
        <v>-3.2383918808226744</v>
      </c>
      <c r="AG82" s="55">
        <f t="shared" ca="1" si="22"/>
        <v>23.25647089122306</v>
      </c>
      <c r="AH82" s="55">
        <f t="shared" ca="1" si="23"/>
        <v>0</v>
      </c>
      <c r="AI82" s="55">
        <f t="shared" ca="1" si="17"/>
        <v>0</v>
      </c>
      <c r="AJ82" s="55">
        <f t="shared" ca="1" si="18"/>
        <v>16.723336385687698</v>
      </c>
      <c r="AK82" s="55">
        <f t="shared" ca="1" si="19"/>
        <v>-26.681715057822391</v>
      </c>
    </row>
    <row r="83" spans="18:37">
      <c r="R83" s="83">
        <f ca="1"/>
        <v>45189</v>
      </c>
      <c r="S83" s="55">
        <f t="shared" ref="S83:S146" ca="1" si="33">IF(R83&gt;1,R83,"")</f>
        <v>45189</v>
      </c>
      <c r="T83" s="55">
        <f t="shared" ca="1" si="27"/>
        <v>55.752818188737443</v>
      </c>
      <c r="U83" s="55">
        <f t="shared" ca="1" si="28"/>
        <v>0.96524946299463588</v>
      </c>
      <c r="V83" s="55">
        <f t="shared" ca="1" si="29"/>
        <v>0</v>
      </c>
      <c r="W83" s="55">
        <f t="shared" ref="W83:W146" ca="1" si="34">-VLOOKUP(S83,ModelOutputs,9,FALSE)+W82</f>
        <v>0</v>
      </c>
      <c r="X83" s="55">
        <f t="shared" ref="X83:X146" ca="1" si="35">VLOOKUP(S83,ModelOutputs,5,FALSE)+X82</f>
        <v>13.565726635509259</v>
      </c>
      <c r="Y83" s="55">
        <f t="shared" ref="Y83:Y146" ca="1" si="36">VLOOKUP(S83,ModelOutputs,4,FALSE)+Y82</f>
        <v>-7.7036252622897514</v>
      </c>
      <c r="Z83">
        <f t="shared" ca="1" si="30"/>
        <v>47.059439668235171</v>
      </c>
      <c r="AA83">
        <f t="shared" ref="AA83:AA146" ca="1" si="37">VLOOKUP(S83,ModelOutputs,11,FALSE)+AA82</f>
        <v>0</v>
      </c>
      <c r="AB83">
        <f t="shared" ca="1" si="31"/>
        <v>0</v>
      </c>
      <c r="AC83">
        <f t="shared" ca="1" si="32"/>
        <v>5.0196381932136411E-3</v>
      </c>
      <c r="AD83" s="83">
        <f ca="1"/>
        <v>45357</v>
      </c>
      <c r="AE83" s="55">
        <f t="shared" ca="1" si="20"/>
        <v>45357</v>
      </c>
      <c r="AF83" s="55">
        <f t="shared" ca="1" si="21"/>
        <v>-4.2201905629771552</v>
      </c>
      <c r="AG83" s="55">
        <f t="shared" ca="1" si="22"/>
        <v>24.328735316712645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16.958349785897681</v>
      </c>
      <c r="AK83" s="55">
        <f t="shared" ref="AK83:AK146" ca="1" si="40">VLOOKUP(AE83,ModelOutputs,4,FALSE)+AK82</f>
        <v>-26.826262714697268</v>
      </c>
    </row>
    <row r="84" spans="18:37">
      <c r="R84" s="83">
        <f ca="1"/>
        <v>45190</v>
      </c>
      <c r="S84" s="55">
        <f t="shared" ca="1" si="33"/>
        <v>45190</v>
      </c>
      <c r="T84" s="55">
        <f t="shared" ca="1" si="27"/>
        <v>55.902221040692176</v>
      </c>
      <c r="U84" s="55">
        <f t="shared" ca="1" si="28"/>
        <v>0.96524946299463588</v>
      </c>
      <c r="V84" s="55">
        <f t="shared" ca="1" si="29"/>
        <v>0</v>
      </c>
      <c r="W84" s="55">
        <f t="shared" ca="1" si="34"/>
        <v>0</v>
      </c>
      <c r="X84" s="55">
        <f t="shared" ca="1" si="35"/>
        <v>13.739692840169809</v>
      </c>
      <c r="Y84" s="55">
        <f t="shared" ca="1" si="36"/>
        <v>-7.7281886149955685</v>
      </c>
      <c r="Z84">
        <f t="shared" ca="1" si="30"/>
        <v>45.404047257518684</v>
      </c>
      <c r="AA84">
        <f t="shared" ca="1" si="37"/>
        <v>0</v>
      </c>
      <c r="AB84">
        <f t="shared" ca="1" si="31"/>
        <v>0</v>
      </c>
      <c r="AC84">
        <f t="shared" ca="1" si="32"/>
        <v>5.0196381932136411E-3</v>
      </c>
      <c r="AD84" s="83">
        <f ca="1"/>
        <v>45358</v>
      </c>
      <c r="AE84" s="55">
        <f t="shared" ca="1" si="20"/>
        <v>45358</v>
      </c>
      <c r="AF84" s="55">
        <f t="shared" ca="1" si="21"/>
        <v>-5.257270856845059</v>
      </c>
      <c r="AG84" s="55">
        <f t="shared" ca="1" si="22"/>
        <v>25.467525165154157</v>
      </c>
      <c r="AH84" s="55">
        <f t="shared" ca="1" si="23"/>
        <v>0</v>
      </c>
      <c r="AI84" s="55">
        <f t="shared" ca="1" si="38"/>
        <v>0</v>
      </c>
      <c r="AJ84" s="55">
        <f t="shared" ca="1" si="39"/>
        <v>17.197511542245248</v>
      </c>
      <c r="AK84" s="55">
        <f t="shared" ca="1" si="40"/>
        <v>-26.963714916471229</v>
      </c>
    </row>
    <row r="85" spans="18:37">
      <c r="R85" s="83">
        <f ca="1"/>
        <v>45191</v>
      </c>
      <c r="S85" s="55">
        <f t="shared" ca="1" si="33"/>
        <v>45191</v>
      </c>
      <c r="T85" s="55">
        <f t="shared" ca="1" si="27"/>
        <v>56.045648042605457</v>
      </c>
      <c r="U85" s="55">
        <f t="shared" ca="1" si="28"/>
        <v>0.96524946299463588</v>
      </c>
      <c r="V85" s="55">
        <f t="shared" ca="1" si="29"/>
        <v>0</v>
      </c>
      <c r="W85" s="55">
        <f t="shared" ca="1" si="34"/>
        <v>0</v>
      </c>
      <c r="X85" s="55">
        <f t="shared" ca="1" si="35"/>
        <v>13.905333132704401</v>
      </c>
      <c r="Y85" s="55">
        <f t="shared" ca="1" si="36"/>
        <v>-7.7504019056168749</v>
      </c>
      <c r="Z85">
        <f t="shared" ca="1" si="30"/>
        <v>43.911005185310046</v>
      </c>
      <c r="AA85">
        <f t="shared" ca="1" si="37"/>
        <v>0</v>
      </c>
      <c r="AB85">
        <f t="shared" ca="1" si="31"/>
        <v>0</v>
      </c>
      <c r="AC85">
        <f t="shared" ca="1" si="32"/>
        <v>5.0196381932136411E-3</v>
      </c>
      <c r="AD85" s="83">
        <f ca="1"/>
        <v>45359</v>
      </c>
      <c r="AE85" s="55">
        <f t="shared" ref="AE85:AE148" ca="1" si="41">IF(AD85&gt;1,AD85,"")</f>
        <v>45359</v>
      </c>
      <c r="AF85" s="55">
        <f t="shared" ref="AF85:AF148" ca="1" si="42">VLOOKUP(AE85,ModelOutputs,2,FALSE)</f>
        <v>-6.2843559223934653</v>
      </c>
      <c r="AG85" s="55">
        <f t="shared" ref="AG85:AG148" ca="1" si="43">VLOOKUP(AE85,ModelOutputs,7,FALSE)</f>
        <v>26.597237914840662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17.420895323332775</v>
      </c>
      <c r="AK85" s="55">
        <f t="shared" ca="1" si="40"/>
        <v>-27.084471013420657</v>
      </c>
    </row>
    <row r="86" spans="18:37">
      <c r="R86" s="83">
        <f ca="1"/>
        <v>45192</v>
      </c>
      <c r="S86" s="55">
        <f t="shared" ca="1" si="33"/>
        <v>45192</v>
      </c>
      <c r="T86" s="55">
        <f t="shared" ca="1" si="27"/>
        <v>56.184953007427602</v>
      </c>
      <c r="U86" s="55">
        <f t="shared" ca="1" si="28"/>
        <v>0.96524946299463588</v>
      </c>
      <c r="V86" s="55">
        <f t="shared" ca="1" si="29"/>
        <v>0</v>
      </c>
      <c r="W86" s="55">
        <f t="shared" ca="1" si="34"/>
        <v>0</v>
      </c>
      <c r="X86" s="55">
        <f t="shared" ca="1" si="35"/>
        <v>14.064801590866304</v>
      </c>
      <c r="Y86" s="55">
        <f t="shared" ca="1" si="36"/>
        <v>-7.7705653989566326</v>
      </c>
      <c r="Z86">
        <f t="shared" ca="1" si="30"/>
        <v>42.146655341461326</v>
      </c>
      <c r="AA86">
        <f t="shared" ca="1" si="37"/>
        <v>0</v>
      </c>
      <c r="AB86">
        <f t="shared" ca="1" si="31"/>
        <v>0</v>
      </c>
      <c r="AC86">
        <f t="shared" ca="1" si="32"/>
        <v>5.0196381932136411E-3</v>
      </c>
      <c r="AD86" s="83">
        <f ca="1"/>
        <v>45360</v>
      </c>
      <c r="AE86" s="55">
        <f t="shared" ca="1" si="41"/>
        <v>45360</v>
      </c>
      <c r="AF86" s="55">
        <f t="shared" ca="1" si="42"/>
        <v>-7.4329633788880738</v>
      </c>
      <c r="AG86" s="55">
        <f t="shared" ca="1" si="43"/>
        <v>27.864758633459747</v>
      </c>
      <c r="AH86" s="55">
        <f t="shared" ca="1" si="44"/>
        <v>0</v>
      </c>
      <c r="AI86" s="55">
        <f t="shared" ca="1" si="38"/>
        <v>0</v>
      </c>
      <c r="AJ86" s="55">
        <f t="shared" ca="1" si="39"/>
        <v>17.667632697413964</v>
      </c>
      <c r="AK86" s="55">
        <f t="shared" ca="1" si="40"/>
        <v>-27.21229512537737</v>
      </c>
    </row>
    <row r="87" spans="18:37">
      <c r="R87" s="83">
        <f ca="1"/>
        <v>45193</v>
      </c>
      <c r="S87" s="55">
        <f t="shared" ca="1" si="33"/>
        <v>45193</v>
      </c>
      <c r="T87" s="55">
        <f t="shared" ca="1" si="27"/>
        <v>56.331486158810712</v>
      </c>
      <c r="U87" s="55">
        <f t="shared" ca="1" si="28"/>
        <v>0.96524946299463588</v>
      </c>
      <c r="V87" s="55">
        <f t="shared" ca="1" si="29"/>
        <v>0</v>
      </c>
      <c r="W87" s="55">
        <f t="shared" ca="1" si="34"/>
        <v>0</v>
      </c>
      <c r="X87" s="55">
        <f t="shared" ca="1" si="35"/>
        <v>14.230987728140374</v>
      </c>
      <c r="Y87" s="55">
        <f t="shared" ca="1" si="36"/>
        <v>-7.7902183848475897</v>
      </c>
      <c r="Z87">
        <f t="shared" ca="1" si="30"/>
        <v>41.405852292201516</v>
      </c>
      <c r="AA87">
        <f t="shared" ca="1" si="37"/>
        <v>0</v>
      </c>
      <c r="AB87">
        <f t="shared" ca="1" si="31"/>
        <v>0</v>
      </c>
      <c r="AC87">
        <f t="shared" ca="1" si="32"/>
        <v>5.0196381932136411E-3</v>
      </c>
      <c r="AD87" s="83">
        <f ca="1"/>
        <v>45361</v>
      </c>
      <c r="AE87" s="55">
        <f t="shared" ca="1" si="41"/>
        <v>45361</v>
      </c>
      <c r="AF87" s="55">
        <f t="shared" ca="1" si="42"/>
        <v>-8.576696924865935</v>
      </c>
      <c r="AG87" s="55">
        <f t="shared" ca="1" si="43"/>
        <v>29.121451213426599</v>
      </c>
      <c r="AH87" s="55">
        <f t="shared" ca="1" si="44"/>
        <v>0</v>
      </c>
      <c r="AI87" s="55">
        <f t="shared" ca="1" si="38"/>
        <v>0</v>
      </c>
      <c r="AJ87" s="55">
        <f t="shared" ca="1" si="39"/>
        <v>17.903038662044086</v>
      </c>
      <c r="AK87" s="55">
        <f t="shared" ca="1" si="40"/>
        <v>-27.334742056018502</v>
      </c>
    </row>
    <row r="88" spans="18:37">
      <c r="R88" s="83">
        <f ca="1"/>
        <v>45194</v>
      </c>
      <c r="S88" s="55">
        <f t="shared" ca="1" si="33"/>
        <v>45194</v>
      </c>
      <c r="T88" s="55">
        <f t="shared" ca="1" si="27"/>
        <v>56.47127314567021</v>
      </c>
      <c r="U88" s="55">
        <f t="shared" ca="1" si="28"/>
        <v>0.96524946299463588</v>
      </c>
      <c r="V88" s="55">
        <f t="shared" ca="1" si="29"/>
        <v>0</v>
      </c>
      <c r="W88" s="55">
        <f t="shared" ca="1" si="34"/>
        <v>0</v>
      </c>
      <c r="X88" s="55">
        <f t="shared" ca="1" si="35"/>
        <v>14.388837419812521</v>
      </c>
      <c r="Y88" s="55">
        <f t="shared" ca="1" si="36"/>
        <v>-7.8082810896602393</v>
      </c>
      <c r="Z88">
        <f t="shared" ca="1" si="30"/>
        <v>41.035390338262246</v>
      </c>
      <c r="AA88">
        <f t="shared" ca="1" si="37"/>
        <v>0</v>
      </c>
      <c r="AB88">
        <f t="shared" ca="1" si="31"/>
        <v>0</v>
      </c>
      <c r="AC88">
        <f t="shared" ca="1" si="32"/>
        <v>5.0196381932136411E-3</v>
      </c>
      <c r="AD88" s="83">
        <f ca="1"/>
        <v>45362</v>
      </c>
      <c r="AE88" s="55">
        <f t="shared" ca="1" si="41"/>
        <v>45362</v>
      </c>
      <c r="AF88" s="55">
        <f t="shared" ca="1" si="42"/>
        <v>-9.7624407872267156</v>
      </c>
      <c r="AG88" s="55">
        <f t="shared" ca="1" si="43"/>
        <v>30.417025245412198</v>
      </c>
      <c r="AH88" s="55">
        <f t="shared" ca="1" si="44"/>
        <v>0</v>
      </c>
      <c r="AI88" s="55">
        <f t="shared" ca="1" si="38"/>
        <v>0</v>
      </c>
      <c r="AJ88" s="55">
        <f t="shared" ca="1" si="39"/>
        <v>18.145663942970181</v>
      </c>
      <c r="AK88" s="55">
        <f t="shared" ca="1" si="40"/>
        <v>-27.467537167319779</v>
      </c>
    </row>
    <row r="89" spans="18:37">
      <c r="R89" s="83">
        <f ca="1"/>
        <v>45195</v>
      </c>
      <c r="S89" s="55">
        <f t="shared" ca="1" si="33"/>
        <v>45195</v>
      </c>
      <c r="T89" s="55">
        <f t="shared" ca="1" si="27"/>
        <v>56.622149734161269</v>
      </c>
      <c r="U89" s="55">
        <f t="shared" ca="1" si="28"/>
        <v>0.96524946299463588</v>
      </c>
      <c r="V89" s="55">
        <f t="shared" ca="1" si="29"/>
        <v>0</v>
      </c>
      <c r="W89" s="55">
        <f t="shared" ca="1" si="34"/>
        <v>0</v>
      </c>
      <c r="X89" s="55">
        <f t="shared" ca="1" si="35"/>
        <v>14.557416309365635</v>
      </c>
      <c r="Y89" s="55">
        <f t="shared" ca="1" si="36"/>
        <v>-7.8259833907222927</v>
      </c>
      <c r="Z89">
        <f t="shared" ca="1" si="30"/>
        <v>39.698911940943653</v>
      </c>
      <c r="AA89">
        <f t="shared" ca="1" si="37"/>
        <v>0</v>
      </c>
      <c r="AB89">
        <f t="shared" ca="1" si="31"/>
        <v>0</v>
      </c>
      <c r="AC89">
        <f t="shared" ca="1" si="32"/>
        <v>5.0196381932136411E-3</v>
      </c>
      <c r="AD89" s="83">
        <f ca="1"/>
        <v>45363</v>
      </c>
      <c r="AE89" s="55">
        <f t="shared" ca="1" si="41"/>
        <v>45363</v>
      </c>
      <c r="AF89" s="55">
        <f t="shared" ca="1" si="42"/>
        <v>-11.013695366324429</v>
      </c>
      <c r="AG89" s="55">
        <f t="shared" ca="1" si="43"/>
        <v>31.783515190923623</v>
      </c>
      <c r="AH89" s="55">
        <f t="shared" ca="1" si="44"/>
        <v>0</v>
      </c>
      <c r="AI89" s="55">
        <f t="shared" ca="1" si="38"/>
        <v>0</v>
      </c>
      <c r="AJ89" s="55">
        <f t="shared" ca="1" si="39"/>
        <v>18.400599376213997</v>
      </c>
      <c r="AK89" s="55">
        <f t="shared" ca="1" si="40"/>
        <v>-27.607237234149881</v>
      </c>
    </row>
    <row r="90" spans="18:37">
      <c r="R90" s="83">
        <f ca="1"/>
        <v>45196</v>
      </c>
      <c r="S90" s="55">
        <f t="shared" ca="1" si="33"/>
        <v>45196</v>
      </c>
      <c r="T90" s="55">
        <f t="shared" ca="1" si="27"/>
        <v>56.774500239729193</v>
      </c>
      <c r="U90" s="55">
        <f t="shared" ca="1" si="28"/>
        <v>0.96524946299463588</v>
      </c>
      <c r="V90" s="55">
        <f t="shared" ca="1" si="29"/>
        <v>0</v>
      </c>
      <c r="W90" s="55">
        <f t="shared" ca="1" si="34"/>
        <v>0</v>
      </c>
      <c r="X90" s="55">
        <f t="shared" ca="1" si="35"/>
        <v>14.72610357518367</v>
      </c>
      <c r="Y90" s="55">
        <f t="shared" ca="1" si="36"/>
        <v>-7.8423201509724088</v>
      </c>
      <c r="Z90">
        <f t="shared" ca="1" si="30"/>
        <v>37.694651518303928</v>
      </c>
      <c r="AA90">
        <f t="shared" ca="1" si="37"/>
        <v>0</v>
      </c>
      <c r="AB90">
        <f t="shared" ca="1" si="31"/>
        <v>0</v>
      </c>
      <c r="AC90">
        <f t="shared" ca="1" si="32"/>
        <v>5.0196381932136411E-3</v>
      </c>
      <c r="AD90" s="83">
        <f ca="1"/>
        <v>45364</v>
      </c>
      <c r="AE90" s="55">
        <f t="shared" ca="1" si="41"/>
        <v>45364</v>
      </c>
      <c r="AF90" s="55">
        <f t="shared" ca="1" si="42"/>
        <v>-12.282660798758785</v>
      </c>
      <c r="AG90" s="55">
        <f t="shared" ca="1" si="43"/>
        <v>33.170302693916653</v>
      </c>
      <c r="AH90" s="55">
        <f t="shared" ca="1" si="44"/>
        <v>0</v>
      </c>
      <c r="AI90" s="55">
        <f t="shared" ca="1" si="38"/>
        <v>0</v>
      </c>
      <c r="AJ90" s="55">
        <f t="shared" ca="1" si="39"/>
        <v>18.652211492906638</v>
      </c>
      <c r="AK90" s="55">
        <f t="shared" ca="1" si="40"/>
        <v>-27.741027280283848</v>
      </c>
    </row>
    <row r="91" spans="18:37">
      <c r="R91" s="83">
        <f ca="1"/>
        <v>45197</v>
      </c>
      <c r="S91" s="55">
        <f t="shared" ca="1" si="33"/>
        <v>45197</v>
      </c>
      <c r="T91" s="55">
        <f t="shared" ca="1" si="27"/>
        <v>56.92339123750569</v>
      </c>
      <c r="U91" s="55">
        <f t="shared" ca="1" si="28"/>
        <v>0.96524946299463588</v>
      </c>
      <c r="V91" s="55">
        <f t="shared" ca="1" si="29"/>
        <v>0</v>
      </c>
      <c r="W91" s="55">
        <f t="shared" ca="1" si="34"/>
        <v>0</v>
      </c>
      <c r="X91" s="55">
        <f t="shared" ca="1" si="35"/>
        <v>14.890259213948433</v>
      </c>
      <c r="Y91" s="55">
        <f t="shared" ca="1" si="36"/>
        <v>-7.8575847919606741</v>
      </c>
      <c r="Z91">
        <f t="shared" ca="1" si="30"/>
        <v>37.394007810896127</v>
      </c>
      <c r="AA91">
        <f t="shared" ca="1" si="37"/>
        <v>0</v>
      </c>
      <c r="AB91">
        <f t="shared" ca="1" si="31"/>
        <v>0</v>
      </c>
      <c r="AC91">
        <f t="shared" ca="1" si="32"/>
        <v>5.0196381932136411E-3</v>
      </c>
      <c r="AD91" s="83">
        <f ca="1"/>
        <v>45365</v>
      </c>
      <c r="AE91" s="55">
        <f t="shared" ca="1" si="41"/>
        <v>45365</v>
      </c>
      <c r="AF91" s="55">
        <f t="shared" ca="1" si="42"/>
        <v>-13.598269742115638</v>
      </c>
      <c r="AG91" s="55">
        <f t="shared" ca="1" si="43"/>
        <v>34.615307094518606</v>
      </c>
      <c r="AH91" s="55">
        <f t="shared" ca="1" si="44"/>
        <v>0</v>
      </c>
      <c r="AI91" s="55">
        <f t="shared" ca="1" si="38"/>
        <v>0</v>
      </c>
      <c r="AJ91" s="55">
        <f t="shared" ca="1" si="39"/>
        <v>18.898180991874202</v>
      </c>
      <c r="AK91" s="55">
        <f t="shared" ca="1" si="40"/>
        <v>-27.857601322006314</v>
      </c>
    </row>
    <row r="92" spans="18:37">
      <c r="R92" s="83">
        <f ca="1"/>
        <v>45198</v>
      </c>
      <c r="S92" s="55">
        <f t="shared" ca="1" si="33"/>
        <v>45198</v>
      </c>
      <c r="T92" s="55">
        <f t="shared" ca="1" si="27"/>
        <v>57.070229194962238</v>
      </c>
      <c r="U92" s="55">
        <f t="shared" ca="1" si="28"/>
        <v>0.96524946299463588</v>
      </c>
      <c r="V92" s="55">
        <f t="shared" ca="1" si="29"/>
        <v>0</v>
      </c>
      <c r="W92" s="55">
        <f t="shared" ca="1" si="34"/>
        <v>0</v>
      </c>
      <c r="X92" s="55">
        <f t="shared" ca="1" si="35"/>
        <v>15.051354765568931</v>
      </c>
      <c r="Y92" s="55">
        <f t="shared" ca="1" si="36"/>
        <v>-7.8718423861246238</v>
      </c>
      <c r="Z92">
        <f t="shared" ca="1" si="30"/>
        <v>36.766525095842923</v>
      </c>
      <c r="AA92">
        <f t="shared" ca="1" si="37"/>
        <v>0</v>
      </c>
      <c r="AB92">
        <f t="shared" ca="1" si="31"/>
        <v>0</v>
      </c>
      <c r="AC92">
        <f t="shared" ca="1" si="32"/>
        <v>5.0196381932136411E-3</v>
      </c>
      <c r="AD92" s="83">
        <f ca="1"/>
        <v>45366</v>
      </c>
      <c r="AE92" s="55">
        <f t="shared" ca="1" si="41"/>
        <v>45366</v>
      </c>
      <c r="AF92" s="55">
        <f t="shared" ca="1" si="42"/>
        <v>-14.959563907854669</v>
      </c>
      <c r="AG92" s="55">
        <f t="shared" ca="1" si="43"/>
        <v>36.113126105640774</v>
      </c>
      <c r="AH92" s="55">
        <f t="shared" ca="1" si="44"/>
        <v>0</v>
      </c>
      <c r="AI92" s="55">
        <f t="shared" ca="1" si="38"/>
        <v>0</v>
      </c>
      <c r="AJ92" s="55">
        <f t="shared" ca="1" si="39"/>
        <v>19.143296875913034</v>
      </c>
      <c r="AK92" s="55">
        <f t="shared" ca="1" si="40"/>
        <v>-27.96619236066201</v>
      </c>
    </row>
    <row r="93" spans="18:37">
      <c r="R93" s="83">
        <f ca="1"/>
        <v>45199</v>
      </c>
      <c r="S93" s="55">
        <f t="shared" ca="1" si="33"/>
        <v>45199</v>
      </c>
      <c r="T93" s="55">
        <f t="shared" ca="1" si="27"/>
        <v>57.233061396276263</v>
      </c>
      <c r="U93" s="55">
        <f t="shared" ca="1" si="28"/>
        <v>0.96524946299463588</v>
      </c>
      <c r="V93" s="55">
        <f t="shared" ca="1" si="29"/>
        <v>0</v>
      </c>
      <c r="W93" s="55">
        <f t="shared" ca="1" si="34"/>
        <v>0</v>
      </c>
      <c r="X93" s="55">
        <f t="shared" ca="1" si="35"/>
        <v>15.228151548840948</v>
      </c>
      <c r="Y93" s="55">
        <f t="shared" ca="1" si="36"/>
        <v>-7.8858069680826173</v>
      </c>
      <c r="Z93">
        <f t="shared" ca="1" si="30"/>
        <v>34.645070370718813</v>
      </c>
      <c r="AA93">
        <f t="shared" ca="1" si="37"/>
        <v>0</v>
      </c>
      <c r="AB93">
        <f t="shared" ca="1" si="31"/>
        <v>0</v>
      </c>
      <c r="AC93">
        <f t="shared" ca="1" si="32"/>
        <v>5.0196381932136411E-3</v>
      </c>
      <c r="AD93" s="83">
        <f ca="1"/>
        <v>45367</v>
      </c>
      <c r="AE93" s="55">
        <f t="shared" ca="1" si="41"/>
        <v>45367</v>
      </c>
      <c r="AF93" s="55">
        <f t="shared" ca="1" si="42"/>
        <v>-16.349805717773606</v>
      </c>
      <c r="AG93" s="55">
        <f t="shared" ca="1" si="43"/>
        <v>37.643688435834321</v>
      </c>
      <c r="AH93" s="55">
        <f t="shared" ca="1" si="44"/>
        <v>0</v>
      </c>
      <c r="AI93" s="55">
        <f t="shared" ca="1" si="38"/>
        <v>0</v>
      </c>
      <c r="AJ93" s="55">
        <f t="shared" ca="1" si="39"/>
        <v>19.384383015027176</v>
      </c>
      <c r="AK93" s="55">
        <f t="shared" ca="1" si="40"/>
        <v>-28.066957979501542</v>
      </c>
    </row>
    <row r="94" spans="18:37">
      <c r="R94" s="83">
        <f ca="1"/>
        <v>45200</v>
      </c>
      <c r="S94" s="55">
        <f t="shared" ca="1" si="33"/>
        <v>45200</v>
      </c>
      <c r="T94" s="55">
        <f t="shared" ca="1" si="27"/>
        <v>57.342683595288619</v>
      </c>
      <c r="U94" s="55">
        <f t="shared" ca="1" si="28"/>
        <v>1.0171401489728715</v>
      </c>
      <c r="V94" s="55">
        <f t="shared" ca="1" si="29"/>
        <v>0</v>
      </c>
      <c r="W94" s="55">
        <f t="shared" ca="1" si="34"/>
        <v>0</v>
      </c>
      <c r="X94" s="55">
        <f t="shared" ca="1" si="35"/>
        <v>15.402295627639129</v>
      </c>
      <c r="Y94" s="55">
        <f t="shared" ca="1" si="36"/>
        <v>-7.8984381618902066</v>
      </c>
      <c r="Z94">
        <f t="shared" ca="1" si="30"/>
        <v>32.633928493789966</v>
      </c>
      <c r="AA94">
        <f t="shared" ca="1" si="37"/>
        <v>0</v>
      </c>
      <c r="AB94">
        <f t="shared" ca="1" si="31"/>
        <v>0</v>
      </c>
      <c r="AC94">
        <f t="shared" ca="1" si="32"/>
        <v>5.7214945691144645E-3</v>
      </c>
      <c r="AD94" s="83">
        <f ca="1"/>
        <v>45368</v>
      </c>
      <c r="AE94" s="55">
        <f t="shared" ca="1" si="41"/>
        <v>45368</v>
      </c>
      <c r="AF94" s="55">
        <f t="shared" ca="1" si="42"/>
        <v>-17.683099428034854</v>
      </c>
      <c r="AG94" s="55">
        <f t="shared" ca="1" si="43"/>
        <v>39.108289861833811</v>
      </c>
      <c r="AH94" s="55">
        <f t="shared" ca="1" si="44"/>
        <v>0</v>
      </c>
      <c r="AI94" s="55">
        <f t="shared" ca="1" si="38"/>
        <v>0</v>
      </c>
      <c r="AJ94" s="55">
        <f t="shared" ca="1" si="39"/>
        <v>19.605730497860019</v>
      </c>
      <c r="AK94" s="55">
        <f t="shared" ca="1" si="40"/>
        <v>-28.156997746596144</v>
      </c>
    </row>
    <row r="95" spans="18:37">
      <c r="R95" s="83">
        <f ca="1"/>
        <v>45201</v>
      </c>
      <c r="S95" s="55">
        <f t="shared" ca="1" si="33"/>
        <v>45201</v>
      </c>
      <c r="T95" s="55">
        <f t="shared" ca="1" si="27"/>
        <v>57.446897705309688</v>
      </c>
      <c r="U95" s="55">
        <f t="shared" ca="1" si="28"/>
        <v>1.0777450016683026</v>
      </c>
      <c r="V95" s="55">
        <f t="shared" ca="1" si="29"/>
        <v>0</v>
      </c>
      <c r="W95" s="55">
        <f t="shared" ca="1" si="34"/>
        <v>0</v>
      </c>
      <c r="X95" s="55">
        <f t="shared" ca="1" si="35"/>
        <v>15.578898326306994</v>
      </c>
      <c r="Y95" s="55">
        <f t="shared" ca="1" si="36"/>
        <v>-7.9102218978415673</v>
      </c>
      <c r="Z95">
        <f t="shared" ca="1" si="30"/>
        <v>31.110531417657722</v>
      </c>
      <c r="AA95">
        <f t="shared" ca="1" si="37"/>
        <v>0</v>
      </c>
      <c r="AB95">
        <f t="shared" ca="1" si="31"/>
        <v>0</v>
      </c>
      <c r="AC95">
        <f t="shared" ca="1" si="32"/>
        <v>6.6113112022474947E-3</v>
      </c>
      <c r="AD95" s="83">
        <f ca="1"/>
        <v>45369</v>
      </c>
      <c r="AE95" s="55">
        <f t="shared" ca="1" si="41"/>
        <v>45369</v>
      </c>
      <c r="AF95" s="55">
        <f t="shared" ca="1" si="42"/>
        <v>-19.138623987557462</v>
      </c>
      <c r="AG95" s="55">
        <f t="shared" ca="1" si="43"/>
        <v>40.711991812456546</v>
      </c>
      <c r="AH95" s="55">
        <f t="shared" ca="1" si="44"/>
        <v>0</v>
      </c>
      <c r="AI95" s="55">
        <f t="shared" ca="1" si="38"/>
        <v>0</v>
      </c>
      <c r="AJ95" s="55">
        <f t="shared" ca="1" si="39"/>
        <v>19.841598534009886</v>
      </c>
      <c r="AK95" s="55">
        <f t="shared" ca="1" si="40"/>
        <v>-28.244688391645884</v>
      </c>
    </row>
    <row r="96" spans="18:37">
      <c r="R96" s="83">
        <f ca="1"/>
        <v>45202</v>
      </c>
      <c r="S96" s="55">
        <f t="shared" ca="1" si="33"/>
        <v>45202</v>
      </c>
      <c r="T96" s="55">
        <f t="shared" ca="1" si="27"/>
        <v>57.544106704561884</v>
      </c>
      <c r="U96" s="55">
        <f t="shared" ca="1" si="28"/>
        <v>1.134539482223573</v>
      </c>
      <c r="V96" s="55">
        <f t="shared" ca="1" si="29"/>
        <v>0</v>
      </c>
      <c r="W96" s="55">
        <f t="shared" ca="1" si="34"/>
        <v>0</v>
      </c>
      <c r="X96" s="55">
        <f t="shared" ca="1" si="35"/>
        <v>15.743646793522256</v>
      </c>
      <c r="Y96" s="55">
        <f t="shared" ca="1" si="36"/>
        <v>-7.9209668852493635</v>
      </c>
      <c r="Z96">
        <f t="shared" ca="1" si="30"/>
        <v>31.133611078916388</v>
      </c>
      <c r="AA96">
        <f t="shared" ca="1" si="37"/>
        <v>0</v>
      </c>
      <c r="AB96">
        <f t="shared" ca="1" si="31"/>
        <v>0</v>
      </c>
      <c r="AC96">
        <f t="shared" ca="1" si="32"/>
        <v>7.5153462546830438E-3</v>
      </c>
      <c r="AD96" s="83">
        <f ca="1"/>
        <v>45370</v>
      </c>
      <c r="AE96" s="55">
        <f t="shared" ca="1" si="41"/>
        <v>45370</v>
      </c>
      <c r="AF96" s="55">
        <f t="shared" ca="1" si="42"/>
        <v>-20.716515877344289</v>
      </c>
      <c r="AG96" s="55">
        <f t="shared" ca="1" si="43"/>
        <v>42.454756305041769</v>
      </c>
      <c r="AH96" s="55">
        <f t="shared" ca="1" si="44"/>
        <v>0</v>
      </c>
      <c r="AI96" s="55">
        <f t="shared" ca="1" si="38"/>
        <v>0</v>
      </c>
      <c r="AJ96" s="55">
        <f t="shared" ca="1" si="39"/>
        <v>20.088503177605769</v>
      </c>
      <c r="AK96" s="55">
        <f t="shared" ca="1" si="40"/>
        <v>-28.32672043244337</v>
      </c>
    </row>
    <row r="97" spans="18:37">
      <c r="R97" s="83">
        <f ca="1"/>
        <v>45203</v>
      </c>
      <c r="S97" s="55">
        <f t="shared" ca="1" si="33"/>
        <v>45203</v>
      </c>
      <c r="T97" s="55">
        <f t="shared" ca="1" si="27"/>
        <v>57.637907672287831</v>
      </c>
      <c r="U97" s="55">
        <f t="shared" ca="1" si="28"/>
        <v>1.1914761658417179</v>
      </c>
      <c r="V97" s="55">
        <f t="shared" ca="1" si="29"/>
        <v>0</v>
      </c>
      <c r="W97" s="55">
        <f t="shared" ca="1" si="34"/>
        <v>0</v>
      </c>
      <c r="X97" s="55">
        <f t="shared" ca="1" si="35"/>
        <v>15.904592974161387</v>
      </c>
      <c r="Y97" s="55">
        <f t="shared" ca="1" si="36"/>
        <v>-7.9311754145444011</v>
      </c>
      <c r="Z97">
        <f t="shared" ca="1" si="30"/>
        <v>31.410808950782144</v>
      </c>
      <c r="AA97">
        <f t="shared" ca="1" si="37"/>
        <v>0</v>
      </c>
      <c r="AB97">
        <f t="shared" ca="1" si="31"/>
        <v>0</v>
      </c>
      <c r="AC97">
        <f t="shared" ca="1" si="32"/>
        <v>8.4913011964490304E-3</v>
      </c>
      <c r="AD97" s="83">
        <f ca="1"/>
        <v>45371</v>
      </c>
      <c r="AE97" s="55">
        <f t="shared" ca="1" si="41"/>
        <v>45371</v>
      </c>
      <c r="AF97" s="55">
        <f t="shared" ca="1" si="42"/>
        <v>-22.302871093986564</v>
      </c>
      <c r="AG97" s="55">
        <f t="shared" ca="1" si="43"/>
        <v>44.204960098053981</v>
      </c>
      <c r="AH97" s="55">
        <f t="shared" ca="1" si="44"/>
        <v>0</v>
      </c>
      <c r="AI97" s="55">
        <f t="shared" ca="1" si="38"/>
        <v>0</v>
      </c>
      <c r="AJ97" s="55">
        <f t="shared" ca="1" si="39"/>
        <v>20.324862795423346</v>
      </c>
      <c r="AK97" s="55">
        <f t="shared" ca="1" si="40"/>
        <v>-28.39923147389101</v>
      </c>
    </row>
    <row r="98" spans="18:37">
      <c r="R98" s="83">
        <f ca="1"/>
        <v>45204</v>
      </c>
      <c r="S98" s="55">
        <f t="shared" ca="1" si="33"/>
        <v>45204</v>
      </c>
      <c r="T98" s="55">
        <f t="shared" ca="1" si="27"/>
        <v>57.727833814842221</v>
      </c>
      <c r="U98" s="55">
        <f t="shared" ca="1" si="28"/>
        <v>1.2503676651620435</v>
      </c>
      <c r="V98" s="55">
        <f t="shared" ca="1" si="29"/>
        <v>0</v>
      </c>
      <c r="W98" s="55">
        <f t="shared" ca="1" si="34"/>
        <v>0</v>
      </c>
      <c r="X98" s="55">
        <f t="shared" ca="1" si="35"/>
        <v>16.062838036989056</v>
      </c>
      <c r="Y98" s="55">
        <f t="shared" ca="1" si="36"/>
        <v>-7.940602835497355</v>
      </c>
      <c r="Z98">
        <f t="shared" ca="1" si="30"/>
        <v>30.398294591730664</v>
      </c>
      <c r="AA98">
        <f t="shared" ca="1" si="37"/>
        <v>0</v>
      </c>
      <c r="AB98">
        <f t="shared" ca="1" si="31"/>
        <v>0</v>
      </c>
      <c r="AC98">
        <f t="shared" ca="1" si="32"/>
        <v>9.5756173386439842E-3</v>
      </c>
      <c r="AD98" s="83">
        <f ca="1"/>
        <v>45372</v>
      </c>
      <c r="AE98" s="55">
        <f t="shared" ca="1" si="41"/>
        <v>45372</v>
      </c>
      <c r="AF98" s="55">
        <f t="shared" ca="1" si="42"/>
        <v>-23.894319233649366</v>
      </c>
      <c r="AG98" s="55">
        <f t="shared" ca="1" si="43"/>
        <v>45.958441944480263</v>
      </c>
      <c r="AH98" s="55">
        <f t="shared" ca="1" si="44"/>
        <v>0</v>
      </c>
      <c r="AI98" s="55">
        <f t="shared" ca="1" si="38"/>
        <v>0</v>
      </c>
      <c r="AJ98" s="55">
        <f t="shared" ca="1" si="39"/>
        <v>20.551825815577242</v>
      </c>
      <c r="AK98" s="55">
        <f t="shared" ca="1" si="40"/>
        <v>-28.464160787281426</v>
      </c>
    </row>
    <row r="99" spans="18:37">
      <c r="R99" s="83">
        <f ca="1"/>
        <v>45205</v>
      </c>
      <c r="S99" s="55">
        <f t="shared" ca="1" si="33"/>
        <v>45205</v>
      </c>
      <c r="T99" s="55">
        <f t="shared" ca="1" si="27"/>
        <v>57.815588662322554</v>
      </c>
      <c r="U99" s="55">
        <f t="shared" ca="1" si="28"/>
        <v>1.3188315534411081</v>
      </c>
      <c r="V99" s="55">
        <f t="shared" ca="1" si="29"/>
        <v>0</v>
      </c>
      <c r="W99" s="55">
        <f t="shared" ca="1" si="34"/>
        <v>0</v>
      </c>
      <c r="X99" s="55">
        <f t="shared" ca="1" si="35"/>
        <v>16.228045246079031</v>
      </c>
      <c r="Y99" s="55">
        <f t="shared" ca="1" si="36"/>
        <v>-7.949591308827932</v>
      </c>
      <c r="Z99">
        <f t="shared" ca="1" si="30"/>
        <v>29.014265738384694</v>
      </c>
      <c r="AA99">
        <f t="shared" ca="1" si="37"/>
        <v>0</v>
      </c>
      <c r="AB99">
        <f t="shared" ca="1" si="31"/>
        <v>0</v>
      </c>
      <c r="AC99">
        <f t="shared" ca="1" si="32"/>
        <v>1.0933733541352898E-2</v>
      </c>
      <c r="AD99" s="83">
        <f ca="1"/>
        <v>45373</v>
      </c>
      <c r="AE99" s="55">
        <f t="shared" ca="1" si="41"/>
        <v>45373</v>
      </c>
      <c r="AF99" s="55">
        <f t="shared" ca="1" si="42"/>
        <v>-25.470380872344798</v>
      </c>
      <c r="AG99" s="55">
        <f t="shared" ca="1" si="43"/>
        <v>47.692159965855929</v>
      </c>
      <c r="AH99" s="55">
        <f t="shared" ca="1" si="44"/>
        <v>0</v>
      </c>
      <c r="AI99" s="55">
        <f t="shared" ca="1" si="38"/>
        <v>0</v>
      </c>
      <c r="AJ99" s="55">
        <f t="shared" ca="1" si="39"/>
        <v>20.771909247429043</v>
      </c>
      <c r="AK99" s="55">
        <f t="shared" ca="1" si="40"/>
        <v>-28.526587836452993</v>
      </c>
    </row>
    <row r="100" spans="18:37">
      <c r="R100" s="83">
        <f ca="1"/>
        <v>45206</v>
      </c>
      <c r="S100" s="55">
        <f t="shared" ca="1" si="33"/>
        <v>45206</v>
      </c>
      <c r="T100" s="55">
        <f t="shared" ca="1" si="27"/>
        <v>57.898873654142029</v>
      </c>
      <c r="U100" s="55">
        <f t="shared" ca="1" si="28"/>
        <v>1.391983011161291</v>
      </c>
      <c r="V100" s="55">
        <f t="shared" ca="1" si="29"/>
        <v>0</v>
      </c>
      <c r="W100" s="55">
        <f t="shared" ca="1" si="34"/>
        <v>0</v>
      </c>
      <c r="X100" s="55">
        <f t="shared" ca="1" si="35"/>
        <v>16.392805251259571</v>
      </c>
      <c r="Y100" s="55">
        <f t="shared" ca="1" si="36"/>
        <v>-7.9579148644688074</v>
      </c>
      <c r="Z100">
        <f t="shared" ca="1" si="30"/>
        <v>27.847897115468566</v>
      </c>
      <c r="AA100">
        <f t="shared" ca="1" si="37"/>
        <v>0</v>
      </c>
      <c r="AB100">
        <f t="shared" ca="1" si="31"/>
        <v>0</v>
      </c>
      <c r="AC100">
        <f t="shared" ca="1" si="32"/>
        <v>1.2502959693193462E-2</v>
      </c>
      <c r="AD100" s="83">
        <f ca="1"/>
        <v>45374</v>
      </c>
      <c r="AE100" s="55">
        <f t="shared" ca="1" si="41"/>
        <v>45374</v>
      </c>
      <c r="AF100" s="55">
        <f t="shared" ca="1" si="42"/>
        <v>-27.103348146140583</v>
      </c>
      <c r="AG100" s="55">
        <f t="shared" ca="1" si="43"/>
        <v>49.48817699366586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20.992358291972856</v>
      </c>
      <c r="AK100" s="55">
        <f t="shared" ca="1" si="40"/>
        <v>-28.58398712698266</v>
      </c>
    </row>
    <row r="101" spans="18:37">
      <c r="R101" s="83">
        <f ca="1"/>
        <v>45207</v>
      </c>
      <c r="S101" s="55">
        <f t="shared" ca="1" si="33"/>
        <v>45207</v>
      </c>
      <c r="T101" s="55">
        <f t="shared" ca="1" si="27"/>
        <v>57.978219897741972</v>
      </c>
      <c r="U101" s="55">
        <f t="shared" ca="1" si="28"/>
        <v>1.459916544469138</v>
      </c>
      <c r="V101" s="55">
        <f t="shared" ca="1" si="29"/>
        <v>0</v>
      </c>
      <c r="W101" s="55">
        <f t="shared" ca="1" si="34"/>
        <v>0</v>
      </c>
      <c r="X101" s="55">
        <f t="shared" ca="1" si="35"/>
        <v>16.547953232672082</v>
      </c>
      <c r="Y101" s="55">
        <f t="shared" ca="1" si="36"/>
        <v>-7.9657830689735301</v>
      </c>
      <c r="Z101">
        <f t="shared" ca="1" si="30"/>
        <v>28.83763849919869</v>
      </c>
      <c r="AA101">
        <f t="shared" ca="1" si="37"/>
        <v>0</v>
      </c>
      <c r="AB101">
        <f t="shared" ca="1" si="31"/>
        <v>0</v>
      </c>
      <c r="AC101">
        <f t="shared" ca="1" si="32"/>
        <v>1.4071485524441421E-2</v>
      </c>
      <c r="AD101" s="83">
        <f ca="1"/>
        <v>45375</v>
      </c>
      <c r="AE101" s="55">
        <f t="shared" ca="1" si="41"/>
        <v>45375</v>
      </c>
      <c r="AF101" s="55">
        <f t="shared" ca="1" si="42"/>
        <v>-28.814811128439381</v>
      </c>
      <c r="AG101" s="55">
        <f t="shared" ca="1" si="43"/>
        <v>51.371420525923973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21.221705180152561</v>
      </c>
      <c r="AK101" s="55">
        <f t="shared" ca="1" si="40"/>
        <v>-28.641553465203049</v>
      </c>
    </row>
    <row r="102" spans="18:37">
      <c r="R102" s="83">
        <f ca="1"/>
        <v>45208</v>
      </c>
      <c r="S102" s="55">
        <f t="shared" ca="1" si="33"/>
        <v>45208</v>
      </c>
      <c r="T102" s="55">
        <f t="shared" ca="1" si="27"/>
        <v>58.0546738385612</v>
      </c>
      <c r="U102" s="55">
        <f t="shared" ca="1" si="28"/>
        <v>1.5269810214645214</v>
      </c>
      <c r="V102" s="55">
        <f t="shared" ca="1" si="29"/>
        <v>0</v>
      </c>
      <c r="W102" s="55">
        <f t="shared" ca="1" si="34"/>
        <v>0</v>
      </c>
      <c r="X102" s="55">
        <f t="shared" ca="1" si="35"/>
        <v>16.698944798728412</v>
      </c>
      <c r="Y102" s="55">
        <f t="shared" ca="1" si="36"/>
        <v>-7.9732562172152459</v>
      </c>
      <c r="Z102">
        <f t="shared" ca="1" si="30"/>
        <v>29.177562448657721</v>
      </c>
      <c r="AA102">
        <f t="shared" ca="1" si="37"/>
        <v>0</v>
      </c>
      <c r="AB102">
        <f t="shared" ca="1" si="31"/>
        <v>0</v>
      </c>
      <c r="AC102">
        <f t="shared" ca="1" si="32"/>
        <v>1.5726651707334994E-2</v>
      </c>
      <c r="AD102" s="83">
        <f ca="1"/>
        <v>45376</v>
      </c>
      <c r="AE102" s="55">
        <f t="shared" ca="1" si="41"/>
        <v>45376</v>
      </c>
      <c r="AF102" s="55">
        <f t="shared" ca="1" si="42"/>
        <v>-30.477537114636455</v>
      </c>
      <c r="AG102" s="55">
        <f t="shared" ca="1" si="43"/>
        <v>53.196638166748293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21.431327968862149</v>
      </c>
      <c r="AK102" s="55">
        <f t="shared" ca="1" si="40"/>
        <v>-28.688684599285391</v>
      </c>
    </row>
    <row r="103" spans="18:37">
      <c r="R103" s="83">
        <f ca="1"/>
        <v>45209</v>
      </c>
      <c r="S103" s="55">
        <f t="shared" ca="1" si="33"/>
        <v>45209</v>
      </c>
      <c r="T103" s="55">
        <f t="shared" ca="1" si="27"/>
        <v>58.128409994891172</v>
      </c>
      <c r="U103" s="55">
        <f t="shared" ca="1" si="28"/>
        <v>1.5961140147998156</v>
      </c>
      <c r="V103" s="55">
        <f t="shared" ca="1" si="29"/>
        <v>0</v>
      </c>
      <c r="W103" s="55">
        <f t="shared" ca="1" si="34"/>
        <v>0</v>
      </c>
      <c r="X103" s="55">
        <f t="shared" ca="1" si="35"/>
        <v>16.848949930366068</v>
      </c>
      <c r="Y103" s="55">
        <f t="shared" ca="1" si="36"/>
        <v>-7.980392199187639</v>
      </c>
      <c r="Z103">
        <f t="shared" ca="1" si="30"/>
        <v>29.211820240481138</v>
      </c>
      <c r="AA103">
        <f t="shared" ca="1" si="37"/>
        <v>0</v>
      </c>
      <c r="AB103">
        <f t="shared" ca="1" si="31"/>
        <v>0</v>
      </c>
      <c r="AC103">
        <f t="shared" ca="1" si="32"/>
        <v>1.7545311995583186E-2</v>
      </c>
      <c r="AD103" s="83">
        <f ca="1"/>
        <v>45377</v>
      </c>
      <c r="AE103" s="55">
        <f t="shared" ca="1" si="41"/>
        <v>45377</v>
      </c>
      <c r="AF103" s="55">
        <f t="shared" ca="1" si="42"/>
        <v>-32.287437530050134</v>
      </c>
      <c r="AG103" s="55">
        <f t="shared" ca="1" si="43"/>
        <v>55.185081979765009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21.655717162057257</v>
      </c>
      <c r="AK103" s="55">
        <f t="shared" ca="1" si="40"/>
        <v>-28.734530394877464</v>
      </c>
    </row>
    <row r="104" spans="18:37">
      <c r="R104" s="83">
        <f ca="1"/>
        <v>45210</v>
      </c>
      <c r="S104" s="55">
        <f t="shared" ca="1" si="33"/>
        <v>45210</v>
      </c>
      <c r="T104" s="55">
        <f t="shared" ca="1" si="27"/>
        <v>58.198478482549007</v>
      </c>
      <c r="U104" s="55">
        <f t="shared" ca="1" si="28"/>
        <v>1.67843646406084</v>
      </c>
      <c r="V104" s="55">
        <f t="shared" ca="1" si="29"/>
        <v>0</v>
      </c>
      <c r="W104" s="55">
        <f t="shared" ca="1" si="34"/>
        <v>0</v>
      </c>
      <c r="X104" s="55">
        <f t="shared" ca="1" si="35"/>
        <v>17.008331217362073</v>
      </c>
      <c r="Y104" s="55">
        <f t="shared" ca="1" si="36"/>
        <v>-7.9873825492647832</v>
      </c>
      <c r="Z104">
        <f t="shared" ca="1" si="30"/>
        <v>28.506817068384137</v>
      </c>
      <c r="AA104">
        <f t="shared" ca="1" si="37"/>
        <v>0</v>
      </c>
      <c r="AB104">
        <f t="shared" ca="1" si="31"/>
        <v>0</v>
      </c>
      <c r="AC104">
        <f t="shared" ca="1" si="32"/>
        <v>1.986162856856543E-2</v>
      </c>
      <c r="AD104" s="83">
        <f ca="1"/>
        <v>45378</v>
      </c>
      <c r="AE104" s="55">
        <f t="shared" ca="1" si="41"/>
        <v>45378</v>
      </c>
      <c r="AF104" s="55">
        <f t="shared" ca="1" si="42"/>
        <v>-34.201630608731222</v>
      </c>
      <c r="AG104" s="55">
        <f t="shared" ca="1" si="43"/>
        <v>57.287915717293671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21.887180295940905</v>
      </c>
      <c r="AK104" s="55">
        <f t="shared" ca="1" si="40"/>
        <v>-28.777352869913532</v>
      </c>
    </row>
    <row r="105" spans="18:37">
      <c r="R105" s="83">
        <f ca="1"/>
        <v>45211</v>
      </c>
      <c r="S105" s="55">
        <f t="shared" ca="1" si="33"/>
        <v>45211</v>
      </c>
      <c r="T105" s="55">
        <f t="shared" ca="1" si="27"/>
        <v>58.263138806612496</v>
      </c>
      <c r="U105" s="55">
        <f t="shared" ca="1" si="28"/>
        <v>1.7844910521447728</v>
      </c>
      <c r="V105" s="55">
        <f t="shared" ca="1" si="29"/>
        <v>0</v>
      </c>
      <c r="W105" s="55">
        <f t="shared" ca="1" si="34"/>
        <v>0</v>
      </c>
      <c r="X105" s="55">
        <f t="shared" ca="1" si="35"/>
        <v>17.186060547374503</v>
      </c>
      <c r="Y105" s="55">
        <f t="shared" ca="1" si="36"/>
        <v>-7.9943969671297861</v>
      </c>
      <c r="Z105">
        <f t="shared" ca="1" si="30"/>
        <v>27.472427733876696</v>
      </c>
      <c r="AA105">
        <f t="shared" ca="1" si="37"/>
        <v>0</v>
      </c>
      <c r="AB105">
        <f t="shared" ca="1" si="31"/>
        <v>0</v>
      </c>
      <c r="AC105">
        <f t="shared" ca="1" si="32"/>
        <v>2.3089906010695344E-2</v>
      </c>
      <c r="AD105" s="83">
        <f ca="1"/>
        <v>45379</v>
      </c>
      <c r="AE105" s="55">
        <f t="shared" ca="1" si="41"/>
        <v>45379</v>
      </c>
      <c r="AF105" s="55">
        <f t="shared" ca="1" si="42"/>
        <v>-36.156560301834396</v>
      </c>
      <c r="AG105" s="55">
        <f t="shared" ca="1" si="43"/>
        <v>59.433224446862852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22.11646033767439</v>
      </c>
      <c r="AK105" s="55">
        <f t="shared" ca="1" si="40"/>
        <v>-28.816253875181015</v>
      </c>
    </row>
    <row r="106" spans="18:37">
      <c r="R106" s="83">
        <f ca="1"/>
        <v>45212</v>
      </c>
      <c r="S106" s="55">
        <f t="shared" ca="1" si="33"/>
        <v>45212</v>
      </c>
      <c r="T106" s="55">
        <f t="shared" ca="1" si="27"/>
        <v>58.322132378615677</v>
      </c>
      <c r="U106" s="55">
        <f t="shared" ca="1" si="28"/>
        <v>1.8879049132415922</v>
      </c>
      <c r="V106" s="55">
        <f t="shared" ca="1" si="29"/>
        <v>0</v>
      </c>
      <c r="W106" s="55">
        <f t="shared" ca="1" si="34"/>
        <v>0</v>
      </c>
      <c r="X106" s="55">
        <f t="shared" ca="1" si="35"/>
        <v>17.354909879931235</v>
      </c>
      <c r="Y106" s="55">
        <f t="shared" ca="1" si="36"/>
        <v>-8.000838866586518</v>
      </c>
      <c r="Z106">
        <f t="shared" ca="1" si="30"/>
        <v>27.536560933088019</v>
      </c>
      <c r="AA106">
        <f t="shared" ca="1" si="37"/>
        <v>0</v>
      </c>
      <c r="AB106">
        <f t="shared" ca="1" si="31"/>
        <v>0</v>
      </c>
      <c r="AC106">
        <f t="shared" ca="1" si="32"/>
        <v>2.6505124513430796E-2</v>
      </c>
      <c r="AD106" s="83">
        <f ca="1"/>
        <v>45380</v>
      </c>
      <c r="AE106" s="55">
        <f t="shared" ca="1" si="41"/>
        <v>45380</v>
      </c>
      <c r="AF106" s="55">
        <f t="shared" ca="1" si="42"/>
        <v>-38.164881624373315</v>
      </c>
      <c r="AG106" s="55">
        <f t="shared" ca="1" si="43"/>
        <v>61.638896032500284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22.354181436279319</v>
      </c>
      <c r="AK106" s="55">
        <f t="shared" ca="1" si="40"/>
        <v>-28.856624710687431</v>
      </c>
    </row>
    <row r="107" spans="18:37">
      <c r="R107" s="83">
        <f ca="1"/>
        <v>45213</v>
      </c>
      <c r="S107" s="55">
        <f t="shared" ca="1" si="33"/>
        <v>45213</v>
      </c>
      <c r="T107" s="55">
        <f t="shared" ca="1" si="27"/>
        <v>58.375358049202013</v>
      </c>
      <c r="U107" s="55">
        <f t="shared" ca="1" si="28"/>
        <v>1.9909647706198159</v>
      </c>
      <c r="V107" s="55">
        <f t="shared" ca="1" si="29"/>
        <v>0</v>
      </c>
      <c r="W107" s="55">
        <f t="shared" ca="1" si="34"/>
        <v>0</v>
      </c>
      <c r="X107" s="55">
        <f t="shared" ca="1" si="35"/>
        <v>17.517009754037321</v>
      </c>
      <c r="Y107" s="55">
        <f t="shared" ca="1" si="36"/>
        <v>-8.0066532127280432</v>
      </c>
      <c r="Z107">
        <f t="shared" ca="1" si="30"/>
        <v>26.732695964954402</v>
      </c>
      <c r="AA107">
        <f t="shared" ca="1" si="37"/>
        <v>0</v>
      </c>
      <c r="AB107">
        <f t="shared" ca="1" si="31"/>
        <v>0</v>
      </c>
      <c r="AC107">
        <f t="shared" ca="1" si="32"/>
        <v>3.017294102038998E-2</v>
      </c>
      <c r="AD107" s="83">
        <f ca="1"/>
        <v>45381</v>
      </c>
      <c r="AE107" s="55">
        <f t="shared" ca="1" si="41"/>
        <v>45381</v>
      </c>
      <c r="AF107" s="55">
        <f t="shared" ca="1" si="42"/>
        <v>-40.094596475695205</v>
      </c>
      <c r="AG107" s="55">
        <f t="shared" ca="1" si="43"/>
        <v>63.755117881815622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22.576440381718079</v>
      </c>
      <c r="AK107" s="55">
        <f t="shared" ca="1" si="40"/>
        <v>-28.892376658132743</v>
      </c>
    </row>
    <row r="108" spans="18:37">
      <c r="R108" s="83">
        <f ca="1"/>
        <v>45214</v>
      </c>
      <c r="S108" s="55">
        <f t="shared" ca="1" si="33"/>
        <v>45214</v>
      </c>
      <c r="T108" s="55">
        <f t="shared" ca="1" si="27"/>
        <v>58.422914708611955</v>
      </c>
      <c r="U108" s="55">
        <f t="shared" ca="1" si="28"/>
        <v>2.0946313576020863</v>
      </c>
      <c r="V108" s="55">
        <f t="shared" ca="1" si="29"/>
        <v>0</v>
      </c>
      <c r="W108" s="55">
        <f t="shared" ca="1" si="34"/>
        <v>0</v>
      </c>
      <c r="X108" s="55">
        <f t="shared" ca="1" si="35"/>
        <v>17.673442756679048</v>
      </c>
      <c r="Y108" s="55">
        <f t="shared" ca="1" si="36"/>
        <v>-8.0118629689775567</v>
      </c>
      <c r="Z108">
        <f t="shared" ca="1" si="30"/>
        <v>25.568166852235372</v>
      </c>
      <c r="AA108">
        <f t="shared" ca="1" si="37"/>
        <v>0</v>
      </c>
      <c r="AB108">
        <f t="shared" ca="1" si="31"/>
        <v>0</v>
      </c>
      <c r="AC108">
        <f t="shared" ca="1" si="32"/>
        <v>3.4129179258995591E-2</v>
      </c>
      <c r="AD108" s="83">
        <f ca="1"/>
        <v>45382</v>
      </c>
      <c r="AE108" s="55">
        <f t="shared" ca="1" si="41"/>
        <v>45382</v>
      </c>
      <c r="AF108" s="55">
        <f t="shared" ca="1" si="42"/>
        <v>-41.985300534379377</v>
      </c>
      <c r="AG108" s="55">
        <f t="shared" ca="1" si="43"/>
        <v>65.825246344542379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22.786405063691088</v>
      </c>
      <c r="AK108" s="55">
        <f t="shared" ca="1" si="40"/>
        <v>-28.922916936063164</v>
      </c>
    </row>
    <row r="109" spans="18:37">
      <c r="R109" s="83">
        <f ca="1"/>
        <v>45215</v>
      </c>
      <c r="S109" s="55">
        <f t="shared" ca="1" si="33"/>
        <v>45215</v>
      </c>
      <c r="T109" s="55">
        <f t="shared" ca="1" si="27"/>
        <v>58.461368508538243</v>
      </c>
      <c r="U109" s="55">
        <f t="shared" ca="1" si="28"/>
        <v>2.2143880721082572</v>
      </c>
      <c r="V109" s="55">
        <f t="shared" ca="1" si="29"/>
        <v>0</v>
      </c>
      <c r="W109" s="55">
        <f t="shared" ca="1" si="34"/>
        <v>0</v>
      </c>
      <c r="X109" s="55">
        <f t="shared" ca="1" si="35"/>
        <v>17.836555309718555</v>
      </c>
      <c r="Y109" s="55">
        <f t="shared" ca="1" si="36"/>
        <v>-8.0167650075846009</v>
      </c>
      <c r="Z109">
        <f t="shared" ca="1" si="30"/>
        <v>24.233309070690961</v>
      </c>
      <c r="AA109">
        <f t="shared" ca="1" si="37"/>
        <v>0</v>
      </c>
      <c r="AB109">
        <f t="shared" ca="1" si="31"/>
        <v>0</v>
      </c>
      <c r="AC109">
        <f t="shared" ca="1" si="32"/>
        <v>3.9032085129152294E-2</v>
      </c>
      <c r="AD109" s="83">
        <f ca="1"/>
        <v>45383</v>
      </c>
      <c r="AE109" s="55">
        <f t="shared" ca="1" si="41"/>
        <v>45383</v>
      </c>
      <c r="AF109" s="55">
        <f t="shared" ca="1" si="42"/>
        <v>-43.991595385439844</v>
      </c>
      <c r="AG109" s="55">
        <f t="shared" ca="1" si="43"/>
        <v>68.021884895680969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23.004618715841595</v>
      </c>
      <c r="AK109" s="55">
        <f t="shared" ca="1" si="40"/>
        <v>-28.95078688813555</v>
      </c>
    </row>
    <row r="110" spans="18:37">
      <c r="R110" s="83">
        <f ca="1"/>
        <v>45216</v>
      </c>
      <c r="S110" s="55">
        <f t="shared" ca="1" si="33"/>
        <v>45216</v>
      </c>
      <c r="T110" s="55">
        <f t="shared" ca="1" si="27"/>
        <v>58.48796134444396</v>
      </c>
      <c r="U110" s="55">
        <f t="shared" ca="1" si="28"/>
        <v>2.3570278971267289</v>
      </c>
      <c r="V110" s="55">
        <f t="shared" ca="1" si="29"/>
        <v>0</v>
      </c>
      <c r="W110" s="55">
        <f t="shared" ca="1" si="34"/>
        <v>0</v>
      </c>
      <c r="X110" s="55">
        <f t="shared" ca="1" si="35"/>
        <v>18.01051184703331</v>
      </c>
      <c r="Y110" s="55">
        <f t="shared" ca="1" si="36"/>
        <v>-8.0214888839751612</v>
      </c>
      <c r="Z110">
        <f t="shared" ca="1" si="30"/>
        <v>23.181076036168751</v>
      </c>
      <c r="AA110">
        <f t="shared" ca="1" si="37"/>
        <v>0</v>
      </c>
      <c r="AB110">
        <f t="shared" ca="1" si="31"/>
        <v>0</v>
      </c>
      <c r="AC110">
        <f t="shared" ca="1" si="32"/>
        <v>4.5333963371154203E-2</v>
      </c>
      <c r="AD110" s="83">
        <f ca="1"/>
        <v>45384</v>
      </c>
      <c r="AE110" s="55">
        <f t="shared" ca="1" si="41"/>
        <v>45384</v>
      </c>
      <c r="AF110" s="55">
        <f t="shared" ca="1" si="42"/>
        <v>-45.975724735307018</v>
      </c>
      <c r="AG110" s="55">
        <f t="shared" ca="1" si="43"/>
        <v>70.19246791877876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23.215736065820092</v>
      </c>
      <c r="AK110" s="55">
        <f t="shared" ca="1" si="40"/>
        <v>-28.975450564883435</v>
      </c>
    </row>
    <row r="111" spans="18:37">
      <c r="R111" s="83">
        <f ca="1"/>
        <v>45217</v>
      </c>
      <c r="S111" s="55">
        <f t="shared" ca="1" si="33"/>
        <v>45217</v>
      </c>
      <c r="T111" s="55">
        <f t="shared" ca="1" si="27"/>
        <v>58.507931686810686</v>
      </c>
      <c r="U111" s="55">
        <f t="shared" ca="1" si="28"/>
        <v>2.4954256049383763</v>
      </c>
      <c r="V111" s="55">
        <f t="shared" ca="1" si="29"/>
        <v>0</v>
      </c>
      <c r="W111" s="55">
        <f t="shared" ca="1" si="34"/>
        <v>0</v>
      </c>
      <c r="X111" s="55">
        <f t="shared" ca="1" si="35"/>
        <v>18.17290904073657</v>
      </c>
      <c r="Y111" s="55">
        <f t="shared" ca="1" si="36"/>
        <v>-8.0255180275000484</v>
      </c>
      <c r="Z111">
        <f t="shared" ca="1" si="30"/>
        <v>21.60800498968414</v>
      </c>
      <c r="AA111">
        <f t="shared" ca="1" si="37"/>
        <v>0</v>
      </c>
      <c r="AB111">
        <f t="shared" ca="1" si="31"/>
        <v>0</v>
      </c>
      <c r="AC111">
        <f t="shared" ca="1" si="32"/>
        <v>5.1922264103989438E-2</v>
      </c>
      <c r="AD111" s="83">
        <f ca="1"/>
        <v>45385</v>
      </c>
      <c r="AE111" s="55">
        <f t="shared" ca="1" si="41"/>
        <v>45385</v>
      </c>
      <c r="AF111" s="55">
        <f t="shared" ca="1" si="42"/>
        <v>-47.916352247085385</v>
      </c>
      <c r="AG111" s="55">
        <f t="shared" ca="1" si="43"/>
        <v>72.314355832319706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23.418862855719173</v>
      </c>
      <c r="AK111" s="55">
        <f t="shared" ca="1" si="40"/>
        <v>-28.997316953019936</v>
      </c>
    </row>
    <row r="112" spans="18:37">
      <c r="R112" s="83">
        <f ca="1"/>
        <v>45218</v>
      </c>
      <c r="S112" s="55">
        <f t="shared" ca="1" si="33"/>
        <v>45218</v>
      </c>
      <c r="T112" s="55">
        <f t="shared" ca="1" si="27"/>
        <v>58.519612193915137</v>
      </c>
      <c r="U112" s="55">
        <f t="shared" ca="1" si="28"/>
        <v>2.6411100892572494</v>
      </c>
      <c r="V112" s="55">
        <f t="shared" ca="1" si="29"/>
        <v>0</v>
      </c>
      <c r="W112" s="55">
        <f t="shared" ca="1" si="34"/>
        <v>0</v>
      </c>
      <c r="X112" s="55">
        <f t="shared" ca="1" si="35"/>
        <v>18.333999743590372</v>
      </c>
      <c r="Y112" s="55">
        <f t="shared" ca="1" si="36"/>
        <v>-8.029243738930532</v>
      </c>
      <c r="Z112">
        <f t="shared" ca="1" si="30"/>
        <v>20.933517461423861</v>
      </c>
      <c r="AA112">
        <f t="shared" ca="1" si="37"/>
        <v>0</v>
      </c>
      <c r="AB112">
        <f t="shared" ca="1" si="31"/>
        <v>0</v>
      </c>
      <c r="AC112">
        <f t="shared" ca="1" si="32"/>
        <v>5.9351064640878359E-2</v>
      </c>
      <c r="AD112" s="83">
        <f ca="1"/>
        <v>45386</v>
      </c>
      <c r="AE112" s="55">
        <f t="shared" ca="1" si="41"/>
        <v>45386</v>
      </c>
      <c r="AF112" s="55">
        <f t="shared" ca="1" si="42"/>
        <v>-49.851232203126294</v>
      </c>
      <c r="AG112" s="55">
        <f t="shared" ca="1" si="43"/>
        <v>74.428728473741756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23.617382062847387</v>
      </c>
      <c r="AK112" s="55">
        <f t="shared" ca="1" si="40"/>
        <v>-29.016343474767009</v>
      </c>
    </row>
    <row r="113" spans="18:37">
      <c r="R113" s="83">
        <f ca="1"/>
        <v>45219</v>
      </c>
      <c r="S113" s="55">
        <f t="shared" ca="1" si="33"/>
        <v>45219</v>
      </c>
      <c r="T113" s="55">
        <f t="shared" ca="1" si="27"/>
        <v>58.520783683989542</v>
      </c>
      <c r="U113" s="55">
        <f t="shared" ca="1" si="28"/>
        <v>2.7965872500748685</v>
      </c>
      <c r="V113" s="55">
        <f t="shared" ca="1" si="29"/>
        <v>0</v>
      </c>
      <c r="W113" s="55">
        <f t="shared" ca="1" si="34"/>
        <v>0</v>
      </c>
      <c r="X113" s="55">
        <f t="shared" ca="1" si="35"/>
        <v>18.493946742922709</v>
      </c>
      <c r="Y113" s="55">
        <f t="shared" ca="1" si="36"/>
        <v>-8.0325420873708424</v>
      </c>
      <c r="Z113">
        <f t="shared" ca="1" si="30"/>
        <v>19.273504186606729</v>
      </c>
      <c r="AA113">
        <f t="shared" ca="1" si="37"/>
        <v>0</v>
      </c>
      <c r="AB113">
        <f t="shared" ca="1" si="31"/>
        <v>0</v>
      </c>
      <c r="AC113">
        <f t="shared" ca="1" si="32"/>
        <v>6.7821420820023043E-2</v>
      </c>
      <c r="AD113" s="83">
        <f ca="1"/>
        <v>45387</v>
      </c>
      <c r="AE113" s="55">
        <f t="shared" ca="1" si="41"/>
        <v>45387</v>
      </c>
      <c r="AF113" s="55">
        <f t="shared" ca="1" si="42"/>
        <v>-51.832118933258073</v>
      </c>
      <c r="AG113" s="55">
        <f t="shared" ca="1" si="43"/>
        <v>76.596392412557208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23.822041059814062</v>
      </c>
      <c r="AK113" s="55">
        <f t="shared" ca="1" si="40"/>
        <v>-29.034225263050008</v>
      </c>
    </row>
    <row r="114" spans="18:37">
      <c r="R114" s="83">
        <f ca="1"/>
        <v>45220</v>
      </c>
      <c r="S114" s="55">
        <f t="shared" ca="1" si="33"/>
        <v>45220</v>
      </c>
      <c r="T114" s="55">
        <f t="shared" ca="1" si="27"/>
        <v>58.499898444525634</v>
      </c>
      <c r="U114" s="55">
        <f t="shared" ca="1" si="28"/>
        <v>2.9888628072996775</v>
      </c>
      <c r="V114" s="55">
        <f t="shared" ca="1" si="29"/>
        <v>0</v>
      </c>
      <c r="W114" s="55">
        <f t="shared" ca="1" si="34"/>
        <v>0</v>
      </c>
      <c r="X114" s="55">
        <f t="shared" ca="1" si="35"/>
        <v>18.668472630730207</v>
      </c>
      <c r="Y114" s="55">
        <f t="shared" ca="1" si="36"/>
        <v>-8.0356776574174393</v>
      </c>
      <c r="Z114">
        <f t="shared" ca="1" si="30"/>
        <v>17.743361292975369</v>
      </c>
      <c r="AA114">
        <f t="shared" ca="1" si="37"/>
        <v>0</v>
      </c>
      <c r="AB114">
        <f t="shared" ca="1" si="31"/>
        <v>0</v>
      </c>
      <c r="AC114">
        <f t="shared" ca="1" si="32"/>
        <v>7.9038315740497828E-2</v>
      </c>
      <c r="AD114" s="83">
        <f ca="1"/>
        <v>45388</v>
      </c>
      <c r="AE114" s="55">
        <f t="shared" ca="1" si="41"/>
        <v>45388</v>
      </c>
      <c r="AF114" s="55">
        <f t="shared" ca="1" si="42"/>
        <v>-53.817117756994847</v>
      </c>
      <c r="AG114" s="55">
        <f t="shared" ca="1" si="43"/>
        <v>78.776004340103796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24.03374845301375</v>
      </c>
      <c r="AK114" s="55">
        <f t="shared" ca="1" si="40"/>
        <v>-29.051319552439882</v>
      </c>
    </row>
    <row r="115" spans="18:37">
      <c r="R115" s="83">
        <f ca="1"/>
        <v>45221</v>
      </c>
      <c r="S115" s="55">
        <f t="shared" ca="1" si="33"/>
        <v>45221</v>
      </c>
      <c r="T115" s="55">
        <f t="shared" ca="1" si="27"/>
        <v>58.478441742108437</v>
      </c>
      <c r="U115" s="55">
        <f t="shared" ca="1" si="28"/>
        <v>3.1646277762411401</v>
      </c>
      <c r="V115" s="55">
        <f t="shared" ca="1" si="29"/>
        <v>0</v>
      </c>
      <c r="W115" s="55">
        <f t="shared" ca="1" si="34"/>
        <v>0</v>
      </c>
      <c r="X115" s="55">
        <f t="shared" ca="1" si="35"/>
        <v>18.825383408981285</v>
      </c>
      <c r="Y115" s="55">
        <f t="shared" ca="1" si="36"/>
        <v>-8.0382801691442456</v>
      </c>
      <c r="Z115">
        <f t="shared" ca="1" si="30"/>
        <v>16.522439766831813</v>
      </c>
      <c r="AA115">
        <f t="shared" ca="1" si="37"/>
        <v>0</v>
      </c>
      <c r="AB115">
        <f t="shared" ca="1" si="31"/>
        <v>0</v>
      </c>
      <c r="AC115">
        <f t="shared" ca="1" si="32"/>
        <v>8.9969927397968608E-2</v>
      </c>
      <c r="AD115" s="83">
        <f ca="1"/>
        <v>45389</v>
      </c>
      <c r="AE115" s="55">
        <f t="shared" ca="1" si="41"/>
        <v>45389</v>
      </c>
      <c r="AF115" s="55">
        <f t="shared" ca="1" si="42"/>
        <v>-55.829051737137632</v>
      </c>
      <c r="AG115" s="55">
        <f t="shared" ca="1" si="43"/>
        <v>80.98778428838564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24.247872263704519</v>
      </c>
      <c r="AK115" s="55">
        <f t="shared" ca="1" si="40"/>
        <v>-29.065597394991595</v>
      </c>
    </row>
    <row r="116" spans="18:37">
      <c r="R116" s="83">
        <f ca="1"/>
        <v>45222</v>
      </c>
      <c r="S116" s="55">
        <f t="shared" ca="1" si="33"/>
        <v>45222</v>
      </c>
      <c r="T116" s="55">
        <f t="shared" ca="1" si="27"/>
        <v>58.447234103328633</v>
      </c>
      <c r="U116" s="55">
        <f t="shared" ca="1" si="28"/>
        <v>3.3484576510320294</v>
      </c>
      <c r="V116" s="55">
        <f t="shared" ca="1" si="29"/>
        <v>0</v>
      </c>
      <c r="W116" s="55">
        <f t="shared" ca="1" si="34"/>
        <v>0</v>
      </c>
      <c r="X116" s="55">
        <f t="shared" ca="1" si="35"/>
        <v>18.980374369071455</v>
      </c>
      <c r="Y116" s="55">
        <f t="shared" ca="1" si="36"/>
        <v>-8.0406488932233344</v>
      </c>
      <c r="Z116">
        <f t="shared" ca="1" si="30"/>
        <v>15.695080223315637</v>
      </c>
      <c r="AA116">
        <f t="shared" ca="1" si="37"/>
        <v>0</v>
      </c>
      <c r="AB116">
        <f t="shared" ca="1" si="31"/>
        <v>0</v>
      </c>
      <c r="AC116">
        <f t="shared" ca="1" si="32"/>
        <v>0.10204664311766795</v>
      </c>
      <c r="AD116" s="83">
        <f ca="1"/>
        <v>45390</v>
      </c>
      <c r="AE116" s="55">
        <f t="shared" ca="1" si="41"/>
        <v>45390</v>
      </c>
      <c r="AF116" s="55">
        <f t="shared" ca="1" si="42"/>
        <v>-57.771638568724441</v>
      </c>
      <c r="AG116" s="55">
        <f t="shared" ca="1" si="43"/>
        <v>83.127594566206795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24.456377927826509</v>
      </c>
      <c r="AK116" s="55">
        <f t="shared" ca="1" si="40"/>
        <v>-29.076879612879235</v>
      </c>
    </row>
    <row r="117" spans="18:37">
      <c r="R117" s="83">
        <f ca="1"/>
        <v>45223</v>
      </c>
      <c r="S117" s="55">
        <f t="shared" ca="1" si="33"/>
        <v>45223</v>
      </c>
      <c r="T117" s="55">
        <f t="shared" ca="1" si="27"/>
        <v>58.40310586863248</v>
      </c>
      <c r="U117" s="55">
        <f t="shared" ca="1" si="28"/>
        <v>3.5451443211644933</v>
      </c>
      <c r="V117" s="55">
        <f t="shared" ca="1" si="29"/>
        <v>0</v>
      </c>
      <c r="W117" s="55">
        <f t="shared" ca="1" si="34"/>
        <v>0</v>
      </c>
      <c r="X117" s="55">
        <f t="shared" ca="1" si="35"/>
        <v>19.135022525618048</v>
      </c>
      <c r="Y117" s="55">
        <f t="shared" ca="1" si="36"/>
        <v>-8.0427386143336168</v>
      </c>
      <c r="Z117">
        <f t="shared" ca="1" si="30"/>
        <v>14.277534830546848</v>
      </c>
      <c r="AA117">
        <f t="shared" ca="1" si="37"/>
        <v>0</v>
      </c>
      <c r="AB117">
        <f t="shared" ca="1" si="31"/>
        <v>0</v>
      </c>
      <c r="AC117">
        <f t="shared" ca="1" si="32"/>
        <v>0.11563379022270277</v>
      </c>
      <c r="AD117" s="83">
        <f ca="1"/>
        <v>45391</v>
      </c>
      <c r="AE117" s="55">
        <f t="shared" ca="1" si="41"/>
        <v>45391</v>
      </c>
      <c r="AF117" s="55">
        <f t="shared" ca="1" si="42"/>
        <v>-59.574221735517924</v>
      </c>
      <c r="AG117" s="55">
        <f t="shared" ca="1" si="43"/>
        <v>85.113591262753644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24.647480957528032</v>
      </c>
      <c r="AK117" s="55">
        <f t="shared" ca="1" si="40"/>
        <v>-29.084569112827392</v>
      </c>
    </row>
    <row r="118" spans="18:37">
      <c r="R118" s="83">
        <f ca="1"/>
        <v>45224</v>
      </c>
      <c r="S118" s="55">
        <f t="shared" ca="1" si="33"/>
        <v>45224</v>
      </c>
      <c r="T118" s="55">
        <f t="shared" ca="1" si="27"/>
        <v>58.342281362736969</v>
      </c>
      <c r="U118" s="55">
        <f t="shared" ca="1" si="28"/>
        <v>3.759873440132536</v>
      </c>
      <c r="V118" s="55">
        <f t="shared" ca="1" si="29"/>
        <v>0</v>
      </c>
      <c r="W118" s="55">
        <f t="shared" ca="1" si="34"/>
        <v>0</v>
      </c>
      <c r="X118" s="55">
        <f t="shared" ca="1" si="35"/>
        <v>19.290694878207514</v>
      </c>
      <c r="Y118" s="55">
        <f t="shared" ca="1" si="36"/>
        <v>-8.0445063538505419</v>
      </c>
      <c r="Z118">
        <f t="shared" ca="1" si="30"/>
        <v>12.30545826025196</v>
      </c>
      <c r="AA118">
        <f t="shared" ca="1" si="37"/>
        <v>0</v>
      </c>
      <c r="AB118">
        <f t="shared" ca="1" si="31"/>
        <v>0</v>
      </c>
      <c r="AC118">
        <f t="shared" ca="1" si="32"/>
        <v>0.13116710246359767</v>
      </c>
      <c r="AD118" s="83">
        <f ca="1"/>
        <v>45392</v>
      </c>
      <c r="AE118" s="55">
        <f t="shared" ca="1" si="41"/>
        <v>45392</v>
      </c>
      <c r="AF118" s="55">
        <f t="shared" ca="1" si="42"/>
        <v>-61.431526753041965</v>
      </c>
      <c r="AG118" s="55">
        <f t="shared" ca="1" si="43"/>
        <v>87.159339458255417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24.840786970007283</v>
      </c>
      <c r="AK118" s="55">
        <f t="shared" ca="1" si="40"/>
        <v>-29.089431947328908</v>
      </c>
    </row>
    <row r="119" spans="18:37">
      <c r="R119" s="83">
        <f ca="1"/>
        <v>45225</v>
      </c>
      <c r="S119" s="55">
        <f t="shared" ca="1" si="33"/>
        <v>45225</v>
      </c>
      <c r="T119" s="55">
        <f t="shared" ca="1" si="27"/>
        <v>58.246874202704454</v>
      </c>
      <c r="U119" s="55">
        <f t="shared" ca="1" si="28"/>
        <v>4.0234118470743292</v>
      </c>
      <c r="V119" s="55">
        <f t="shared" ca="1" si="29"/>
        <v>0</v>
      </c>
      <c r="W119" s="55">
        <f t="shared" ca="1" si="34"/>
        <v>0</v>
      </c>
      <c r="X119" s="55">
        <f t="shared" ca="1" si="35"/>
        <v>19.460465869019213</v>
      </c>
      <c r="Y119" s="55">
        <f t="shared" ca="1" si="36"/>
        <v>-8.0461460977529633</v>
      </c>
      <c r="Z119">
        <f t="shared" ca="1" si="30"/>
        <v>10.948015359028044</v>
      </c>
      <c r="AA119">
        <f t="shared" ca="1" si="37"/>
        <v>0</v>
      </c>
      <c r="AB119">
        <f t="shared" ca="1" si="31"/>
        <v>0</v>
      </c>
      <c r="AC119">
        <f t="shared" ca="1" si="32"/>
        <v>0.15108154009643635</v>
      </c>
      <c r="AD119" s="83">
        <f ca="1"/>
        <v>45393</v>
      </c>
      <c r="AE119" s="55">
        <f t="shared" ca="1" si="41"/>
        <v>45393</v>
      </c>
      <c r="AF119" s="55">
        <f t="shared" ca="1" si="42"/>
        <v>-63.2787770403312</v>
      </c>
      <c r="AG119" s="55">
        <f t="shared" ca="1" si="43"/>
        <v>89.194969273973157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25.031363435914457</v>
      </c>
      <c r="AK119" s="55">
        <f t="shared" ca="1" si="40"/>
        <v>-29.09162888480758</v>
      </c>
    </row>
    <row r="120" spans="18:37">
      <c r="R120" s="83">
        <f ca="1"/>
        <v>45226</v>
      </c>
      <c r="S120" s="55">
        <f t="shared" ca="1" si="33"/>
        <v>45226</v>
      </c>
      <c r="T120" s="55">
        <f t="shared" ca="1" si="27"/>
        <v>58.143655757925892</v>
      </c>
      <c r="U120" s="55">
        <f t="shared" ca="1" si="28"/>
        <v>4.2871570941077923</v>
      </c>
      <c r="V120" s="55">
        <f t="shared" ca="1" si="29"/>
        <v>0</v>
      </c>
      <c r="W120" s="55">
        <f t="shared" ca="1" si="34"/>
        <v>0</v>
      </c>
      <c r="X120" s="55">
        <f t="shared" ca="1" si="35"/>
        <v>19.622439871958196</v>
      </c>
      <c r="Y120" s="55">
        <f t="shared" ca="1" si="36"/>
        <v>-8.0475932984370466</v>
      </c>
      <c r="Z120">
        <f t="shared" ca="1" si="30"/>
        <v>10.289889608273761</v>
      </c>
      <c r="AA120">
        <f t="shared" ca="1" si="37"/>
        <v>0</v>
      </c>
      <c r="AB120">
        <f t="shared" ca="1" si="31"/>
        <v>0</v>
      </c>
      <c r="AC120">
        <f t="shared" ca="1" si="32"/>
        <v>0.17176351443187476</v>
      </c>
      <c r="AD120" s="83">
        <f ca="1"/>
        <v>45394</v>
      </c>
      <c r="AE120" s="55">
        <f t="shared" ca="1" si="41"/>
        <v>45394</v>
      </c>
      <c r="AF120" s="55">
        <f t="shared" ca="1" si="42"/>
        <v>-65.212933467583753</v>
      </c>
      <c r="AG120" s="55">
        <f t="shared" ca="1" si="43"/>
        <v>91.326363884271657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25.228263577728605</v>
      </c>
      <c r="AK120" s="55">
        <f t="shared" ca="1" si="40"/>
        <v>-29.091290843575781</v>
      </c>
    </row>
    <row r="121" spans="18:37">
      <c r="R121" s="83">
        <f ca="1"/>
        <v>45227</v>
      </c>
      <c r="S121" s="55">
        <f t="shared" ca="1" si="33"/>
        <v>45227</v>
      </c>
      <c r="T121" s="55">
        <f t="shared" ca="1" si="27"/>
        <v>58.00790588692098</v>
      </c>
      <c r="U121" s="55">
        <f t="shared" ca="1" si="28"/>
        <v>4.5923435586185608</v>
      </c>
      <c r="V121" s="55">
        <f t="shared" ca="1" si="29"/>
        <v>0</v>
      </c>
      <c r="W121" s="55">
        <f t="shared" ca="1" si="34"/>
        <v>0</v>
      </c>
      <c r="X121" s="55">
        <f t="shared" ca="1" si="35"/>
        <v>19.793269499572869</v>
      </c>
      <c r="Y121" s="55">
        <f t="shared" ca="1" si="36"/>
        <v>-8.0489863325458639</v>
      </c>
      <c r="Z121">
        <f t="shared" ca="1" si="30"/>
        <v>9.7576438931926948</v>
      </c>
      <c r="AA121">
        <f t="shared" ca="1" si="37"/>
        <v>0</v>
      </c>
      <c r="AB121">
        <f t="shared" ca="1" si="31"/>
        <v>0</v>
      </c>
      <c r="AC121">
        <f t="shared" ca="1" si="32"/>
        <v>0.19637094778040354</v>
      </c>
      <c r="AD121" s="83">
        <f ca="1"/>
        <v>45395</v>
      </c>
      <c r="AE121" s="55">
        <f t="shared" ca="1" si="41"/>
        <v>45395</v>
      </c>
      <c r="AF121" s="55">
        <f t="shared" ca="1" si="42"/>
        <v>-67.096322227062899</v>
      </c>
      <c r="AG121" s="55">
        <f t="shared" ca="1" si="43"/>
        <v>93.399948511208365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25.415855013901524</v>
      </c>
      <c r="AK121" s="55">
        <f t="shared" ca="1" si="40"/>
        <v>-29.088686412291135</v>
      </c>
    </row>
    <row r="122" spans="18:37">
      <c r="R122" s="83">
        <f ca="1"/>
        <v>45228</v>
      </c>
      <c r="S122" s="55">
        <f t="shared" ca="1" si="33"/>
        <v>45228</v>
      </c>
      <c r="T122" s="55">
        <f t="shared" ca="1" si="27"/>
        <v>57.845381979639491</v>
      </c>
      <c r="U122" s="55">
        <f t="shared" ca="1" si="28"/>
        <v>4.9264830851946098</v>
      </c>
      <c r="V122" s="55">
        <f t="shared" ca="1" si="29"/>
        <v>0</v>
      </c>
      <c r="W122" s="55">
        <f t="shared" ca="1" si="34"/>
        <v>0</v>
      </c>
      <c r="X122" s="55">
        <f t="shared" ca="1" si="35"/>
        <v>19.966137913835965</v>
      </c>
      <c r="Y122" s="55">
        <f t="shared" ca="1" si="36"/>
        <v>-8.050239127514395</v>
      </c>
      <c r="Z122">
        <f t="shared" ca="1" si="30"/>
        <v>8.9071555532453424</v>
      </c>
      <c r="AA122">
        <f t="shared" ca="1" si="37"/>
        <v>0</v>
      </c>
      <c r="AB122">
        <f t="shared" ca="1" si="31"/>
        <v>0</v>
      </c>
      <c r="AC122">
        <f t="shared" ca="1" si="32"/>
        <v>0.22380254295341784</v>
      </c>
      <c r="AD122" s="83">
        <f ca="1"/>
        <v>45396</v>
      </c>
      <c r="AE122" s="55">
        <f t="shared" ca="1" si="41"/>
        <v>45396</v>
      </c>
      <c r="AF122" s="55">
        <f t="shared" ca="1" si="42"/>
        <v>-69.152490731069719</v>
      </c>
      <c r="AG122" s="55">
        <f t="shared" ca="1" si="43"/>
        <v>95.660298767241571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25.615321941040225</v>
      </c>
      <c r="AK122" s="55">
        <f t="shared" ca="1" si="40"/>
        <v>-29.083971587403443</v>
      </c>
    </row>
    <row r="123" spans="18:37">
      <c r="R123" s="83">
        <f ca="1"/>
        <v>45229</v>
      </c>
      <c r="S123" s="55">
        <f t="shared" ca="1" si="33"/>
        <v>45229</v>
      </c>
      <c r="T123" s="55">
        <f t="shared" ca="1" si="27"/>
        <v>57.669334952564625</v>
      </c>
      <c r="U123" s="55">
        <f t="shared" ca="1" si="28"/>
        <v>5.2687246912191155</v>
      </c>
      <c r="V123" s="55">
        <f t="shared" ca="1" si="29"/>
        <v>0</v>
      </c>
      <c r="W123" s="55">
        <f t="shared" ca="1" si="34"/>
        <v>0</v>
      </c>
      <c r="X123" s="55">
        <f t="shared" ca="1" si="35"/>
        <v>20.133464564410634</v>
      </c>
      <c r="Y123" s="55">
        <f t="shared" ca="1" si="36"/>
        <v>-8.0513711991394281</v>
      </c>
      <c r="Z123">
        <f t="shared" ca="1" si="30"/>
        <v>8.4624773461083507</v>
      </c>
      <c r="AA123">
        <f t="shared" ca="1" si="37"/>
        <v>0</v>
      </c>
      <c r="AB123">
        <f t="shared" ca="1" si="31"/>
        <v>0</v>
      </c>
      <c r="AC123">
        <f t="shared" ca="1" si="32"/>
        <v>0.25205288190091402</v>
      </c>
      <c r="AD123" s="83">
        <f ca="1"/>
        <v>45397</v>
      </c>
      <c r="AE123" s="55">
        <f t="shared" ca="1" si="41"/>
        <v>45397</v>
      </c>
      <c r="AF123" s="55">
        <f t="shared" ca="1" si="42"/>
        <v>-71.158487526407072</v>
      </c>
      <c r="AG123" s="55">
        <f t="shared" ca="1" si="43"/>
        <v>97.863564251045048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25.806222981706476</v>
      </c>
      <c r="AK123" s="55">
        <f t="shared" ca="1" si="40"/>
        <v>-29.077603939603566</v>
      </c>
    </row>
    <row r="124" spans="18:37">
      <c r="R124" s="83">
        <f ca="1"/>
        <v>45230</v>
      </c>
      <c r="S124" s="55">
        <f t="shared" ca="1" si="33"/>
        <v>45230</v>
      </c>
      <c r="T124" s="55">
        <f t="shared" ca="1" si="27"/>
        <v>57.471975534378174</v>
      </c>
      <c r="U124" s="55">
        <f t="shared" ca="1" si="28"/>
        <v>5.6304285842395636</v>
      </c>
      <c r="V124" s="55">
        <f t="shared" ca="1" si="29"/>
        <v>0</v>
      </c>
      <c r="W124" s="55">
        <f t="shared" ca="1" si="34"/>
        <v>0</v>
      </c>
      <c r="X124" s="55">
        <f t="shared" ca="1" si="35"/>
        <v>20.298768029940504</v>
      </c>
      <c r="Y124" s="55">
        <f t="shared" ca="1" si="36"/>
        <v>-8.0523301898353097</v>
      </c>
      <c r="Z124">
        <f t="shared" ca="1" si="30"/>
        <v>7.3809268685462683</v>
      </c>
      <c r="AA124">
        <f t="shared" ca="1" si="37"/>
        <v>0</v>
      </c>
      <c r="AB124">
        <f t="shared" ca="1" si="31"/>
        <v>0</v>
      </c>
      <c r="AC124">
        <f t="shared" ca="1" si="32"/>
        <v>0.28168605562414567</v>
      </c>
      <c r="AD124" s="83">
        <f ca="1"/>
        <v>45398</v>
      </c>
      <c r="AE124" s="55">
        <f t="shared" ca="1" si="41"/>
        <v>45398</v>
      </c>
      <c r="AF124" s="55">
        <f t="shared" ca="1" si="42"/>
        <v>-73.210010885135091</v>
      </c>
      <c r="AG124" s="55">
        <f t="shared" ca="1" si="43"/>
        <v>100.1189613408379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26.001705658034123</v>
      </c>
      <c r="AK124" s="55">
        <f t="shared" ca="1" si="40"/>
        <v>-29.069212884866378</v>
      </c>
    </row>
    <row r="125" spans="18:37">
      <c r="R125" s="83">
        <f ca="1"/>
        <v>45231</v>
      </c>
      <c r="S125" s="55">
        <f t="shared" ca="1" si="33"/>
        <v>45231</v>
      </c>
      <c r="T125" s="55">
        <f t="shared" ca="1" si="27"/>
        <v>57.227220922887021</v>
      </c>
      <c r="U125" s="55">
        <f t="shared" ca="1" si="28"/>
        <v>6.0486138425658025</v>
      </c>
      <c r="V125" s="55">
        <f t="shared" ca="1" si="29"/>
        <v>0</v>
      </c>
      <c r="W125" s="55">
        <f t="shared" ca="1" si="34"/>
        <v>0</v>
      </c>
      <c r="X125" s="55">
        <f t="shared" ca="1" si="35"/>
        <v>20.473096123316079</v>
      </c>
      <c r="Y125" s="55">
        <f t="shared" ca="1" si="36"/>
        <v>-8.0532276363758015</v>
      </c>
      <c r="Z125">
        <f t="shared" ca="1" si="30"/>
        <v>6.7579994821772882</v>
      </c>
      <c r="AA125">
        <f t="shared" ca="1" si="37"/>
        <v>0</v>
      </c>
      <c r="AB125">
        <f t="shared" ca="1" si="31"/>
        <v>0</v>
      </c>
      <c r="AC125">
        <f t="shared" ca="1" si="32"/>
        <v>0.31519943935613359</v>
      </c>
      <c r="AD125" s="83">
        <f ca="1"/>
        <v>45399</v>
      </c>
      <c r="AE125" s="55">
        <f t="shared" ca="1" si="41"/>
        <v>45399</v>
      </c>
      <c r="AF125" s="55">
        <f t="shared" ca="1" si="42"/>
        <v>-75.151934659051761</v>
      </c>
      <c r="AG125" s="55">
        <f t="shared" ca="1" si="43"/>
        <v>102.25200781920844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26.183387423555313</v>
      </c>
      <c r="AK125" s="55">
        <f t="shared" ca="1" si="40"/>
        <v>-29.059771945933694</v>
      </c>
    </row>
    <row r="126" spans="18:37">
      <c r="R126" s="83">
        <f ca="1"/>
        <v>45232</v>
      </c>
      <c r="S126" s="55">
        <f t="shared" ca="1" si="33"/>
        <v>45232</v>
      </c>
      <c r="T126" s="55">
        <f t="shared" ca="1" si="27"/>
        <v>56.97999069435911</v>
      </c>
      <c r="U126" s="55">
        <f t="shared" ca="1" si="28"/>
        <v>6.459184684915682</v>
      </c>
      <c r="V126" s="55">
        <f t="shared" ca="1" si="29"/>
        <v>0</v>
      </c>
      <c r="W126" s="55">
        <f t="shared" ca="1" si="34"/>
        <v>0</v>
      </c>
      <c r="X126" s="55">
        <f t="shared" ca="1" si="35"/>
        <v>20.637275613491891</v>
      </c>
      <c r="Y126" s="55">
        <f t="shared" ca="1" si="36"/>
        <v>-8.0540665127296496</v>
      </c>
      <c r="Z126">
        <f t="shared" ca="1" si="30"/>
        <v>6.7684275084771253</v>
      </c>
      <c r="AA126">
        <f t="shared" ca="1" si="37"/>
        <v>0</v>
      </c>
      <c r="AB126">
        <f t="shared" ca="1" si="31"/>
        <v>0</v>
      </c>
      <c r="AC126">
        <f t="shared" ca="1" si="32"/>
        <v>0.34691693635859666</v>
      </c>
      <c r="AD126" s="83">
        <f ca="1"/>
        <v>45400</v>
      </c>
      <c r="AE126" s="55">
        <f t="shared" ca="1" si="41"/>
        <v>45400</v>
      </c>
      <c r="AF126" s="55">
        <f t="shared" ca="1" si="42"/>
        <v>-77.119525972328958</v>
      </c>
      <c r="AG126" s="55">
        <f t="shared" ca="1" si="43"/>
        <v>104.41123870985776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26.364455744772389</v>
      </c>
      <c r="AK126" s="55">
        <f t="shared" ca="1" si="40"/>
        <v>-29.049200689778655</v>
      </c>
    </row>
    <row r="127" spans="18:37">
      <c r="R127" s="83">
        <f ca="1"/>
        <v>45233</v>
      </c>
      <c r="S127" s="55">
        <f t="shared" ca="1" si="33"/>
        <v>45233</v>
      </c>
      <c r="T127" s="55">
        <f t="shared" ca="1" si="27"/>
        <v>56.69726305398305</v>
      </c>
      <c r="U127" s="55">
        <f t="shared" ca="1" si="28"/>
        <v>6.9078610448153697</v>
      </c>
      <c r="V127" s="55">
        <f t="shared" ca="1" si="29"/>
        <v>0</v>
      </c>
      <c r="W127" s="55">
        <f t="shared" ca="1" si="34"/>
        <v>0</v>
      </c>
      <c r="X127" s="55">
        <f t="shared" ca="1" si="35"/>
        <v>20.803999874793156</v>
      </c>
      <c r="Y127" s="55">
        <f t="shared" ca="1" si="36"/>
        <v>-8.0548420545072901</v>
      </c>
      <c r="Z127">
        <f t="shared" ca="1" si="30"/>
        <v>6.3031564192288263</v>
      </c>
      <c r="AA127">
        <f t="shared" ca="1" si="37"/>
        <v>0</v>
      </c>
      <c r="AB127">
        <f t="shared" ca="1" si="31"/>
        <v>0</v>
      </c>
      <c r="AC127">
        <f t="shared" ca="1" si="32"/>
        <v>0.37987296715553309</v>
      </c>
      <c r="AD127" s="83">
        <f ca="1"/>
        <v>45401</v>
      </c>
      <c r="AE127" s="55">
        <f t="shared" ca="1" si="41"/>
        <v>45401</v>
      </c>
      <c r="AF127" s="55">
        <f t="shared" ca="1" si="42"/>
        <v>-79.152857720215863</v>
      </c>
      <c r="AG127" s="55">
        <f t="shared" ca="1" si="43"/>
        <v>106.64506639367684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26.552515349675677</v>
      </c>
      <c r="AK127" s="55">
        <f t="shared" ca="1" si="40"/>
        <v>-29.036764358749753</v>
      </c>
    </row>
    <row r="128" spans="18:37">
      <c r="R128" s="83">
        <f ca="1"/>
        <v>45234</v>
      </c>
      <c r="S128" s="55">
        <f t="shared" ca="1" si="33"/>
        <v>45234</v>
      </c>
      <c r="T128" s="55">
        <f t="shared" ca="1" si="27"/>
        <v>56.381996371803851</v>
      </c>
      <c r="U128" s="55">
        <f t="shared" ca="1" si="28"/>
        <v>7.3897535652384496</v>
      </c>
      <c r="V128" s="55">
        <f t="shared" ca="1" si="29"/>
        <v>0</v>
      </c>
      <c r="W128" s="55">
        <f t="shared" ca="1" si="34"/>
        <v>0</v>
      </c>
      <c r="X128" s="55">
        <f t="shared" ca="1" si="35"/>
        <v>20.971351916977227</v>
      </c>
      <c r="Y128" s="55">
        <f t="shared" ca="1" si="36"/>
        <v>-8.055568258447483</v>
      </c>
      <c r="Z128">
        <f t="shared" ca="1" si="30"/>
        <v>5.998844952884208</v>
      </c>
      <c r="AA128">
        <f t="shared" ca="1" si="37"/>
        <v>0</v>
      </c>
      <c r="AB128">
        <f t="shared" ca="1" si="31"/>
        <v>0</v>
      </c>
      <c r="AC128">
        <f t="shared" ca="1" si="32"/>
        <v>0.41300015830743519</v>
      </c>
      <c r="AD128" s="83">
        <f ca="1"/>
        <v>45402</v>
      </c>
      <c r="AE128" s="55">
        <f t="shared" ca="1" si="41"/>
        <v>45402</v>
      </c>
      <c r="AF128" s="55">
        <f t="shared" ca="1" si="42"/>
        <v>-81.036192813329563</v>
      </c>
      <c r="AG128" s="55">
        <f t="shared" ca="1" si="43"/>
        <v>108.71512297975006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26.726071171849089</v>
      </c>
      <c r="AK128" s="55">
        <f t="shared" ca="1" si="40"/>
        <v>-29.023598687963645</v>
      </c>
    </row>
    <row r="129" spans="18:37">
      <c r="R129" s="83">
        <f ca="1"/>
        <v>45235</v>
      </c>
      <c r="S129" s="55">
        <f t="shared" ca="1" si="33"/>
        <v>45235</v>
      </c>
      <c r="T129" s="55">
        <f t="shared" ca="1" si="27"/>
        <v>56.044487997353016</v>
      </c>
      <c r="U129" s="55">
        <f t="shared" ca="1" si="28"/>
        <v>7.8914409296686951</v>
      </c>
      <c r="V129" s="55">
        <f t="shared" ca="1" si="29"/>
        <v>0</v>
      </c>
      <c r="W129" s="55">
        <f t="shared" ca="1" si="34"/>
        <v>0</v>
      </c>
      <c r="X129" s="55">
        <f t="shared" ca="1" si="35"/>
        <v>21.136263041716425</v>
      </c>
      <c r="Y129" s="55">
        <f t="shared" ca="1" si="36"/>
        <v>-8.0563003932072661</v>
      </c>
      <c r="Z129">
        <f t="shared" ca="1" si="30"/>
        <v>6.250938382014442</v>
      </c>
      <c r="AA129">
        <f t="shared" ca="1" si="37"/>
        <v>0</v>
      </c>
      <c r="AB129">
        <f t="shared" ca="1" si="31"/>
        <v>0</v>
      </c>
      <c r="AC129">
        <f t="shared" ca="1" si="32"/>
        <v>0.44481845933252007</v>
      </c>
      <c r="AD129" s="83">
        <f ca="1"/>
        <v>45403</v>
      </c>
      <c r="AE129" s="55">
        <f t="shared" ca="1" si="41"/>
        <v>45403</v>
      </c>
      <c r="AF129" s="55">
        <f t="shared" ca="1" si="42"/>
        <v>-82.89036289668195</v>
      </c>
      <c r="AG129" s="55">
        <f t="shared" ca="1" si="43"/>
        <v>110.75093340791932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26.89413694236735</v>
      </c>
      <c r="AK129" s="55">
        <f t="shared" ca="1" si="40"/>
        <v>-29.010024113665043</v>
      </c>
    </row>
    <row r="130" spans="18:37">
      <c r="R130" s="83">
        <f ca="1"/>
        <v>45236</v>
      </c>
      <c r="S130" s="55">
        <f t="shared" ca="1" si="33"/>
        <v>45236</v>
      </c>
      <c r="T130" s="55">
        <f t="shared" ca="1" si="27"/>
        <v>55.703891431242198</v>
      </c>
      <c r="U130" s="55">
        <f t="shared" ca="1" si="28"/>
        <v>8.3886711974813526</v>
      </c>
      <c r="V130" s="55">
        <f t="shared" ca="1" si="29"/>
        <v>0</v>
      </c>
      <c r="W130" s="55">
        <f t="shared" ca="1" si="34"/>
        <v>0</v>
      </c>
      <c r="X130" s="55">
        <f t="shared" ca="1" si="35"/>
        <v>21.293579408617948</v>
      </c>
      <c r="Y130" s="55">
        <f t="shared" ca="1" si="36"/>
        <v>-8.0569830584069599</v>
      </c>
      <c r="Z130">
        <f t="shared" ca="1" si="30"/>
        <v>6.1687103622017592</v>
      </c>
      <c r="AA130">
        <f t="shared" ca="1" si="37"/>
        <v>0</v>
      </c>
      <c r="AB130">
        <f t="shared" ca="1" si="31"/>
        <v>0</v>
      </c>
      <c r="AC130">
        <f t="shared" ca="1" si="32"/>
        <v>0.47362421332409399</v>
      </c>
      <c r="AD130" s="83">
        <f ca="1"/>
        <v>45404</v>
      </c>
      <c r="AE130" s="55">
        <f t="shared" ca="1" si="41"/>
        <v>45404</v>
      </c>
      <c r="AF130" s="55">
        <f t="shared" ca="1" si="42"/>
        <v>-84.844908694500077</v>
      </c>
      <c r="AG130" s="55">
        <f t="shared" ca="1" si="43"/>
        <v>112.89536129536293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27.069425812348243</v>
      </c>
      <c r="AK130" s="55">
        <f t="shared" ca="1" si="40"/>
        <v>-28.995430894020455</v>
      </c>
    </row>
    <row r="131" spans="18:37">
      <c r="R131" s="83">
        <f ca="1"/>
        <v>45237</v>
      </c>
      <c r="S131" s="55">
        <f t="shared" ca="1" si="33"/>
        <v>45237</v>
      </c>
      <c r="T131" s="55">
        <f t="shared" ca="1" si="27"/>
        <v>55.317793991748502</v>
      </c>
      <c r="U131" s="55">
        <f t="shared" ca="1" si="28"/>
        <v>8.9359233490498013</v>
      </c>
      <c r="V131" s="55">
        <f t="shared" ca="1" si="29"/>
        <v>0</v>
      </c>
      <c r="W131" s="55">
        <f t="shared" ca="1" si="34"/>
        <v>0</v>
      </c>
      <c r="X131" s="55">
        <f t="shared" ca="1" si="35"/>
        <v>21.455489977719402</v>
      </c>
      <c r="Y131" s="55">
        <f t="shared" ca="1" si="36"/>
        <v>-8.0577389154336601</v>
      </c>
      <c r="Z131">
        <f t="shared" ca="1" si="30"/>
        <v>6.8467748546628524</v>
      </c>
      <c r="AA131">
        <f t="shared" ca="1" si="37"/>
        <v>0</v>
      </c>
      <c r="AB131">
        <f t="shared" ca="1" si="31"/>
        <v>0</v>
      </c>
      <c r="AC131">
        <f t="shared" ca="1" si="32"/>
        <v>0.50226009174281461</v>
      </c>
      <c r="AD131" s="83">
        <f ca="1"/>
        <v>45405</v>
      </c>
      <c r="AE131" s="55">
        <f t="shared" ca="1" si="41"/>
        <v>45405</v>
      </c>
      <c r="AF131" s="55">
        <f t="shared" ca="1" si="42"/>
        <v>-86.695572751032273</v>
      </c>
      <c r="AG131" s="55">
        <f t="shared" ca="1" si="43"/>
        <v>114.92862293490847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27.236563204434074</v>
      </c>
      <c r="AK131" s="55">
        <f t="shared" ca="1" si="40"/>
        <v>-28.979970703092935</v>
      </c>
    </row>
    <row r="132" spans="18:37">
      <c r="R132" s="83">
        <f ca="1"/>
        <v>45238</v>
      </c>
      <c r="S132" s="55">
        <f t="shared" ca="1" si="33"/>
        <v>45238</v>
      </c>
      <c r="T132" s="55">
        <f t="shared" ca="1" si="27"/>
        <v>54.901492555686175</v>
      </c>
      <c r="U132" s="55">
        <f t="shared" ca="1" si="28"/>
        <v>9.5124445234674706</v>
      </c>
      <c r="V132" s="55">
        <f t="shared" ca="1" si="29"/>
        <v>0</v>
      </c>
      <c r="W132" s="55">
        <f t="shared" ca="1" si="34"/>
        <v>0</v>
      </c>
      <c r="X132" s="55">
        <f t="shared" ca="1" si="35"/>
        <v>21.61641234538352</v>
      </c>
      <c r="Y132" s="55">
        <f t="shared" ca="1" si="36"/>
        <v>-8.0584415447424274</v>
      </c>
      <c r="Z132">
        <f t="shared" ca="1" si="30"/>
        <v>6.5355304016101137</v>
      </c>
      <c r="AA132">
        <f t="shared" ca="1" si="37"/>
        <v>0</v>
      </c>
      <c r="AB132">
        <f t="shared" ca="1" si="31"/>
        <v>0</v>
      </c>
      <c r="AC132">
        <f t="shared" ca="1" si="32"/>
        <v>0.52913917939647925</v>
      </c>
      <c r="AD132" s="83">
        <f ca="1"/>
        <v>45406</v>
      </c>
      <c r="AE132" s="55">
        <f t="shared" ca="1" si="41"/>
        <v>45406</v>
      </c>
      <c r="AF132" s="55">
        <f t="shared" ca="1" si="42"/>
        <v>-88.632257865048842</v>
      </c>
      <c r="AG132" s="55">
        <f t="shared" ca="1" si="43"/>
        <v>117.05990483342202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27.413640032598142</v>
      </c>
      <c r="AK132" s="55">
        <f t="shared" ca="1" si="40"/>
        <v>-28.962450746760023</v>
      </c>
    </row>
    <row r="133" spans="18:37">
      <c r="R133" s="83">
        <f ca="1"/>
        <v>45239</v>
      </c>
      <c r="S133" s="55">
        <f t="shared" ca="1" si="33"/>
        <v>45239</v>
      </c>
      <c r="T133" s="55">
        <f t="shared" ca="1" si="27"/>
        <v>54.432056277500472</v>
      </c>
      <c r="U133" s="55">
        <f t="shared" ca="1" si="28"/>
        <v>10.145884282991846</v>
      </c>
      <c r="V133" s="55">
        <f t="shared" ca="1" si="29"/>
        <v>0</v>
      </c>
      <c r="W133" s="55">
        <f t="shared" ca="1" si="34"/>
        <v>0</v>
      </c>
      <c r="X133" s="55">
        <f t="shared" ca="1" si="35"/>
        <v>21.781093178760827</v>
      </c>
      <c r="Y133" s="55">
        <f t="shared" ca="1" si="36"/>
        <v>-8.0591188967810723</v>
      </c>
      <c r="Z133">
        <f t="shared" ca="1" si="30"/>
        <v>6.3255962425388308</v>
      </c>
      <c r="AA133">
        <f t="shared" ca="1" si="37"/>
        <v>0</v>
      </c>
      <c r="AB133">
        <f t="shared" ca="1" si="31"/>
        <v>0</v>
      </c>
      <c r="AC133">
        <f t="shared" ca="1" si="32"/>
        <v>0.5551012511620862</v>
      </c>
      <c r="AD133" s="83">
        <f ca="1"/>
        <v>45407</v>
      </c>
      <c r="AE133" s="55">
        <f t="shared" ca="1" si="41"/>
        <v>45407</v>
      </c>
      <c r="AF133" s="55">
        <f t="shared" ca="1" si="42"/>
        <v>-90.592445208838896</v>
      </c>
      <c r="AG133" s="55">
        <f t="shared" ca="1" si="43"/>
        <v>119.21345413438128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27.589541576295737</v>
      </c>
      <c r="AK133" s="55">
        <f t="shared" ca="1" si="40"/>
        <v>-28.94499033328842</v>
      </c>
    </row>
    <row r="134" spans="18:37">
      <c r="R134" s="83">
        <f ca="1"/>
        <v>45240</v>
      </c>
      <c r="S134" s="55">
        <f t="shared" ca="1" si="33"/>
        <v>45240</v>
      </c>
      <c r="T134" s="55">
        <f t="shared" ca="1" si="27"/>
        <v>53.811971045063039</v>
      </c>
      <c r="U134" s="55">
        <f t="shared" ca="1" si="28"/>
        <v>10.952551766060184</v>
      </c>
      <c r="V134" s="55">
        <f t="shared" ca="1" si="29"/>
        <v>0</v>
      </c>
      <c r="W134" s="55">
        <f t="shared" ca="1" si="34"/>
        <v>0</v>
      </c>
      <c r="X134" s="55">
        <f t="shared" ca="1" si="35"/>
        <v>21.96834767783869</v>
      </c>
      <c r="Y134" s="55">
        <f t="shared" ca="1" si="36"/>
        <v>-8.0597911452280329</v>
      </c>
      <c r="Z134">
        <f t="shared" ca="1" si="30"/>
        <v>5.7864066768649414</v>
      </c>
      <c r="AA134">
        <f t="shared" ca="1" si="37"/>
        <v>0</v>
      </c>
      <c r="AB134">
        <f t="shared" ca="1" si="31"/>
        <v>0</v>
      </c>
      <c r="AC134">
        <f t="shared" ca="1" si="32"/>
        <v>0.58336638368207683</v>
      </c>
      <c r="AD134" s="83">
        <f ca="1"/>
        <v>45408</v>
      </c>
      <c r="AE134" s="55">
        <f t="shared" ca="1" si="41"/>
        <v>45408</v>
      </c>
      <c r="AF134" s="55">
        <f t="shared" ca="1" si="42"/>
        <v>-92.563735361675995</v>
      </c>
      <c r="AG134" s="55">
        <f t="shared" ca="1" si="43"/>
        <v>121.38372683131844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27.769252275768856</v>
      </c>
      <c r="AK134" s="55">
        <f t="shared" ca="1" si="40"/>
        <v>-28.925718488661477</v>
      </c>
    </row>
    <row r="135" spans="18:37">
      <c r="R135" s="83">
        <f ca="1"/>
        <v>45241</v>
      </c>
      <c r="S135" s="55">
        <f t="shared" ca="1" si="33"/>
        <v>45241</v>
      </c>
      <c r="T135" s="55">
        <f t="shared" ca="1" si="27"/>
        <v>53.187011318250129</v>
      </c>
      <c r="U135" s="55">
        <f t="shared" ca="1" si="28"/>
        <v>11.753554276764355</v>
      </c>
      <c r="V135" s="55">
        <f t="shared" ca="1" si="29"/>
        <v>0</v>
      </c>
      <c r="W135" s="55">
        <f t="shared" ca="1" si="34"/>
        <v>0</v>
      </c>
      <c r="X135" s="55">
        <f t="shared" ca="1" si="35"/>
        <v>22.144998410648267</v>
      </c>
      <c r="Y135" s="55">
        <f t="shared" ca="1" si="36"/>
        <v>-8.0603990941463515</v>
      </c>
      <c r="Z135">
        <f t="shared" ca="1" si="30"/>
        <v>5.608435147103032</v>
      </c>
      <c r="AA135">
        <f t="shared" ca="1" si="37"/>
        <v>0</v>
      </c>
      <c r="AB135">
        <f t="shared" ca="1" si="31"/>
        <v>0</v>
      </c>
      <c r="AC135">
        <f t="shared" ca="1" si="32"/>
        <v>0.6068683964268764</v>
      </c>
      <c r="AD135" s="83">
        <f ca="1"/>
        <v>45409</v>
      </c>
      <c r="AE135" s="55">
        <f t="shared" ca="1" si="41"/>
        <v>45409</v>
      </c>
      <c r="AF135" s="55">
        <f t="shared" ca="1" si="42"/>
        <v>-94.570135498231977</v>
      </c>
      <c r="AG135" s="55">
        <f t="shared" ca="1" si="43"/>
        <v>123.59976743678571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27.956945255975352</v>
      </c>
      <c r="AK135" s="55">
        <f t="shared" ca="1" si="40"/>
        <v>-28.903770999956681</v>
      </c>
    </row>
    <row r="136" spans="18:37">
      <c r="R136" s="83">
        <f ca="1"/>
        <v>45242</v>
      </c>
      <c r="S136" s="55">
        <f t="shared" ca="1" si="33"/>
        <v>45242</v>
      </c>
      <c r="T136" s="55">
        <f t="shared" ca="1" si="27"/>
        <v>52.54077221471929</v>
      </c>
      <c r="U136" s="55">
        <f t="shared" ca="1" si="28"/>
        <v>12.571001013002761</v>
      </c>
      <c r="V136" s="55">
        <f t="shared" ca="1" si="29"/>
        <v>0</v>
      </c>
      <c r="W136" s="55">
        <f t="shared" ca="1" si="34"/>
        <v>0</v>
      </c>
      <c r="X136" s="55">
        <f t="shared" ca="1" si="35"/>
        <v>22.316864722555561</v>
      </c>
      <c r="Y136" s="55">
        <f t="shared" ca="1" si="36"/>
        <v>-8.0610577733460733</v>
      </c>
      <c r="Z136">
        <f t="shared" ca="1" si="30"/>
        <v>6.378735929519868</v>
      </c>
      <c r="AA136">
        <f t="shared" ca="1" si="37"/>
        <v>0</v>
      </c>
      <c r="AB136">
        <f t="shared" ca="1" si="31"/>
        <v>0</v>
      </c>
      <c r="AC136">
        <f t="shared" ca="1" si="32"/>
        <v>0.62693343472540841</v>
      </c>
      <c r="AD136" s="83">
        <f ca="1"/>
        <v>45410</v>
      </c>
      <c r="AE136" s="55">
        <f t="shared" ca="1" si="41"/>
        <v>45410</v>
      </c>
      <c r="AF136" s="55">
        <f t="shared" ca="1" si="42"/>
        <v>-96.331182360828691</v>
      </c>
      <c r="AG136" s="55">
        <f t="shared" ca="1" si="43"/>
        <v>125.56894640730567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28.138064003044683</v>
      </c>
      <c r="AK136" s="55">
        <f t="shared" ca="1" si="40"/>
        <v>-28.876757639102767</v>
      </c>
    </row>
    <row r="137" spans="18:37">
      <c r="R137" s="83">
        <f ca="1"/>
        <v>45243</v>
      </c>
      <c r="S137" s="55">
        <f t="shared" ca="1" si="33"/>
        <v>45243</v>
      </c>
      <c r="T137" s="55">
        <f t="shared" ca="1" si="27"/>
        <v>51.925106608162451</v>
      </c>
      <c r="U137" s="55">
        <f t="shared" ca="1" si="28"/>
        <v>13.344954987705664</v>
      </c>
      <c r="V137" s="55">
        <f t="shared" ca="1" si="29"/>
        <v>0</v>
      </c>
      <c r="W137" s="55">
        <f t="shared" ca="1" si="34"/>
        <v>0</v>
      </c>
      <c r="X137" s="55">
        <f t="shared" ca="1" si="35"/>
        <v>22.475754511031099</v>
      </c>
      <c r="Y137" s="55">
        <f t="shared" ca="1" si="36"/>
        <v>-8.0616591936755366</v>
      </c>
      <c r="Z137">
        <f t="shared" ca="1" si="30"/>
        <v>6.3440355085573064</v>
      </c>
      <c r="AA137">
        <f t="shared" ca="1" si="37"/>
        <v>0</v>
      </c>
      <c r="AB137">
        <f t="shared" ca="1" si="31"/>
        <v>0</v>
      </c>
      <c r="AC137">
        <f t="shared" ca="1" si="32"/>
        <v>0.64289942334649774</v>
      </c>
      <c r="AD137" s="83">
        <f ca="1"/>
        <v>45411</v>
      </c>
      <c r="AE137" s="55">
        <f t="shared" ca="1" si="41"/>
        <v>45411</v>
      </c>
      <c r="AF137" s="55">
        <f t="shared" ca="1" si="42"/>
        <v>-98.030203360153067</v>
      </c>
      <c r="AG137" s="55">
        <f t="shared" ca="1" si="43"/>
        <v>127.47749142326875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28.318153740379092</v>
      </c>
      <c r="AK137" s="55">
        <f t="shared" ca="1" si="40"/>
        <v>-28.847323359798484</v>
      </c>
    </row>
    <row r="138" spans="18:37">
      <c r="R138" s="83">
        <f ca="1"/>
        <v>45244</v>
      </c>
      <c r="S138" s="55">
        <f t="shared" ca="1" si="33"/>
        <v>45244</v>
      </c>
      <c r="T138" s="55">
        <f t="shared" ca="1" si="27"/>
        <v>51.209246594638309</v>
      </c>
      <c r="U138" s="55">
        <f t="shared" ca="1" si="28"/>
        <v>14.227096273824337</v>
      </c>
      <c r="V138" s="55">
        <f t="shared" ca="1" si="29"/>
        <v>0</v>
      </c>
      <c r="W138" s="55">
        <f t="shared" ca="1" si="34"/>
        <v>0</v>
      </c>
      <c r="X138" s="55">
        <f t="shared" ca="1" si="35"/>
        <v>22.642588819172577</v>
      </c>
      <c r="Y138" s="55">
        <f t="shared" ca="1" si="36"/>
        <v>-8.0622122292224887</v>
      </c>
      <c r="Z138">
        <f t="shared" ca="1" si="30"/>
        <v>5.7366115725857076</v>
      </c>
      <c r="AA138">
        <f t="shared" ca="1" si="37"/>
        <v>0</v>
      </c>
      <c r="AB138">
        <f t="shared" ca="1" si="31"/>
        <v>0</v>
      </c>
      <c r="AC138">
        <f t="shared" ca="1" si="32"/>
        <v>0.65814004029362172</v>
      </c>
      <c r="AD138" s="83">
        <f ca="1"/>
        <v>45412</v>
      </c>
      <c r="AE138" s="55">
        <f t="shared" ca="1" si="41"/>
        <v>45412</v>
      </c>
      <c r="AF138" s="55">
        <f t="shared" ca="1" si="42"/>
        <v>-99.66411263999224</v>
      </c>
      <c r="AG138" s="55">
        <f t="shared" ca="1" si="43"/>
        <v>129.31253296676732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28.489967194751522</v>
      </c>
      <c r="AK138" s="55">
        <f t="shared" ca="1" si="40"/>
        <v>-28.818004550511514</v>
      </c>
    </row>
    <row r="139" spans="18:37">
      <c r="R139" s="83">
        <f ca="1"/>
        <v>45245</v>
      </c>
      <c r="S139" s="55">
        <f t="shared" ca="1" si="33"/>
        <v>45245</v>
      </c>
      <c r="T139" s="55">
        <f t="shared" ca="1" si="27"/>
        <v>50.396233193637435</v>
      </c>
      <c r="U139" s="55">
        <f t="shared" ca="1" si="28"/>
        <v>15.212482156273923</v>
      </c>
      <c r="V139" s="55">
        <f t="shared" ca="1" si="29"/>
        <v>0</v>
      </c>
      <c r="W139" s="55">
        <f t="shared" ca="1" si="34"/>
        <v>0</v>
      </c>
      <c r="X139" s="55">
        <f t="shared" ca="1" si="35"/>
        <v>22.815475984256867</v>
      </c>
      <c r="Y139" s="55">
        <f t="shared" ca="1" si="36"/>
        <v>-8.0627269128580679</v>
      </c>
      <c r="Z139">
        <f t="shared" ca="1" si="30"/>
        <v>5.3003951375196436</v>
      </c>
      <c r="AA139">
        <f t="shared" ca="1" si="37"/>
        <v>0</v>
      </c>
      <c r="AB139">
        <f t="shared" ca="1" si="31"/>
        <v>0</v>
      </c>
      <c r="AC139">
        <f t="shared" ca="1" si="32"/>
        <v>0.67214285202494517</v>
      </c>
      <c r="AD139" s="83">
        <f ca="1"/>
        <v>45413</v>
      </c>
      <c r="AE139" s="55">
        <f t="shared" ca="1" si="41"/>
        <v>45413</v>
      </c>
      <c r="AF139" s="55">
        <f t="shared" ca="1" si="42"/>
        <v>-101.30818117089635</v>
      </c>
      <c r="AG139" s="55">
        <f t="shared" ca="1" si="43"/>
        <v>131.1579477077558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28.661408446507156</v>
      </c>
      <c r="AK139" s="55">
        <f t="shared" ca="1" si="40"/>
        <v>-28.788099592182792</v>
      </c>
    </row>
    <row r="140" spans="18:37">
      <c r="R140" s="83">
        <f ca="1"/>
        <v>45246</v>
      </c>
      <c r="S140" s="55">
        <f t="shared" ca="1" si="33"/>
        <v>45246</v>
      </c>
      <c r="T140" s="55">
        <f t="shared" ca="1" si="27"/>
        <v>49.485660367771004</v>
      </c>
      <c r="U140" s="55">
        <f t="shared" ca="1" si="28"/>
        <v>16.301020145458779</v>
      </c>
      <c r="V140" s="55">
        <f t="shared" ca="1" si="29"/>
        <v>0</v>
      </c>
      <c r="W140" s="55">
        <f t="shared" ca="1" si="34"/>
        <v>0</v>
      </c>
      <c r="X140" s="55">
        <f t="shared" ca="1" si="35"/>
        <v>22.994006273490729</v>
      </c>
      <c r="Y140" s="55">
        <f t="shared" ca="1" si="36"/>
        <v>-8.0632920387735041</v>
      </c>
      <c r="Z140">
        <f t="shared" ca="1" si="30"/>
        <v>5.8214815920586487</v>
      </c>
      <c r="AA140">
        <f t="shared" ca="1" si="37"/>
        <v>0</v>
      </c>
      <c r="AB140">
        <f t="shared" ca="1" si="31"/>
        <v>0</v>
      </c>
      <c r="AC140">
        <f t="shared" ca="1" si="32"/>
        <v>0.68467428703483701</v>
      </c>
      <c r="AD140" s="83">
        <f ca="1"/>
        <v>45414</v>
      </c>
      <c r="AE140" s="55">
        <f t="shared" ca="1" si="41"/>
        <v>45414</v>
      </c>
      <c r="AF140" s="55">
        <f t="shared" ca="1" si="42"/>
        <v>-102.9353983812201</v>
      </c>
      <c r="AG140" s="55">
        <f t="shared" ca="1" si="43"/>
        <v>132.98223543389065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28.828883429918911</v>
      </c>
      <c r="AK140" s="55">
        <f t="shared" ca="1" si="40"/>
        <v>-28.758504059783437</v>
      </c>
    </row>
    <row r="141" spans="18:37">
      <c r="R141" s="83">
        <f ca="1"/>
        <v>45247</v>
      </c>
      <c r="S141" s="55">
        <f t="shared" ca="1" si="33"/>
        <v>45247</v>
      </c>
      <c r="T141" s="55">
        <f t="shared" ca="1" si="27"/>
        <v>48.613825583315617</v>
      </c>
      <c r="U141" s="55">
        <f t="shared" ca="1" si="28"/>
        <v>17.337808602765161</v>
      </c>
      <c r="V141" s="55">
        <f t="shared" ca="1" si="29"/>
        <v>0</v>
      </c>
      <c r="W141" s="55">
        <f t="shared" ca="1" si="34"/>
        <v>0</v>
      </c>
      <c r="X141" s="55">
        <f t="shared" ca="1" si="35"/>
        <v>23.159500488609467</v>
      </c>
      <c r="Y141" s="55">
        <f t="shared" ca="1" si="36"/>
        <v>-8.0638325810412432</v>
      </c>
      <c r="Z141">
        <f t="shared" ca="1" si="30"/>
        <v>6.0713890209789749</v>
      </c>
      <c r="AA141">
        <f t="shared" ca="1" si="37"/>
        <v>0</v>
      </c>
      <c r="AB141">
        <f t="shared" ca="1" si="31"/>
        <v>0</v>
      </c>
      <c r="AC141">
        <f t="shared" ca="1" si="32"/>
        <v>0.69435840597149789</v>
      </c>
      <c r="AD141" s="83">
        <f ca="1"/>
        <v>45415</v>
      </c>
      <c r="AE141" s="55">
        <f t="shared" ca="1" si="41"/>
        <v>45415</v>
      </c>
      <c r="AF141" s="55">
        <f t="shared" ca="1" si="42"/>
        <v>-104.63283795173089</v>
      </c>
      <c r="AG141" s="55">
        <f t="shared" ca="1" si="43"/>
        <v>134.88825888129341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29.005493054862459</v>
      </c>
      <c r="AK141" s="55">
        <f t="shared" ca="1" si="40"/>
        <v>-28.726529807835025</v>
      </c>
    </row>
    <row r="142" spans="18:37">
      <c r="R142" s="83">
        <f ca="1"/>
        <v>45248</v>
      </c>
      <c r="S142" s="55">
        <f t="shared" ca="1" si="33"/>
        <v>45248</v>
      </c>
      <c r="T142" s="55">
        <f t="shared" ca="1" si="27"/>
        <v>47.753877242529526</v>
      </c>
      <c r="U142" s="55">
        <f t="shared" ca="1" si="28"/>
        <v>18.355795968161413</v>
      </c>
      <c r="V142" s="55">
        <f t="shared" ca="1" si="29"/>
        <v>0</v>
      </c>
      <c r="W142" s="55">
        <f t="shared" ca="1" si="34"/>
        <v>0</v>
      </c>
      <c r="X142" s="55">
        <f t="shared" ca="1" si="35"/>
        <v>23.318129607266297</v>
      </c>
      <c r="Y142" s="55">
        <f t="shared" ca="1" si="36"/>
        <v>-8.0644226750879184</v>
      </c>
      <c r="Z142">
        <f t="shared" ca="1" si="30"/>
        <v>7.066933930665126</v>
      </c>
      <c r="AA142">
        <f t="shared" ca="1" si="37"/>
        <v>0</v>
      </c>
      <c r="AB142">
        <f t="shared" ca="1" si="31"/>
        <v>0</v>
      </c>
      <c r="AC142">
        <f t="shared" ca="1" si="32"/>
        <v>0.70218400171707773</v>
      </c>
      <c r="AD142" s="83">
        <f ca="1"/>
        <v>45416</v>
      </c>
      <c r="AE142" s="55">
        <f t="shared" ca="1" si="41"/>
        <v>45416</v>
      </c>
      <c r="AF142" s="55">
        <f t="shared" ca="1" si="42"/>
        <v>-106.31012501542983</v>
      </c>
      <c r="AG142" s="55">
        <f t="shared" ca="1" si="43"/>
        <v>136.77170481851093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29.179557517202795</v>
      </c>
      <c r="AK142" s="55">
        <f t="shared" ca="1" si="40"/>
        <v>-28.694435396656782</v>
      </c>
    </row>
    <row r="143" spans="18:37">
      <c r="R143" s="83">
        <f ca="1"/>
        <v>45249</v>
      </c>
      <c r="S143" s="55">
        <f t="shared" ca="1" si="33"/>
        <v>45249</v>
      </c>
      <c r="T143" s="55">
        <f t="shared" ca="1" si="27"/>
        <v>46.870955473440134</v>
      </c>
      <c r="U143" s="55">
        <f t="shared" ca="1" si="28"/>
        <v>19.394684051823791</v>
      </c>
      <c r="V143" s="55">
        <f t="shared" ca="1" si="29"/>
        <v>0</v>
      </c>
      <c r="W143" s="55">
        <f t="shared" ca="1" si="34"/>
        <v>0</v>
      </c>
      <c r="X143" s="55">
        <f t="shared" ca="1" si="35"/>
        <v>23.474738802813018</v>
      </c>
      <c r="Y143" s="55">
        <f t="shared" ca="1" si="36"/>
        <v>-8.0650655560616507</v>
      </c>
      <c r="Z143">
        <f t="shared" ca="1" si="30"/>
        <v>8.05656554566011</v>
      </c>
      <c r="AA143">
        <f t="shared" ca="1" si="37"/>
        <v>0</v>
      </c>
      <c r="AB143">
        <f t="shared" ca="1" si="31"/>
        <v>0</v>
      </c>
      <c r="AC143">
        <f t="shared" ca="1" si="32"/>
        <v>0.70880213001536307</v>
      </c>
      <c r="AD143" s="83">
        <f ca="1"/>
        <v>45417</v>
      </c>
      <c r="AE143" s="55">
        <f t="shared" ca="1" si="41"/>
        <v>45417</v>
      </c>
      <c r="AF143" s="55">
        <f t="shared" ca="1" si="42"/>
        <v>-108.08391791522877</v>
      </c>
      <c r="AG143" s="55">
        <f t="shared" ca="1" si="43"/>
        <v>138.77833386891382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29.374020410278959</v>
      </c>
      <c r="AK143" s="55">
        <f t="shared" ca="1" si="40"/>
        <v>-28.656062139128981</v>
      </c>
    </row>
    <row r="144" spans="18:37">
      <c r="R144" s="83">
        <f ca="1"/>
        <v>45250</v>
      </c>
      <c r="S144" s="55">
        <f t="shared" ca="1" si="33"/>
        <v>45250</v>
      </c>
      <c r="T144" s="55">
        <f t="shared" ca="1" si="27"/>
        <v>45.813057239471206</v>
      </c>
      <c r="U144" s="55">
        <f t="shared" ca="1" si="28"/>
        <v>20.621559118665029</v>
      </c>
      <c r="V144" s="55">
        <f t="shared" ca="1" si="29"/>
        <v>0</v>
      </c>
      <c r="W144" s="55">
        <f t="shared" ca="1" si="34"/>
        <v>0</v>
      </c>
      <c r="X144" s="55">
        <f t="shared" ca="1" si="35"/>
        <v>23.644375628957924</v>
      </c>
      <c r="Y144" s="55">
        <f t="shared" ca="1" si="36"/>
        <v>-8.0657255493342479</v>
      </c>
      <c r="Z144">
        <f t="shared" ca="1" si="30"/>
        <v>8.056306987237706</v>
      </c>
      <c r="AA144">
        <f t="shared" ca="1" si="37"/>
        <v>0</v>
      </c>
      <c r="AB144">
        <f t="shared" ca="1" si="31"/>
        <v>0</v>
      </c>
      <c r="AC144">
        <f t="shared" ca="1" si="32"/>
        <v>0.71520940360998941</v>
      </c>
      <c r="AD144" s="83">
        <f ca="1"/>
        <v>45418</v>
      </c>
      <c r="AE144" s="55">
        <f t="shared" ca="1" si="41"/>
        <v>45418</v>
      </c>
      <c r="AF144" s="55">
        <f t="shared" ca="1" si="42"/>
        <v>-109.77355174819044</v>
      </c>
      <c r="AG144" s="55">
        <f t="shared" ca="1" si="43"/>
        <v>140.68953646249523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29.558277342561492</v>
      </c>
      <c r="AK144" s="55">
        <f t="shared" ca="1" si="40"/>
        <v>-28.618750310791778</v>
      </c>
    </row>
    <row r="145" spans="18:37">
      <c r="R145" s="83">
        <f ca="1"/>
        <v>45251</v>
      </c>
      <c r="S145" s="55">
        <f t="shared" ca="1" si="33"/>
        <v>45251</v>
      </c>
      <c r="T145" s="55">
        <f t="shared" ca="1" si="27"/>
        <v>44.705455731544134</v>
      </c>
      <c r="U145" s="55">
        <f t="shared" ca="1" si="28"/>
        <v>21.897628591381238</v>
      </c>
      <c r="V145" s="55">
        <f t="shared" ca="1" si="29"/>
        <v>0</v>
      </c>
      <c r="W145" s="55">
        <f t="shared" ca="1" si="34"/>
        <v>0</v>
      </c>
      <c r="X145" s="55">
        <f t="shared" ca="1" si="35"/>
        <v>23.813546911672127</v>
      </c>
      <c r="Y145" s="55">
        <f t="shared" ca="1" si="36"/>
        <v>-8.0664288672593152</v>
      </c>
      <c r="Z145">
        <f t="shared" ca="1" si="30"/>
        <v>8.9885235909567864</v>
      </c>
      <c r="AA145">
        <f t="shared" ca="1" si="37"/>
        <v>0</v>
      </c>
      <c r="AB145">
        <f t="shared" ca="1" si="31"/>
        <v>0</v>
      </c>
      <c r="AC145">
        <f t="shared" ca="1" si="32"/>
        <v>0.72060527100697724</v>
      </c>
      <c r="AD145" s="83">
        <f ca="1"/>
        <v>45419</v>
      </c>
      <c r="AE145" s="55">
        <f t="shared" ca="1" si="41"/>
        <v>45419</v>
      </c>
      <c r="AF145" s="55">
        <f t="shared" ca="1" si="42"/>
        <v>-111.2758203464339</v>
      </c>
      <c r="AG145" s="55">
        <f t="shared" ca="1" si="43"/>
        <v>142.40178464606134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29.729811530530679</v>
      </c>
      <c r="AK145" s="55">
        <f t="shared" ca="1" si="40"/>
        <v>-28.580304913438308</v>
      </c>
    </row>
    <row r="146" spans="18:37">
      <c r="R146" s="83">
        <f ca="1"/>
        <v>45252</v>
      </c>
      <c r="S146" s="55">
        <f t="shared" ca="1" si="33"/>
        <v>45252</v>
      </c>
      <c r="T146" s="55">
        <f t="shared" ref="T146:T209" ca="1" si="45">VLOOKUP(S146,ModelOutputs,2,FALSE)</f>
        <v>43.642268356227476</v>
      </c>
      <c r="U146" s="55">
        <f t="shared" ref="U146:U209" ca="1" si="46">VLOOKUP(S146,ModelOutputs,7,FALSE)</f>
        <v>23.119069572162331</v>
      </c>
      <c r="V146" s="55">
        <f t="shared" ref="V146:V209" ca="1" si="47">VLOOKUP(S146,ModelOutputs,6,FALSE)</f>
        <v>0</v>
      </c>
      <c r="W146" s="55">
        <f t="shared" ca="1" si="34"/>
        <v>0</v>
      </c>
      <c r="X146" s="55">
        <f t="shared" ca="1" si="35"/>
        <v>23.972433537591357</v>
      </c>
      <c r="Y146" s="55">
        <f t="shared" ca="1" si="36"/>
        <v>-8.067061887714118</v>
      </c>
      <c r="Z146">
        <f t="shared" ref="Z146:Z209" ca="1" si="48">VLOOKUP(S146,ModelOutputs,10,FALSE)*AWC</f>
        <v>8.8490493628127176</v>
      </c>
      <c r="AA146">
        <f t="shared" ca="1" si="37"/>
        <v>0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0.72482463017343757</v>
      </c>
      <c r="AD146" s="83">
        <f ca="1"/>
        <v>45420</v>
      </c>
      <c r="AE146" s="55">
        <f t="shared" ca="1" si="41"/>
        <v>45420</v>
      </c>
      <c r="AF146" s="55">
        <f t="shared" ca="1" si="42"/>
        <v>-112.7870583987393</v>
      </c>
      <c r="AG146" s="55">
        <f t="shared" ca="1" si="43"/>
        <v>144.12211421514112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29.900662209582151</v>
      </c>
      <c r="AK146" s="55">
        <f t="shared" ca="1" si="40"/>
        <v>-28.542064075715391</v>
      </c>
    </row>
    <row r="147" spans="18:37">
      <c r="R147" s="83">
        <f ca="1"/>
        <v>45253</v>
      </c>
      <c r="S147" s="55">
        <f t="shared" ref="S147:S210" ca="1" si="51">IF(R147&gt;1,R147,"")</f>
        <v>45253</v>
      </c>
      <c r="T147" s="55">
        <f t="shared" ca="1" si="45"/>
        <v>42.30289977903702</v>
      </c>
      <c r="U147" s="55">
        <f t="shared" ca="1" si="46"/>
        <v>24.636271721243176</v>
      </c>
      <c r="V147" s="55">
        <f t="shared" ca="1" si="47"/>
        <v>0</v>
      </c>
      <c r="W147" s="55">
        <f t="shared" ref="W147:W210" ca="1" si="52">-VLOOKUP(S147,ModelOutputs,9,FALSE)+W146</f>
        <v>0</v>
      </c>
      <c r="X147" s="55">
        <f t="shared" ref="X147:X210" ca="1" si="53">VLOOKUP(S147,ModelOutputs,5,FALSE)+X146</f>
        <v>24.150895594300444</v>
      </c>
      <c r="Y147" s="55">
        <f t="shared" ref="Y147:Y210" ca="1" si="54">VLOOKUP(S147,ModelOutputs,4,FALSE)+Y146</f>
        <v>-8.0676903725328142</v>
      </c>
      <c r="Z147">
        <f t="shared" ca="1" si="48"/>
        <v>8.3559248846040148</v>
      </c>
      <c r="AA147">
        <f t="shared" ref="AA147:AA210" ca="1" si="55">VLOOKUP(S147,ModelOutputs,11,FALSE)+AA146</f>
        <v>0</v>
      </c>
      <c r="AB147">
        <f t="shared" ca="1" si="49"/>
        <v>0</v>
      </c>
      <c r="AC147">
        <f t="shared" ca="1" si="50"/>
        <v>0.72906798699566688</v>
      </c>
      <c r="AD147" s="83">
        <f ca="1"/>
        <v>45421</v>
      </c>
      <c r="AE147" s="55">
        <f t="shared" ca="1" si="41"/>
        <v>45421</v>
      </c>
      <c r="AF147" s="55">
        <f t="shared" ca="1" si="42"/>
        <v>-114.25658310996664</v>
      </c>
      <c r="AG147" s="55">
        <f t="shared" ca="1" si="43"/>
        <v>145.80266898154721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30.071565945855816</v>
      </c>
      <c r="AK147" s="55">
        <f t="shared" ref="AK147:AK210" ca="1" si="58">VLOOKUP(AE147,ModelOutputs,4,FALSE)+AK146</f>
        <v>-28.50193775681031</v>
      </c>
    </row>
    <row r="148" spans="18:37">
      <c r="R148" s="83">
        <f ca="1"/>
        <v>45254</v>
      </c>
      <c r="S148" s="55">
        <f t="shared" ca="1" si="51"/>
        <v>45254</v>
      </c>
      <c r="T148" s="55">
        <f t="shared" ca="1" si="45"/>
        <v>40.834683515962276</v>
      </c>
      <c r="U148" s="55">
        <f t="shared" ca="1" si="46"/>
        <v>26.286576250043652</v>
      </c>
      <c r="V148" s="55">
        <f t="shared" ca="1" si="47"/>
        <v>0</v>
      </c>
      <c r="W148" s="55">
        <f t="shared" ca="1" si="52"/>
        <v>0</v>
      </c>
      <c r="X148" s="55">
        <f t="shared" ca="1" si="53"/>
        <v>24.333574668028508</v>
      </c>
      <c r="Y148" s="55">
        <f t="shared" ca="1" si="54"/>
        <v>-8.068281180535152</v>
      </c>
      <c r="Z148">
        <f t="shared" ca="1" si="48"/>
        <v>8.0510093550864319</v>
      </c>
      <c r="AA148">
        <f t="shared" ca="1" si="55"/>
        <v>0</v>
      </c>
      <c r="AB148">
        <f t="shared" ca="1" si="49"/>
        <v>0</v>
      </c>
      <c r="AC148">
        <f t="shared" ca="1" si="50"/>
        <v>0.732721871783936</v>
      </c>
      <c r="AD148" s="83">
        <f ca="1"/>
        <v>45422</v>
      </c>
      <c r="AE148" s="55">
        <f t="shared" ca="1" si="41"/>
        <v>45422</v>
      </c>
      <c r="AF148" s="55">
        <f t="shared" ca="1" si="42"/>
        <v>-115.76004624297013</v>
      </c>
      <c r="AG148" s="55">
        <f t="shared" ca="1" si="43"/>
        <v>147.52036743371107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30.245317897303071</v>
      </c>
      <c r="AK148" s="55">
        <f t="shared" ca="1" si="58"/>
        <v>-28.461454389097202</v>
      </c>
    </row>
    <row r="149" spans="18:37">
      <c r="R149" s="83">
        <f ca="1"/>
        <v>45255</v>
      </c>
      <c r="S149" s="55">
        <f t="shared" ca="1" si="51"/>
        <v>45255</v>
      </c>
      <c r="T149" s="55">
        <f t="shared" ca="1" si="45"/>
        <v>39.222089461173766</v>
      </c>
      <c r="U149" s="55">
        <f t="shared" ca="1" si="46"/>
        <v>28.087495231215922</v>
      </c>
      <c r="V149" s="55">
        <f t="shared" ca="1" si="47"/>
        <v>0</v>
      </c>
      <c r="W149" s="55">
        <f t="shared" ca="1" si="52"/>
        <v>0</v>
      </c>
      <c r="X149" s="55">
        <f t="shared" ca="1" si="53"/>
        <v>24.522546922290328</v>
      </c>
      <c r="Y149" s="55">
        <f t="shared" ca="1" si="54"/>
        <v>-8.0689285084132081</v>
      </c>
      <c r="Z149">
        <f t="shared" ca="1" si="48"/>
        <v>9.0608388211356647</v>
      </c>
      <c r="AA149">
        <f t="shared" ca="1" si="55"/>
        <v>0</v>
      </c>
      <c r="AB149">
        <f t="shared" ca="1" si="49"/>
        <v>0</v>
      </c>
      <c r="AC149">
        <f t="shared" ca="1" si="50"/>
        <v>0.73585206884284382</v>
      </c>
      <c r="AD149" s="83">
        <f ca="1"/>
        <v>45423</v>
      </c>
      <c r="AE149" s="55">
        <f t="shared" ref="AE149:AE212" ca="1" si="59">IF(AD149&gt;1,AD149,"")</f>
        <v>45423</v>
      </c>
      <c r="AF149" s="55">
        <f t="shared" ref="AF149:AF212" ca="1" si="60">VLOOKUP(AE149,ModelOutputs,2,FALSE)</f>
        <v>-117.29199920844735</v>
      </c>
      <c r="AG149" s="55">
        <f t="shared" ref="AG149:AG212" ca="1" si="61">VLOOKUP(AE149,ModelOutputs,7,FALSE)</f>
        <v>149.27576895177728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30.425875262455083</v>
      </c>
      <c r="AK149" s="55">
        <f t="shared" ca="1" si="58"/>
        <v>-28.418563201660223</v>
      </c>
    </row>
    <row r="150" spans="18:37">
      <c r="R150" s="83">
        <f ca="1"/>
        <v>45256</v>
      </c>
      <c r="S150" s="55">
        <f t="shared" ca="1" si="51"/>
        <v>45256</v>
      </c>
      <c r="T150" s="55">
        <f t="shared" ca="1" si="45"/>
        <v>37.573915516136211</v>
      </c>
      <c r="U150" s="55">
        <f t="shared" ca="1" si="46"/>
        <v>29.91955072954217</v>
      </c>
      <c r="V150" s="55">
        <f t="shared" ca="1" si="47"/>
        <v>0</v>
      </c>
      <c r="W150" s="55">
        <f t="shared" ca="1" si="52"/>
        <v>0</v>
      </c>
      <c r="X150" s="55">
        <f t="shared" ca="1" si="53"/>
        <v>24.70703757509995</v>
      </c>
      <c r="Y150" s="55">
        <f t="shared" ca="1" si="54"/>
        <v>-8.0695376079341372</v>
      </c>
      <c r="Z150">
        <f t="shared" ca="1" si="48"/>
        <v>9.1950775845322603</v>
      </c>
      <c r="AA150">
        <f t="shared" ca="1" si="55"/>
        <v>0</v>
      </c>
      <c r="AB150">
        <f t="shared" ca="1" si="49"/>
        <v>0</v>
      </c>
      <c r="AC150">
        <f t="shared" ca="1" si="50"/>
        <v>0.73835081487064547</v>
      </c>
      <c r="AD150" s="83">
        <f ca="1"/>
        <v>45424</v>
      </c>
      <c r="AE150" s="55">
        <f t="shared" ca="1" si="59"/>
        <v>45424</v>
      </c>
      <c r="AF150" s="55">
        <f t="shared" ca="1" si="60"/>
        <v>-118.71208357870344</v>
      </c>
      <c r="AG150" s="55">
        <f t="shared" ca="1" si="61"/>
        <v>150.90491543944577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30.593932365423232</v>
      </c>
      <c r="AK150" s="55">
        <f t="shared" ca="1" si="58"/>
        <v>-28.377558187215978</v>
      </c>
    </row>
    <row r="151" spans="18:37">
      <c r="R151" s="83">
        <f ca="1"/>
        <v>45257</v>
      </c>
      <c r="S151" s="55">
        <f t="shared" ca="1" si="51"/>
        <v>45257</v>
      </c>
      <c r="T151" s="55">
        <f t="shared" ca="1" si="45"/>
        <v>35.903692536463538</v>
      </c>
      <c r="U151" s="55">
        <f t="shared" ca="1" si="46"/>
        <v>31.768165475784041</v>
      </c>
      <c r="V151" s="55">
        <f t="shared" ca="1" si="47"/>
        <v>0</v>
      </c>
      <c r="W151" s="55">
        <f t="shared" ca="1" si="52"/>
        <v>0</v>
      </c>
      <c r="X151" s="55">
        <f t="shared" ca="1" si="53"/>
        <v>24.885960049006702</v>
      </c>
      <c r="Y151" s="55">
        <f t="shared" ca="1" si="54"/>
        <v>-8.0700683152716906</v>
      </c>
      <c r="Z151">
        <f t="shared" ca="1" si="48"/>
        <v>8.6610994954970426</v>
      </c>
      <c r="AA151">
        <f t="shared" ca="1" si="55"/>
        <v>0</v>
      </c>
      <c r="AB151">
        <f t="shared" ca="1" si="49"/>
        <v>0</v>
      </c>
      <c r="AC151">
        <f t="shared" ca="1" si="50"/>
        <v>0.74034678491818595</v>
      </c>
      <c r="AD151" s="83">
        <f ca="1"/>
        <v>45425</v>
      </c>
      <c r="AE151" s="55">
        <f t="shared" ca="1" si="59"/>
        <v>45425</v>
      </c>
      <c r="AF151" s="55">
        <f t="shared" ca="1" si="60"/>
        <v>-120.09366615029572</v>
      </c>
      <c r="AG151" s="55">
        <f t="shared" ca="1" si="61"/>
        <v>152.49461515326018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30.760357061383782</v>
      </c>
      <c r="AK151" s="55">
        <f t="shared" ca="1" si="58"/>
        <v>-28.335865740954393</v>
      </c>
    </row>
    <row r="152" spans="18:37">
      <c r="R152" s="83">
        <f ca="1"/>
        <v>45258</v>
      </c>
      <c r="S152" s="55">
        <f t="shared" ca="1" si="51"/>
        <v>45258</v>
      </c>
      <c r="T152" s="55">
        <f t="shared" ca="1" si="45"/>
        <v>34.198437180373098</v>
      </c>
      <c r="U152" s="55">
        <f t="shared" ca="1" si="46"/>
        <v>33.649374349411822</v>
      </c>
      <c r="V152" s="55">
        <f t="shared" ca="1" si="47"/>
        <v>0</v>
      </c>
      <c r="W152" s="55">
        <f t="shared" ca="1" si="52"/>
        <v>0</v>
      </c>
      <c r="X152" s="55">
        <f t="shared" ca="1" si="53"/>
        <v>25.062452938333717</v>
      </c>
      <c r="Y152" s="55">
        <f t="shared" ca="1" si="54"/>
        <v>-8.0706076870613703</v>
      </c>
      <c r="Z152">
        <f t="shared" ca="1" si="48"/>
        <v>9.4683836022143275</v>
      </c>
      <c r="AA152">
        <f t="shared" ca="1" si="55"/>
        <v>0</v>
      </c>
      <c r="AB152">
        <f t="shared" ca="1" si="49"/>
        <v>0</v>
      </c>
      <c r="AC152">
        <f t="shared" ca="1" si="50"/>
        <v>0.74196764623801337</v>
      </c>
      <c r="AD152" s="83">
        <f ca="1"/>
        <v>45426</v>
      </c>
      <c r="AE152" s="55">
        <f t="shared" ca="1" si="59"/>
        <v>45426</v>
      </c>
      <c r="AF152" s="55">
        <f t="shared" ca="1" si="60"/>
        <v>-121.39842189429564</v>
      </c>
      <c r="AG152" s="55">
        <f t="shared" ca="1" si="61"/>
        <v>154.00000000000003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30.919882309560471</v>
      </c>
      <c r="AK152" s="55">
        <f t="shared" ca="1" si="58"/>
        <v>-28.294761886391161</v>
      </c>
    </row>
    <row r="153" spans="18:37">
      <c r="R153" s="83">
        <f ca="1"/>
        <v>45259</v>
      </c>
      <c r="S153" s="55">
        <f t="shared" ca="1" si="51"/>
        <v>45259</v>
      </c>
      <c r="T153" s="55">
        <f t="shared" ca="1" si="45"/>
        <v>32.481041780972689</v>
      </c>
      <c r="U153" s="55">
        <f t="shared" ca="1" si="46"/>
        <v>35.537957523311228</v>
      </c>
      <c r="V153" s="55">
        <f t="shared" ca="1" si="47"/>
        <v>0</v>
      </c>
      <c r="W153" s="55">
        <f t="shared" ca="1" si="52"/>
        <v>0</v>
      </c>
      <c r="X153" s="55">
        <f t="shared" ca="1" si="53"/>
        <v>25.234116801103873</v>
      </c>
      <c r="Y153" s="55">
        <f t="shared" ca="1" si="54"/>
        <v>-8.0710837753325304</v>
      </c>
      <c r="Z153">
        <f t="shared" ca="1" si="48"/>
        <v>9.0714150110219123</v>
      </c>
      <c r="AA153">
        <f t="shared" ca="1" si="55"/>
        <v>0</v>
      </c>
      <c r="AB153">
        <f t="shared" ca="1" si="49"/>
        <v>0</v>
      </c>
      <c r="AC153">
        <f t="shared" ca="1" si="50"/>
        <v>0.74327620228784252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45260</v>
      </c>
      <c r="S154" s="55">
        <f t="shared" ca="1" si="51"/>
        <v>45260</v>
      </c>
      <c r="T154" s="55">
        <f t="shared" ca="1" si="45"/>
        <v>30.599168264943483</v>
      </c>
      <c r="U154" s="55">
        <f t="shared" ca="1" si="46"/>
        <v>37.597324448841682</v>
      </c>
      <c r="V154" s="55">
        <f t="shared" ca="1" si="47"/>
        <v>0</v>
      </c>
      <c r="W154" s="55">
        <f t="shared" ca="1" si="52"/>
        <v>0</v>
      </c>
      <c r="X154" s="55">
        <f t="shared" ca="1" si="53"/>
        <v>25.412070057129512</v>
      </c>
      <c r="Y154" s="55">
        <f t="shared" ca="1" si="54"/>
        <v>-8.0715436218569199</v>
      </c>
      <c r="Z154">
        <f t="shared" ca="1" si="48"/>
        <v>9.0820302925799865</v>
      </c>
      <c r="AA154">
        <f t="shared" ca="1" si="55"/>
        <v>0</v>
      </c>
      <c r="AB154">
        <f t="shared" ca="1" si="49"/>
        <v>0</v>
      </c>
      <c r="AC154">
        <f t="shared" ca="1" si="50"/>
        <v>0.74442361167291404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45261</v>
      </c>
      <c r="S155" s="55">
        <f t="shared" ca="1" si="51"/>
        <v>45261</v>
      </c>
      <c r="T155" s="55">
        <f t="shared" ca="1" si="45"/>
        <v>28.404343502701757</v>
      </c>
      <c r="U155" s="55">
        <f t="shared" ca="1" si="46"/>
        <v>39.985010827574783</v>
      </c>
      <c r="V155" s="55">
        <f t="shared" ca="1" si="47"/>
        <v>0</v>
      </c>
      <c r="W155" s="55">
        <f t="shared" ca="1" si="52"/>
        <v>0</v>
      </c>
      <c r="X155" s="55">
        <f t="shared" ca="1" si="53"/>
        <v>25.60537299515061</v>
      </c>
      <c r="Y155" s="55">
        <f t="shared" ca="1" si="54"/>
        <v>-8.0719849433866457</v>
      </c>
      <c r="Z155">
        <f t="shared" ca="1" si="48"/>
        <v>8.7307380880537178</v>
      </c>
      <c r="AA155">
        <f t="shared" ca="1" si="55"/>
        <v>0</v>
      </c>
      <c r="AB155">
        <f t="shared" ca="1" si="49"/>
        <v>0</v>
      </c>
      <c r="AC155">
        <f t="shared" ca="1" si="50"/>
        <v>0.74547596536416183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45262</v>
      </c>
      <c r="S156" s="55">
        <f t="shared" ca="1" si="51"/>
        <v>45262</v>
      </c>
      <c r="T156" s="55">
        <f t="shared" ca="1" si="45"/>
        <v>26.050488576399069</v>
      </c>
      <c r="U156" s="55">
        <f t="shared" ca="1" si="46"/>
        <v>42.535541310784438</v>
      </c>
      <c r="V156" s="55">
        <f t="shared" ca="1" si="47"/>
        <v>0</v>
      </c>
      <c r="W156" s="55">
        <f t="shared" ca="1" si="52"/>
        <v>0</v>
      </c>
      <c r="X156" s="55">
        <f t="shared" ca="1" si="53"/>
        <v>25.802437321692668</v>
      </c>
      <c r="Y156" s="55">
        <f t="shared" ca="1" si="54"/>
        <v>-8.0723737130217383</v>
      </c>
      <c r="Z156">
        <f t="shared" ca="1" si="48"/>
        <v>8.1293241001768664</v>
      </c>
      <c r="AA156">
        <f t="shared" ca="1" si="55"/>
        <v>0</v>
      </c>
      <c r="AB156">
        <f t="shared" ca="1" si="49"/>
        <v>0</v>
      </c>
      <c r="AC156">
        <f t="shared" ca="1" si="50"/>
        <v>0.7463524415482079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45263</v>
      </c>
      <c r="S157" s="55">
        <f t="shared" ca="1" si="51"/>
        <v>45263</v>
      </c>
      <c r="T157" s="55">
        <f t="shared" ca="1" si="45"/>
        <v>47.641539012456334</v>
      </c>
      <c r="U157" s="55">
        <f t="shared" ca="1" si="46"/>
        <v>45.354097716933993</v>
      </c>
      <c r="V157" s="55">
        <f t="shared" ca="1" si="47"/>
        <v>24.202630382901685</v>
      </c>
      <c r="W157" s="55">
        <f t="shared" ca="1" si="52"/>
        <v>0</v>
      </c>
      <c r="X157" s="55">
        <f t="shared" ca="1" si="53"/>
        <v>26.009772800015028</v>
      </c>
      <c r="Y157" s="55">
        <f t="shared" ca="1" si="54"/>
        <v>-8.072732732038963</v>
      </c>
      <c r="Z157">
        <f t="shared" ca="1" si="48"/>
        <v>7.7576467809768426</v>
      </c>
      <c r="AA157">
        <f t="shared" ca="1" si="55"/>
        <v>0</v>
      </c>
      <c r="AB157">
        <f t="shared" ca="1" si="49"/>
        <v>0</v>
      </c>
      <c r="AC157">
        <f t="shared" ca="1" si="50"/>
        <v>0.74710094570768271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45264</v>
      </c>
      <c r="S158" s="55">
        <f t="shared" ca="1" si="51"/>
        <v>45264</v>
      </c>
      <c r="T158" s="55">
        <f t="shared" ca="1" si="45"/>
        <v>45.046451407560859</v>
      </c>
      <c r="U158" s="55">
        <f t="shared" ca="1" si="46"/>
        <v>48.148673479949068</v>
      </c>
      <c r="V158" s="55">
        <f t="shared" ca="1" si="47"/>
        <v>0</v>
      </c>
      <c r="W158" s="55">
        <f t="shared" ca="1" si="52"/>
        <v>0</v>
      </c>
      <c r="X158" s="55">
        <f t="shared" ca="1" si="53"/>
        <v>26.209570013825982</v>
      </c>
      <c r="Y158" s="55">
        <f t="shared" ca="1" si="54"/>
        <v>-8.0730417877303182</v>
      </c>
      <c r="Z158">
        <f t="shared" ca="1" si="48"/>
        <v>7.4530241351978583</v>
      </c>
      <c r="AA158">
        <f t="shared" ca="1" si="55"/>
        <v>0</v>
      </c>
      <c r="AB158">
        <f t="shared" ca="1" si="49"/>
        <v>0</v>
      </c>
      <c r="AC158">
        <f t="shared" ca="1" si="50"/>
        <v>0.74767438126313057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45265</v>
      </c>
      <c r="S159" s="55">
        <f t="shared" ca="1" si="51"/>
        <v>45265</v>
      </c>
      <c r="T159" s="55">
        <f t="shared" ca="1" si="45"/>
        <v>42.395734304475369</v>
      </c>
      <c r="U159" s="55">
        <f t="shared" ca="1" si="46"/>
        <v>50.997404821549594</v>
      </c>
      <c r="V159" s="55">
        <f t="shared" ca="1" si="47"/>
        <v>0</v>
      </c>
      <c r="W159" s="55">
        <f t="shared" ca="1" si="52"/>
        <v>0</v>
      </c>
      <c r="X159" s="55">
        <f t="shared" ca="1" si="53"/>
        <v>26.407872057492462</v>
      </c>
      <c r="Y159" s="55">
        <f t="shared" ca="1" si="54"/>
        <v>-8.0733295928817661</v>
      </c>
      <c r="Z159">
        <f t="shared" ca="1" si="48"/>
        <v>7.5990605918259044</v>
      </c>
      <c r="AA159">
        <f t="shared" ca="1" si="55"/>
        <v>0</v>
      </c>
      <c r="AB159">
        <f t="shared" ca="1" si="49"/>
        <v>0</v>
      </c>
      <c r="AC159">
        <f t="shared" ca="1" si="50"/>
        <v>0.74813055421255314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45266</v>
      </c>
      <c r="S160" s="55">
        <f t="shared" ca="1" si="51"/>
        <v>45266</v>
      </c>
      <c r="T160" s="55">
        <f t="shared" ca="1" si="45"/>
        <v>39.840764809033693</v>
      </c>
      <c r="U160" s="55">
        <f t="shared" ca="1" si="46"/>
        <v>53.741004789856845</v>
      </c>
      <c r="V160" s="55">
        <f t="shared" ca="1" si="47"/>
        <v>0</v>
      </c>
      <c r="W160" s="55">
        <f t="shared" ca="1" si="52"/>
        <v>0</v>
      </c>
      <c r="X160" s="55">
        <f t="shared" ca="1" si="53"/>
        <v>26.596765300365782</v>
      </c>
      <c r="Y160" s="55">
        <f t="shared" ca="1" si="54"/>
        <v>-8.0735923628895101</v>
      </c>
      <c r="Z160">
        <f t="shared" ca="1" si="48"/>
        <v>7.9241823891434287</v>
      </c>
      <c r="AA160">
        <f t="shared" ca="1" si="55"/>
        <v>0</v>
      </c>
      <c r="AB160">
        <f t="shared" ca="1" si="49"/>
        <v>0</v>
      </c>
      <c r="AC160">
        <f t="shared" ca="1" si="50"/>
        <v>0.74847739692862214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45267</v>
      </c>
      <c r="S161" s="55">
        <f t="shared" ca="1" si="51"/>
        <v>45267</v>
      </c>
      <c r="T161" s="55">
        <f t="shared" ca="1" si="45"/>
        <v>37.074852841067759</v>
      </c>
      <c r="U161" s="55">
        <f t="shared" ca="1" si="46"/>
        <v>56.703937056655143</v>
      </c>
      <c r="V161" s="55">
        <f t="shared" ca="1" si="47"/>
        <v>0</v>
      </c>
      <c r="W161" s="55">
        <f t="shared" ca="1" si="52"/>
        <v>0</v>
      </c>
      <c r="X161" s="55">
        <f t="shared" ca="1" si="53"/>
        <v>26.794025289423125</v>
      </c>
      <c r="Y161" s="55">
        <f t="shared" ca="1" si="54"/>
        <v>-8.0738320531144918</v>
      </c>
      <c r="Z161">
        <f t="shared" ca="1" si="48"/>
        <v>7.7018432713715423</v>
      </c>
      <c r="AA161">
        <f t="shared" ca="1" si="55"/>
        <v>0</v>
      </c>
      <c r="AB161">
        <f t="shared" ca="1" si="49"/>
        <v>0</v>
      </c>
      <c r="AC161">
        <f t="shared" ca="1" si="50"/>
        <v>0.74877442234132663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45268</v>
      </c>
      <c r="S162" s="55">
        <f t="shared" ca="1" si="51"/>
        <v>45268</v>
      </c>
      <c r="T162" s="55">
        <f t="shared" ca="1" si="45"/>
        <v>34.239785320576416</v>
      </c>
      <c r="U162" s="55">
        <f t="shared" ca="1" si="46"/>
        <v>59.737878813667798</v>
      </c>
      <c r="V162" s="55">
        <f t="shared" ca="1" si="47"/>
        <v>0</v>
      </c>
      <c r="W162" s="55">
        <f t="shared" ca="1" si="52"/>
        <v>0</v>
      </c>
      <c r="X162" s="55">
        <f t="shared" ca="1" si="53"/>
        <v>26.993139220183515</v>
      </c>
      <c r="Y162" s="55">
        <f t="shared" ca="1" si="54"/>
        <v>-8.0740717473535728</v>
      </c>
      <c r="Z162">
        <f t="shared" ca="1" si="48"/>
        <v>8.6401902785804712</v>
      </c>
      <c r="AA162">
        <f t="shared" ca="1" si="55"/>
        <v>0</v>
      </c>
      <c r="AB162">
        <f t="shared" ca="1" si="49"/>
        <v>0</v>
      </c>
      <c r="AC162">
        <f t="shared" ca="1" si="50"/>
        <v>0.74901466995366106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45269</v>
      </c>
      <c r="S163" s="55">
        <f t="shared" ca="1" si="51"/>
        <v>45269</v>
      </c>
      <c r="T163" s="55">
        <f t="shared" ca="1" si="45"/>
        <v>31.554389270741844</v>
      </c>
      <c r="U163" s="55">
        <f t="shared" ca="1" si="46"/>
        <v>62.610690408861245</v>
      </c>
      <c r="V163" s="55">
        <f t="shared" ca="1" si="47"/>
        <v>0</v>
      </c>
      <c r="W163" s="55">
        <f t="shared" ca="1" si="52"/>
        <v>0</v>
      </c>
      <c r="X163" s="55">
        <f t="shared" ca="1" si="53"/>
        <v>27.180738408355051</v>
      </c>
      <c r="Y163" s="55">
        <f t="shared" ca="1" si="54"/>
        <v>-8.0742553901662397</v>
      </c>
      <c r="Z163">
        <f t="shared" ca="1" si="48"/>
        <v>7.9094137958002779</v>
      </c>
      <c r="AA163">
        <f t="shared" ca="1" si="55"/>
        <v>0</v>
      </c>
      <c r="AB163">
        <f t="shared" ca="1" si="49"/>
        <v>0</v>
      </c>
      <c r="AC163">
        <f t="shared" ca="1" si="50"/>
        <v>0.74919623715467087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45270</v>
      </c>
      <c r="S164" s="55">
        <f t="shared" ca="1" si="51"/>
        <v>45270</v>
      </c>
      <c r="T164" s="55">
        <f t="shared" ca="1" si="45"/>
        <v>54.822465848358249</v>
      </c>
      <c r="U164" s="55">
        <f t="shared" ca="1" si="46"/>
        <v>65.732827406968937</v>
      </c>
      <c r="V164" s="55">
        <f t="shared" ca="1" si="47"/>
        <v>26.192105443555533</v>
      </c>
      <c r="W164" s="55">
        <f t="shared" ca="1" si="52"/>
        <v>0</v>
      </c>
      <c r="X164" s="55">
        <f t="shared" ca="1" si="53"/>
        <v>27.379003594541008</v>
      </c>
      <c r="Y164" s="55">
        <f t="shared" ca="1" si="54"/>
        <v>-8.0744124441836327</v>
      </c>
      <c r="Z164">
        <f t="shared" ca="1" si="48"/>
        <v>7.4106390466065157</v>
      </c>
      <c r="AA164">
        <f t="shared" ca="1" si="55"/>
        <v>0</v>
      </c>
      <c r="AB164">
        <f t="shared" ca="1" si="49"/>
        <v>0</v>
      </c>
      <c r="AC164">
        <f t="shared" ca="1" si="50"/>
        <v>0.7493542967747352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45271</v>
      </c>
      <c r="S165" s="55">
        <f t="shared" ca="1" si="51"/>
        <v>45271</v>
      </c>
      <c r="T165" s="55">
        <f t="shared" ca="1" si="45"/>
        <v>51.562765272060261</v>
      </c>
      <c r="U165" s="55">
        <f t="shared" ca="1" si="46"/>
        <v>69.207192779310489</v>
      </c>
      <c r="V165" s="55">
        <f t="shared" ca="1" si="47"/>
        <v>0</v>
      </c>
      <c r="W165" s="55">
        <f t="shared" ca="1" si="52"/>
        <v>0</v>
      </c>
      <c r="X165" s="55">
        <f t="shared" ca="1" si="53"/>
        <v>27.593797649187678</v>
      </c>
      <c r="Y165" s="55">
        <f t="shared" ca="1" si="54"/>
        <v>-8.0745417027867461</v>
      </c>
      <c r="Z165">
        <f t="shared" ca="1" si="48"/>
        <v>6.6350692434348293</v>
      </c>
      <c r="AA165">
        <f t="shared" ca="1" si="55"/>
        <v>0</v>
      </c>
      <c r="AB165">
        <f t="shared" ca="1" si="49"/>
        <v>0</v>
      </c>
      <c r="AC165">
        <f t="shared" ca="1" si="50"/>
        <v>0.74949297021233274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45272</v>
      </c>
      <c r="S166" s="55">
        <f t="shared" ca="1" si="51"/>
        <v>45272</v>
      </c>
      <c r="T166" s="55">
        <f t="shared" ca="1" si="45"/>
        <v>48.081556477681694</v>
      </c>
      <c r="U166" s="55">
        <f t="shared" ca="1" si="46"/>
        <v>72.915179107277325</v>
      </c>
      <c r="V166" s="55">
        <f t="shared" ca="1" si="47"/>
        <v>0</v>
      </c>
      <c r="W166" s="55">
        <f t="shared" ca="1" si="52"/>
        <v>0</v>
      </c>
      <c r="X166" s="55">
        <f t="shared" ca="1" si="53"/>
        <v>27.820687817577411</v>
      </c>
      <c r="Y166" s="55">
        <f t="shared" ca="1" si="54"/>
        <v>-8.0746543375882069</v>
      </c>
      <c r="Z166">
        <f t="shared" ca="1" si="48"/>
        <v>6.6233736763555058</v>
      </c>
      <c r="AA166">
        <f t="shared" ca="1" si="55"/>
        <v>0</v>
      </c>
      <c r="AB166">
        <f t="shared" ca="1" si="49"/>
        <v>0</v>
      </c>
      <c r="AC166">
        <f t="shared" ca="1" si="50"/>
        <v>0.74960790373734665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45273</v>
      </c>
      <c r="S167" s="55">
        <f t="shared" ca="1" si="51"/>
        <v>45273</v>
      </c>
      <c r="T167" s="55">
        <f t="shared" ca="1" si="45"/>
        <v>44.909033008994321</v>
      </c>
      <c r="U167" s="55">
        <f t="shared" ca="1" si="46"/>
        <v>76.297929145815274</v>
      </c>
      <c r="V167" s="55">
        <f t="shared" ca="1" si="47"/>
        <v>0</v>
      </c>
      <c r="W167" s="55">
        <f t="shared" ca="1" si="52"/>
        <v>0</v>
      </c>
      <c r="X167" s="55">
        <f t="shared" ca="1" si="53"/>
        <v>28.031008690558657</v>
      </c>
      <c r="Y167" s="55">
        <f t="shared" ca="1" si="54"/>
        <v>-8.0747486407188802</v>
      </c>
      <c r="Z167">
        <f t="shared" ca="1" si="48"/>
        <v>7.5399396060384909</v>
      </c>
      <c r="AA167">
        <f t="shared" ca="1" si="55"/>
        <v>0</v>
      </c>
      <c r="AB167">
        <f t="shared" ca="1" si="49"/>
        <v>0</v>
      </c>
      <c r="AC167">
        <f t="shared" ca="1" si="50"/>
        <v>0.74968994836622826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45274</v>
      </c>
      <c r="S168" s="55">
        <f t="shared" ca="1" si="51"/>
        <v>45274</v>
      </c>
      <c r="T168" s="55">
        <f t="shared" ca="1" si="45"/>
        <v>41.972806230337198</v>
      </c>
      <c r="U168" s="55">
        <f t="shared" ca="1" si="46"/>
        <v>79.431917982851971</v>
      </c>
      <c r="V168" s="55">
        <f t="shared" ca="1" si="47"/>
        <v>0</v>
      </c>
      <c r="W168" s="55">
        <f t="shared" ca="1" si="52"/>
        <v>0</v>
      </c>
      <c r="X168" s="55">
        <f t="shared" ca="1" si="53"/>
        <v>28.228834781092509</v>
      </c>
      <c r="Y168" s="55">
        <f t="shared" ca="1" si="54"/>
        <v>-8.074812672873156</v>
      </c>
      <c r="Z168">
        <f t="shared" ca="1" si="48"/>
        <v>7.3073924477013144</v>
      </c>
      <c r="AA168">
        <f t="shared" ca="1" si="55"/>
        <v>0</v>
      </c>
      <c r="AB168">
        <f t="shared" ca="1" si="49"/>
        <v>0</v>
      </c>
      <c r="AC168">
        <f t="shared" ca="1" si="50"/>
        <v>0.74975084201210151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45275</v>
      </c>
      <c r="S169" s="55">
        <f t="shared" ca="1" si="51"/>
        <v>45275</v>
      </c>
      <c r="T169" s="55">
        <f t="shared" ca="1" si="45"/>
        <v>38.736415699058028</v>
      </c>
      <c r="U169" s="55">
        <f t="shared" ca="1" si="46"/>
        <v>82.884608785550213</v>
      </c>
      <c r="V169" s="55">
        <f t="shared" ca="1" si="47"/>
        <v>0</v>
      </c>
      <c r="W169" s="55">
        <f t="shared" ca="1" si="52"/>
        <v>0</v>
      </c>
      <c r="X169" s="55">
        <f t="shared" ca="1" si="53"/>
        <v>28.445178778364951</v>
      </c>
      <c r="Y169" s="55">
        <f t="shared" ca="1" si="54"/>
        <v>-8.0748563987265278</v>
      </c>
      <c r="Z169">
        <f t="shared" ca="1" si="48"/>
        <v>7.0854661152941327</v>
      </c>
      <c r="AA169">
        <f t="shared" ca="1" si="55"/>
        <v>0</v>
      </c>
      <c r="AB169">
        <f t="shared" ca="1" si="49"/>
        <v>0</v>
      </c>
      <c r="AC169">
        <f t="shared" ca="1" si="50"/>
        <v>0.74980463362264838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45276</v>
      </c>
      <c r="S170" s="55">
        <f t="shared" ca="1" si="51"/>
        <v>45276</v>
      </c>
      <c r="T170" s="55">
        <f t="shared" ca="1" si="45"/>
        <v>35.677743692455266</v>
      </c>
      <c r="U170" s="55">
        <f t="shared" ca="1" si="46"/>
        <v>86.152527547654643</v>
      </c>
      <c r="V170" s="55">
        <f t="shared" ca="1" si="47"/>
        <v>0</v>
      </c>
      <c r="W170" s="55">
        <f t="shared" ca="1" si="52"/>
        <v>0</v>
      </c>
      <c r="X170" s="55">
        <f t="shared" ca="1" si="53"/>
        <v>28.654445786312916</v>
      </c>
      <c r="Y170" s="55">
        <f t="shared" ca="1" si="54"/>
        <v>-8.0748766511728292</v>
      </c>
      <c r="Z170">
        <f t="shared" ca="1" si="48"/>
        <v>7.5129268551907407</v>
      </c>
      <c r="AA170">
        <f t="shared" ca="1" si="55"/>
        <v>0</v>
      </c>
      <c r="AB170">
        <f t="shared" ca="1" si="49"/>
        <v>0</v>
      </c>
      <c r="AC170">
        <f t="shared" ca="1" si="50"/>
        <v>0.74984531668043697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45277</v>
      </c>
      <c r="S171" s="55">
        <f t="shared" ca="1" si="51"/>
        <v>45277</v>
      </c>
      <c r="T171" s="55">
        <f t="shared" ca="1" si="45"/>
        <v>32.766751974610216</v>
      </c>
      <c r="U171" s="55">
        <f t="shared" ca="1" si="46"/>
        <v>89.268324222121166</v>
      </c>
      <c r="V171" s="55">
        <f t="shared" ca="1" si="47"/>
        <v>0</v>
      </c>
      <c r="W171" s="55">
        <f t="shared" ca="1" si="52"/>
        <v>0</v>
      </c>
      <c r="X171" s="55">
        <f t="shared" ca="1" si="53"/>
        <v>28.85924488635764</v>
      </c>
      <c r="Y171" s="55">
        <f t="shared" ca="1" si="54"/>
        <v>-8.0748707945960838</v>
      </c>
      <c r="Z171">
        <f t="shared" ca="1" si="48"/>
        <v>8.2023085325278764</v>
      </c>
      <c r="AA171">
        <f t="shared" ca="1" si="55"/>
        <v>0</v>
      </c>
      <c r="AB171">
        <f t="shared" ca="1" si="49"/>
        <v>0</v>
      </c>
      <c r="AC171">
        <f t="shared" ca="1" si="50"/>
        <v>0.74987668686719089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45278</v>
      </c>
      <c r="S172" s="55">
        <f t="shared" ca="1" si="51"/>
        <v>45278</v>
      </c>
      <c r="T172" s="55">
        <f t="shared" ca="1" si="45"/>
        <v>57.250636173120753</v>
      </c>
      <c r="U172" s="55">
        <f t="shared" ca="1" si="46"/>
        <v>92.391115014564065</v>
      </c>
      <c r="V172" s="55">
        <f t="shared" ca="1" si="47"/>
        <v>27.397276409736612</v>
      </c>
      <c r="W172" s="55">
        <f t="shared" ca="1" si="52"/>
        <v>0</v>
      </c>
      <c r="X172" s="55">
        <f t="shared" ca="1" si="53"/>
        <v>29.068606858798415</v>
      </c>
      <c r="Y172" s="55">
        <f t="shared" ca="1" si="54"/>
        <v>-8.0748341858200341</v>
      </c>
      <c r="Z172">
        <f t="shared" ca="1" si="48"/>
        <v>8.4843288568578838</v>
      </c>
      <c r="AA172">
        <f t="shared" ca="1" si="55"/>
        <v>0</v>
      </c>
      <c r="AB172">
        <f t="shared" ca="1" si="49"/>
        <v>0</v>
      </c>
      <c r="AC172">
        <f t="shared" ca="1" si="50"/>
        <v>0.74990223789774002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45279</v>
      </c>
      <c r="S173" s="55">
        <f t="shared" ca="1" si="51"/>
        <v>45279</v>
      </c>
      <c r="T173" s="55">
        <f t="shared" ca="1" si="45"/>
        <v>54.412546169779354</v>
      </c>
      <c r="U173" s="55">
        <f t="shared" ca="1" si="46"/>
        <v>95.439144925767025</v>
      </c>
      <c r="V173" s="55">
        <f t="shared" ca="1" si="47"/>
        <v>0</v>
      </c>
      <c r="W173" s="55">
        <f t="shared" ca="1" si="52"/>
        <v>0</v>
      </c>
      <c r="X173" s="55">
        <f t="shared" ca="1" si="53"/>
        <v>29.278477674550714</v>
      </c>
      <c r="Y173" s="55">
        <f t="shared" ca="1" si="54"/>
        <v>-8.0747650937107771</v>
      </c>
      <c r="Z173">
        <f t="shared" ca="1" si="48"/>
        <v>8.6264981914725869</v>
      </c>
      <c r="AA173">
        <f t="shared" ca="1" si="55"/>
        <v>0</v>
      </c>
      <c r="AB173">
        <f t="shared" ca="1" si="49"/>
        <v>0</v>
      </c>
      <c r="AC173">
        <f t="shared" ca="1" si="50"/>
        <v>0.7499225294598062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45280</v>
      </c>
      <c r="S174" s="55">
        <f t="shared" ca="1" si="51"/>
        <v>45280</v>
      </c>
      <c r="T174" s="55">
        <f t="shared" ca="1" si="45"/>
        <v>51.752621033031005</v>
      </c>
      <c r="U174" s="55">
        <f t="shared" ca="1" si="46"/>
        <v>98.305508621928951</v>
      </c>
      <c r="V174" s="55">
        <f t="shared" ca="1" si="47"/>
        <v>0</v>
      </c>
      <c r="W174" s="55">
        <f t="shared" ca="1" si="52"/>
        <v>0</v>
      </c>
      <c r="X174" s="55">
        <f t="shared" ca="1" si="53"/>
        <v>29.484794745393227</v>
      </c>
      <c r="Y174" s="55">
        <f t="shared" ca="1" si="54"/>
        <v>-8.0746436051397055</v>
      </c>
      <c r="Z174">
        <f t="shared" ca="1" si="48"/>
        <v>10.344910466895124</v>
      </c>
      <c r="AA174">
        <f t="shared" ca="1" si="55"/>
        <v>0</v>
      </c>
      <c r="AB174">
        <f t="shared" ca="1" si="49"/>
        <v>0</v>
      </c>
      <c r="AC174">
        <f t="shared" ca="1" si="50"/>
        <v>0.74993815997998636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45281</v>
      </c>
      <c r="S175" s="55">
        <f t="shared" ca="1" si="51"/>
        <v>45281</v>
      </c>
      <c r="T175" s="55">
        <f t="shared" ca="1" si="45"/>
        <v>49.235714153824446</v>
      </c>
      <c r="U175" s="55">
        <f t="shared" ca="1" si="46"/>
        <v>101.02606403190798</v>
      </c>
      <c r="V175" s="55">
        <f t="shared" ca="1" si="47"/>
        <v>0</v>
      </c>
      <c r="W175" s="55">
        <f t="shared" ca="1" si="52"/>
        <v>0</v>
      </c>
      <c r="X175" s="55">
        <f t="shared" ca="1" si="53"/>
        <v>29.688273124768699</v>
      </c>
      <c r="Y175" s="55">
        <f t="shared" ca="1" si="54"/>
        <v>-8.0744734537427121</v>
      </c>
      <c r="Z175">
        <f t="shared" ca="1" si="48"/>
        <v>10.789868960255474</v>
      </c>
      <c r="AA175">
        <f t="shared" ca="1" si="55"/>
        <v>0</v>
      </c>
      <c r="AB175">
        <f t="shared" ca="1" si="49"/>
        <v>0</v>
      </c>
      <c r="AC175">
        <f t="shared" ca="1" si="50"/>
        <v>0.74995041826423792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45282</v>
      </c>
      <c r="S176" s="55">
        <f t="shared" ca="1" si="51"/>
        <v>45282</v>
      </c>
      <c r="T176" s="55">
        <f t="shared" ca="1" si="45"/>
        <v>46.734177241343893</v>
      </c>
      <c r="U176" s="55">
        <f t="shared" ca="1" si="46"/>
        <v>103.73701224922553</v>
      </c>
      <c r="V176" s="55">
        <f t="shared" ca="1" si="47"/>
        <v>0</v>
      </c>
      <c r="W176" s="55">
        <f t="shared" ca="1" si="52"/>
        <v>0</v>
      </c>
      <c r="X176" s="55">
        <f t="shared" ca="1" si="53"/>
        <v>29.897461647078277</v>
      </c>
      <c r="Y176" s="55">
        <f t="shared" ca="1" si="54"/>
        <v>-8.0742506712152871</v>
      </c>
      <c r="Z176">
        <f t="shared" ca="1" si="48"/>
        <v>10.867088076803762</v>
      </c>
      <c r="AA176">
        <f t="shared" ca="1" si="55"/>
        <v>0</v>
      </c>
      <c r="AB176">
        <f t="shared" ca="1" si="49"/>
        <v>0</v>
      </c>
      <c r="AC176">
        <f t="shared" ca="1" si="50"/>
        <v>0.74996053583599309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45283</v>
      </c>
      <c r="S177" s="55">
        <f t="shared" ca="1" si="51"/>
        <v>45283</v>
      </c>
      <c r="T177" s="55">
        <f t="shared" ca="1" si="45"/>
        <v>44.389458321959147</v>
      </c>
      <c r="U177" s="55">
        <f t="shared" ca="1" si="46"/>
        <v>106.28722808570069</v>
      </c>
      <c r="V177" s="55">
        <f t="shared" ca="1" si="47"/>
        <v>0</v>
      </c>
      <c r="W177" s="55">
        <f t="shared" ca="1" si="52"/>
        <v>0</v>
      </c>
      <c r="X177" s="55">
        <f t="shared" ca="1" si="53"/>
        <v>30.102696840321482</v>
      </c>
      <c r="Y177" s="55">
        <f t="shared" ca="1" si="54"/>
        <v>-8.0739889473680755</v>
      </c>
      <c r="Z177">
        <f t="shared" ca="1" si="48"/>
        <v>10.70615323296169</v>
      </c>
      <c r="AA177">
        <f t="shared" ca="1" si="55"/>
        <v>0</v>
      </c>
      <c r="AB177">
        <f t="shared" ca="1" si="49"/>
        <v>0</v>
      </c>
      <c r="AC177">
        <f t="shared" ca="1" si="50"/>
        <v>0.74996843571712657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45284</v>
      </c>
      <c r="S178" s="55">
        <f t="shared" ca="1" si="51"/>
        <v>45284</v>
      </c>
      <c r="T178" s="55">
        <f t="shared" ca="1" si="45"/>
        <v>42.006703052667035</v>
      </c>
      <c r="U178" s="55">
        <f t="shared" ca="1" si="46"/>
        <v>108.88538752827009</v>
      </c>
      <c r="V178" s="55">
        <f t="shared" ca="1" si="47"/>
        <v>0</v>
      </c>
      <c r="W178" s="55">
        <f t="shared" ca="1" si="52"/>
        <v>0</v>
      </c>
      <c r="X178" s="55">
        <f t="shared" ca="1" si="53"/>
        <v>30.317812695485053</v>
      </c>
      <c r="Y178" s="55">
        <f t="shared" ca="1" si="54"/>
        <v>-8.0737006292543541</v>
      </c>
      <c r="Z178">
        <f t="shared" ca="1" si="48"/>
        <v>9.6767801185838795</v>
      </c>
      <c r="AA178">
        <f t="shared" ca="1" si="55"/>
        <v>0</v>
      </c>
      <c r="AB178">
        <f t="shared" ca="1" si="49"/>
        <v>0</v>
      </c>
      <c r="AC178">
        <f t="shared" ca="1" si="50"/>
        <v>0.74997511458307309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45285</v>
      </c>
      <c r="S179" s="55">
        <f t="shared" ca="1" si="51"/>
        <v>45285</v>
      </c>
      <c r="T179" s="55">
        <f t="shared" ca="1" si="45"/>
        <v>39.735762646874036</v>
      </c>
      <c r="U179" s="55">
        <f t="shared" ca="1" si="46"/>
        <v>111.37183278193486</v>
      </c>
      <c r="V179" s="55">
        <f t="shared" ca="1" si="47"/>
        <v>0</v>
      </c>
      <c r="W179" s="55">
        <f t="shared" ca="1" si="52"/>
        <v>0</v>
      </c>
      <c r="X179" s="55">
        <f t="shared" ca="1" si="53"/>
        <v>30.53301143510339</v>
      </c>
      <c r="Y179" s="55">
        <f t="shared" ca="1" si="54"/>
        <v>-8.0733945210009246</v>
      </c>
      <c r="Z179">
        <f t="shared" ca="1" si="48"/>
        <v>9.0431313313663537</v>
      </c>
      <c r="AA179">
        <f t="shared" ca="1" si="55"/>
        <v>0</v>
      </c>
      <c r="AB179">
        <f t="shared" ca="1" si="49"/>
        <v>0</v>
      </c>
      <c r="AC179">
        <f t="shared" ca="1" si="50"/>
        <v>0.74998040195030102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45286</v>
      </c>
      <c r="S180" s="55">
        <f t="shared" ca="1" si="51"/>
        <v>45286</v>
      </c>
      <c r="T180" s="55">
        <f t="shared" ca="1" si="45"/>
        <v>37.719368962864145</v>
      </c>
      <c r="U180" s="55">
        <f t="shared" ca="1" si="46"/>
        <v>113.59168620458536</v>
      </c>
      <c r="V180" s="55">
        <f t="shared" ca="1" si="47"/>
        <v>0</v>
      </c>
      <c r="W180" s="55">
        <f t="shared" ca="1" si="52"/>
        <v>0</v>
      </c>
      <c r="X180" s="55">
        <f t="shared" ca="1" si="53"/>
        <v>30.736171364340503</v>
      </c>
      <c r="Y180" s="55">
        <f t="shared" ca="1" si="54"/>
        <v>-8.0730947115974256</v>
      </c>
      <c r="Z180">
        <f t="shared" ca="1" si="48"/>
        <v>8.3861561921216179</v>
      </c>
      <c r="AA180">
        <f t="shared" ca="1" si="55"/>
        <v>0</v>
      </c>
      <c r="AB180">
        <f t="shared" ca="1" si="49"/>
        <v>0</v>
      </c>
      <c r="AC180">
        <f t="shared" ca="1" si="50"/>
        <v>0.74998433900412786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45287</v>
      </c>
      <c r="S181" s="55">
        <f t="shared" ca="1" si="51"/>
        <v>45287</v>
      </c>
      <c r="T181" s="55">
        <f t="shared" ca="1" si="45"/>
        <v>35.490433469139091</v>
      </c>
      <c r="U181" s="55">
        <f t="shared" ca="1" si="46"/>
        <v>116.0545230129418</v>
      </c>
      <c r="V181" s="55">
        <f t="shared" ca="1" si="47"/>
        <v>0</v>
      </c>
      <c r="W181" s="55">
        <f t="shared" ca="1" si="52"/>
        <v>0</v>
      </c>
      <c r="X181" s="55">
        <f t="shared" ca="1" si="53"/>
        <v>30.969716385280947</v>
      </c>
      <c r="Y181" s="55">
        <f t="shared" ca="1" si="54"/>
        <v>-8.0727384179064874</v>
      </c>
      <c r="Z181">
        <f t="shared" ca="1" si="48"/>
        <v>8.0721187070090004</v>
      </c>
      <c r="AA181">
        <f t="shared" ca="1" si="55"/>
        <v>0</v>
      </c>
      <c r="AB181">
        <f t="shared" ca="1" si="49"/>
        <v>0</v>
      </c>
      <c r="AC181">
        <f t="shared" ca="1" si="50"/>
        <v>0.74998796293154713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45288</v>
      </c>
      <c r="S182" s="55">
        <f t="shared" ca="1" si="51"/>
        <v>45288</v>
      </c>
      <c r="T182" s="55">
        <f t="shared" ca="1" si="45"/>
        <v>33.375186706820486</v>
      </c>
      <c r="U182" s="55">
        <f t="shared" ca="1" si="46"/>
        <v>118.40943096253595</v>
      </c>
      <c r="V182" s="55">
        <f t="shared" ca="1" si="47"/>
        <v>0</v>
      </c>
      <c r="W182" s="55">
        <f t="shared" ca="1" si="52"/>
        <v>0</v>
      </c>
      <c r="X182" s="55">
        <f t="shared" ca="1" si="53"/>
        <v>31.208934376988239</v>
      </c>
      <c r="Y182" s="55">
        <f t="shared" ca="1" si="54"/>
        <v>-8.0722952223382389</v>
      </c>
      <c r="Z182">
        <f t="shared" ca="1" si="48"/>
        <v>9.0288949677578856</v>
      </c>
      <c r="AA182">
        <f t="shared" ca="1" si="55"/>
        <v>0</v>
      </c>
      <c r="AB182">
        <f t="shared" ca="1" si="49"/>
        <v>0</v>
      </c>
      <c r="AC182">
        <f t="shared" ca="1" si="50"/>
        <v>0.74999079727587381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45289</v>
      </c>
      <c r="S183" s="55">
        <f t="shared" ca="1" si="51"/>
        <v>45289</v>
      </c>
      <c r="T183" s="55">
        <f t="shared" ca="1" si="45"/>
        <v>31.627202738017218</v>
      </c>
      <c r="U183" s="55">
        <f t="shared" ca="1" si="46"/>
        <v>120.37248573286682</v>
      </c>
      <c r="V183" s="55">
        <f t="shared" ca="1" si="47"/>
        <v>0</v>
      </c>
      <c r="W183" s="55">
        <f t="shared" ca="1" si="52"/>
        <v>0</v>
      </c>
      <c r="X183" s="55">
        <f t="shared" ca="1" si="53"/>
        <v>31.42358823863767</v>
      </c>
      <c r="Y183" s="55">
        <f t="shared" ca="1" si="54"/>
        <v>-8.0718782824600641</v>
      </c>
      <c r="Z183">
        <f t="shared" ca="1" si="48"/>
        <v>8.5953467452684116</v>
      </c>
      <c r="AA183">
        <f t="shared" ca="1" si="55"/>
        <v>0</v>
      </c>
      <c r="AB183">
        <f t="shared" ca="1" si="49"/>
        <v>0</v>
      </c>
      <c r="AC183">
        <f t="shared" ca="1" si="50"/>
        <v>0.74999275259707243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45290</v>
      </c>
      <c r="S184" s="55">
        <f t="shared" ca="1" si="51"/>
        <v>45290</v>
      </c>
      <c r="T184" s="55">
        <f t="shared" ca="1" si="45"/>
        <v>29.922237775529602</v>
      </c>
      <c r="U184" s="55">
        <f t="shared" ca="1" si="46"/>
        <v>122.30293244720654</v>
      </c>
      <c r="V184" s="55">
        <f t="shared" ca="1" si="47"/>
        <v>0</v>
      </c>
      <c r="W184" s="55">
        <f t="shared" ca="1" si="52"/>
        <v>0</v>
      </c>
      <c r="X184" s="55">
        <f t="shared" ca="1" si="53"/>
        <v>31.648568430158576</v>
      </c>
      <c r="Y184" s="55">
        <f t="shared" ca="1" si="54"/>
        <v>-8.0713767221288606</v>
      </c>
      <c r="Z184">
        <f t="shared" ca="1" si="48"/>
        <v>9.2577354479691039</v>
      </c>
      <c r="AA184">
        <f t="shared" ca="1" si="55"/>
        <v>0</v>
      </c>
      <c r="AB184">
        <f t="shared" ca="1" si="49"/>
        <v>0</v>
      </c>
      <c r="AC184">
        <f t="shared" ca="1" si="50"/>
        <v>0.74999436022921839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45291</v>
      </c>
      <c r="S185" s="55">
        <f t="shared" ca="1" si="51"/>
        <v>45291</v>
      </c>
      <c r="T185" s="55">
        <f t="shared" ca="1" si="45"/>
        <v>28.416053257738323</v>
      </c>
      <c r="U185" s="55">
        <f t="shared" ca="1" si="46"/>
        <v>124.02499999999998</v>
      </c>
      <c r="V185" s="55">
        <f t="shared" ca="1" si="47"/>
        <v>0</v>
      </c>
      <c r="W185" s="55">
        <f t="shared" ca="1" si="52"/>
        <v>0</v>
      </c>
      <c r="X185" s="55">
        <f t="shared" ca="1" si="53"/>
        <v>31.863960179627071</v>
      </c>
      <c r="Y185" s="55">
        <f t="shared" ca="1" si="54"/>
        <v>-8.0708854365952014</v>
      </c>
      <c r="Z185">
        <f t="shared" ca="1" si="48"/>
        <v>8.7747049541808604</v>
      </c>
      <c r="AA185">
        <f t="shared" ca="1" si="55"/>
        <v>0</v>
      </c>
      <c r="AB185">
        <f t="shared" ca="1" si="49"/>
        <v>0</v>
      </c>
      <c r="AC185">
        <f t="shared" ca="1" si="50"/>
        <v>0.7499955614729874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D1000"/>
  <sheetViews>
    <sheetView zoomScale="105" workbookViewId="0">
      <selection activeCell="G1" sqref="G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22.33203125" bestFit="1" customWidth="1"/>
    <col min="9" max="9" width="13.6640625" customWidth="1"/>
    <col min="10" max="10" width="12.5546875" bestFit="1" customWidth="1"/>
    <col min="11" max="11" width="11.6640625" bestFit="1" customWidth="1"/>
    <col min="12" max="22" width="11.6640625" customWidth="1"/>
    <col min="23" max="23" width="10.6640625" bestFit="1" customWidth="1"/>
    <col min="24" max="24" width="10.6640625" customWidth="1"/>
    <col min="25" max="26" width="11.6640625" customWidth="1"/>
    <col min="27" max="27" width="10.6640625" bestFit="1" customWidth="1"/>
    <col min="30" max="30" width="6.109375" customWidth="1"/>
    <col min="37" max="37" width="3.6640625" customWidth="1"/>
    <col min="38" max="38" width="14.109375" customWidth="1"/>
    <col min="39" max="39" width="12.5546875" customWidth="1"/>
    <col min="40" max="40" width="6.33203125" customWidth="1"/>
    <col min="41" max="41" width="15.109375" bestFit="1" customWidth="1"/>
    <col min="42" max="42" width="17.44140625" bestFit="1" customWidth="1"/>
    <col min="43" max="43" width="12.44140625" bestFit="1" customWidth="1"/>
    <col min="44" max="44" width="6" bestFit="1" customWidth="1"/>
  </cols>
  <sheetData>
    <row r="1" spans="1:30" ht="26.4" thickBot="1">
      <c r="A1" s="138" t="s">
        <v>106</v>
      </c>
      <c r="B1" s="139"/>
      <c r="H1" s="30" t="s">
        <v>105</v>
      </c>
      <c r="I1" s="22"/>
      <c r="J1" s="21" t="s">
        <v>175</v>
      </c>
      <c r="K1" s="22"/>
      <c r="L1" s="21" t="s">
        <v>172</v>
      </c>
      <c r="M1" s="21" t="s">
        <v>173</v>
      </c>
      <c r="N1" s="21" t="s">
        <v>11</v>
      </c>
      <c r="O1" s="21" t="s">
        <v>172</v>
      </c>
      <c r="P1" s="21" t="s">
        <v>174</v>
      </c>
      <c r="Q1" s="23" t="s">
        <v>169</v>
      </c>
      <c r="R1" s="97"/>
      <c r="S1" s="97"/>
      <c r="T1" s="97"/>
      <c r="U1" s="97"/>
      <c r="V1" s="97" t="s">
        <v>171</v>
      </c>
      <c r="W1" s="97" t="s">
        <v>170</v>
      </c>
      <c r="Z1" s="97"/>
    </row>
    <row r="2" spans="1:30" ht="15" thickBot="1">
      <c r="A2" s="12" t="s">
        <v>241</v>
      </c>
      <c r="B2" s="13" t="str">
        <f>Location</f>
        <v>lincoln</v>
      </c>
      <c r="H2" s="117"/>
      <c r="J2" s="97"/>
      <c r="L2" s="97"/>
      <c r="M2" s="97"/>
      <c r="N2" s="97"/>
      <c r="O2" s="97"/>
      <c r="P2" s="97"/>
      <c r="Q2" s="118"/>
      <c r="R2" s="97"/>
      <c r="S2" s="97"/>
      <c r="T2" s="97"/>
      <c r="U2" s="97"/>
      <c r="V2" s="97"/>
      <c r="W2" s="97"/>
      <c r="Z2" s="97"/>
    </row>
    <row r="3" spans="1:30">
      <c r="A3" s="12" t="s">
        <v>221</v>
      </c>
      <c r="B3" s="13" t="str">
        <f>SoilOrder</f>
        <v>LoamySand</v>
      </c>
      <c r="D3" s="39" t="str">
        <f>ConceptDemo!C27</f>
        <v>Fertiliser already applied or planned</v>
      </c>
      <c r="E3" s="40"/>
      <c r="H3" s="12" t="s">
        <v>0</v>
      </c>
      <c r="I3" s="28">
        <f>B21+1</f>
        <v>45125</v>
      </c>
      <c r="J3" s="3">
        <v>50</v>
      </c>
      <c r="K3" s="3"/>
      <c r="L3" s="3">
        <f ca="1">SUMIF($H$8:$H$1001,TRUE,L8:L1001)</f>
        <v>-8.0708854365952014</v>
      </c>
      <c r="M3" s="3">
        <f ca="1">SUMIF($H$8:$H$1001,TRUE,M8:M1001)</f>
        <v>31.754676995145005</v>
      </c>
      <c r="N3" s="3">
        <f ca="1">SUMIF($H$8:$H$1001,TRUE,N8:N1001)</f>
        <v>77.792012236193841</v>
      </c>
      <c r="O3" s="3">
        <f ca="1">VLOOKUP(B32,ModelOutputs,O5,FALSE)-P3</f>
        <v>0</v>
      </c>
      <c r="P3">
        <f ca="1">VLOOKUP(B32,ModelOutputs,O5,FALSE)</f>
        <v>0.96524946299463588</v>
      </c>
      <c r="Q3" s="13"/>
      <c r="V3" s="3">
        <f ca="1">MAX(0,W4-W3)</f>
        <v>2.8421709430404007E-14</v>
      </c>
      <c r="W3" s="3">
        <f ca="1">SUM(J3:Q3)</f>
        <v>152.44105325773828</v>
      </c>
      <c r="Z3" s="3"/>
    </row>
    <row r="4" spans="1:30" ht="15" thickBot="1">
      <c r="A4" s="12" t="s">
        <v>203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H4" s="14" t="s">
        <v>10</v>
      </c>
      <c r="I4" s="29">
        <f ca="1">B34</f>
        <v>45291</v>
      </c>
      <c r="J4" s="24">
        <f ca="1">VLOOKUP(I4,ModelOutputs,2,FALSE)</f>
        <v>28.416053257738323</v>
      </c>
      <c r="K4" s="27"/>
      <c r="L4" s="25"/>
      <c r="M4" s="25"/>
      <c r="N4" s="25"/>
      <c r="O4" s="24">
        <f ca="1">(VLOOKUP($I$4,ModelOutputs,O5,FALSE)-VLOOKUP($I$3+1,ModelOutputs,O5,FALSE))-P4</f>
        <v>56.265000000000001</v>
      </c>
      <c r="P4" s="26">
        <f ca="1">VLOOKUP($I$4,ModelOutputs,P5,FALSE)-VLOOKUP($I$3+1,ModelOutputs,P5,FALSE)</f>
        <v>67.759999999999977</v>
      </c>
      <c r="Q4" s="27">
        <f ca="1">SUMIF($H$8:$H$1001,TRUE,Q8:Q1001)</f>
        <v>0</v>
      </c>
      <c r="R4" s="3"/>
      <c r="S4" s="3"/>
      <c r="T4" s="3"/>
      <c r="U4" s="3"/>
      <c r="V4" s="3">
        <f ca="1">MAX(0,W3-W4)</f>
        <v>0</v>
      </c>
      <c r="W4" s="3">
        <f ca="1">SUM(J4:Q4)</f>
        <v>152.4410532577383</v>
      </c>
    </row>
    <row r="5" spans="1:30">
      <c r="A5" s="12" t="s">
        <v>231</v>
      </c>
      <c r="B5" s="13" t="str">
        <f>SoilCategory</f>
        <v>Sedimentary</v>
      </c>
      <c r="D5" s="37" t="str">
        <f>IF(ConceptDemo!C29="","",ConceptDemo!C29)</f>
        <v/>
      </c>
      <c r="E5" s="38" t="str">
        <f>IF(ConceptDemo!D29="","",ConceptDemo!D29)</f>
        <v/>
      </c>
      <c r="K5">
        <f ca="1">SUMIF(G7:G1000,FALSE,K7:K1000)</f>
        <v>154.16166312799672</v>
      </c>
      <c r="L5">
        <f ca="1">SUMIF(G7:G1000,TRUE,L7:L1000)</f>
        <v>-8.0713767221288606</v>
      </c>
      <c r="O5">
        <v>7</v>
      </c>
      <c r="P5">
        <v>8</v>
      </c>
      <c r="V5" s="3"/>
      <c r="Z5" s="3"/>
    </row>
    <row r="6" spans="1:30">
      <c r="A6" s="12" t="s">
        <v>202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G6" t="s">
        <v>168</v>
      </c>
      <c r="H6" t="s">
        <v>104</v>
      </c>
      <c r="I6" t="str">
        <f t="array" aca="1" ref="I6:U1000" ca="1">_xll.GetDailyNBalance(A2:B50,D13:E19,D4:E10)</f>
        <v>Date</v>
      </c>
      <c r="J6" s="2" t="str">
        <f ca="1"/>
        <v>SoilMineralN</v>
      </c>
      <c r="K6" t="str">
        <f ca="1"/>
        <v>UptakeN</v>
      </c>
      <c r="L6" t="str">
        <f ca="1"/>
        <v>ResidueN</v>
      </c>
      <c r="M6" t="str">
        <f ca="1"/>
        <v>SoilOMN</v>
      </c>
      <c r="N6" t="str">
        <f ca="1"/>
        <v>FertiliserN</v>
      </c>
      <c r="O6" t="str">
        <f ca="1"/>
        <v>CropN</v>
      </c>
      <c r="P6" t="str">
        <f ca="1"/>
        <v>ProductN</v>
      </c>
      <c r="Q6" t="str">
        <f ca="1"/>
        <v>LostN</v>
      </c>
      <c r="R6" t="str">
        <f ca="1"/>
        <v>RSWC</v>
      </c>
      <c r="S6" t="str">
        <f ca="1"/>
        <v>Drainage</v>
      </c>
      <c r="T6" t="str">
        <f ca="1"/>
        <v>Irrigation</v>
      </c>
      <c r="U6" t="str">
        <f ca="1"/>
        <v>Green cover</v>
      </c>
      <c r="W6" t="s">
        <v>138</v>
      </c>
      <c r="X6" t="s">
        <v>139</v>
      </c>
    </row>
    <row r="7" spans="1:30">
      <c r="A7" s="12" t="s">
        <v>23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t="b">
        <f ca="1">IF(I7&lt;$I$4,TRUE,FALSE)</f>
        <v>1</v>
      </c>
      <c r="H7" t="b">
        <f t="shared" ref="H7:H70" ca="1" si="0">AND(IF(I7&gt;($I$3-1),TRUE,FALSE),IF(I7&lt;($I$4+1),TRUE,FALSE))</f>
        <v>0</v>
      </c>
      <c r="I7" s="2">
        <f ca="1"/>
        <v>45124</v>
      </c>
      <c r="J7">
        <f ca="1"/>
        <v>0</v>
      </c>
      <c r="K7">
        <f ca="1"/>
        <v>1.4252816586426036</v>
      </c>
      <c r="L7">
        <f ca="1"/>
        <v>0</v>
      </c>
      <c r="M7" s="4">
        <f ca="1"/>
        <v>0.10928318448206772</v>
      </c>
      <c r="N7">
        <f ca="1"/>
        <v>0</v>
      </c>
      <c r="O7">
        <f ca="1"/>
        <v>154</v>
      </c>
      <c r="P7">
        <f ca="1"/>
        <v>142.50000000000003</v>
      </c>
      <c r="Q7">
        <f ca="1"/>
        <v>0</v>
      </c>
      <c r="R7">
        <f ca="1"/>
        <v>0.3</v>
      </c>
      <c r="S7">
        <f ca="1"/>
        <v>0</v>
      </c>
      <c r="T7">
        <f ca="1"/>
        <v>0</v>
      </c>
      <c r="U7">
        <f ca="1"/>
        <v>0.99993345063478134</v>
      </c>
      <c r="W7" s="2">
        <f t="shared" ref="W7:W70" ca="1" si="1">IFERROR(I7,$W$5)</f>
        <v>45124</v>
      </c>
      <c r="X7">
        <f t="shared" ref="X7:X70" ca="1" si="2">IFERROR(N7,0)</f>
        <v>0</v>
      </c>
      <c r="Z7" s="3"/>
      <c r="AA7" s="3"/>
      <c r="AC7" s="3"/>
      <c r="AD7" s="3"/>
    </row>
    <row r="8" spans="1:30">
      <c r="A8" s="12" t="s">
        <v>222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t="b">
        <f t="shared" ref="G8:G71" ca="1" si="3">IF(I8&lt;$I$4,TRUE,FALSE)</f>
        <v>1</v>
      </c>
      <c r="H8" t="b">
        <f t="shared" ca="1" si="0"/>
        <v>1</v>
      </c>
      <c r="I8" s="2">
        <f ca="1"/>
        <v>45125</v>
      </c>
      <c r="J8">
        <f ca="1"/>
        <v>49.933876413527045</v>
      </c>
      <c r="K8">
        <f ca="1"/>
        <v>0</v>
      </c>
      <c r="L8">
        <f ca="1"/>
        <v>-0.18207788154540056</v>
      </c>
      <c r="M8" s="4">
        <f ca="1"/>
        <v>0.11595429507245054</v>
      </c>
      <c r="N8">
        <f ca="1"/>
        <v>0</v>
      </c>
      <c r="O8">
        <f ca="1"/>
        <v>0</v>
      </c>
      <c r="P8">
        <f ca="1"/>
        <v>0</v>
      </c>
      <c r="Q8">
        <f ca="1"/>
        <v>0</v>
      </c>
      <c r="R8">
        <f ca="1"/>
        <v>0.36105555555555557</v>
      </c>
      <c r="S8">
        <f ca="1"/>
        <v>0</v>
      </c>
      <c r="T8">
        <f ca="1"/>
        <v>0</v>
      </c>
      <c r="U8">
        <f ca="1"/>
        <v>0</v>
      </c>
      <c r="W8" s="2">
        <f t="shared" ca="1" si="1"/>
        <v>45125</v>
      </c>
      <c r="X8">
        <f t="shared" ca="1" si="2"/>
        <v>0</v>
      </c>
      <c r="Y8" s="3"/>
      <c r="Z8" s="63">
        <f ca="1">J7+L8+M8+N8</f>
        <v>-6.6123586472950011E-2</v>
      </c>
      <c r="AA8" s="63">
        <f ca="1">J8+K8+Q8</f>
        <v>49.933876413527045</v>
      </c>
      <c r="AB8" s="3">
        <f ca="1">AA8-Z8</f>
        <v>49.999999999999993</v>
      </c>
      <c r="AD8" s="3"/>
    </row>
    <row r="9" spans="1:30">
      <c r="A9" s="12" t="s">
        <v>195</v>
      </c>
      <c r="B9" s="13" t="str">
        <f>PrePlantRain</f>
        <v>Very Dry</v>
      </c>
      <c r="D9" s="18" t="str">
        <f>IF(ConceptDemo!C33="","",ConceptDemo!C33)</f>
        <v/>
      </c>
      <c r="E9" s="17" t="str">
        <f>IF(ConceptDemo!D33="","",ConceptDemo!D33)</f>
        <v/>
      </c>
      <c r="G9" t="b">
        <f t="shared" ca="1" si="3"/>
        <v>1</v>
      </c>
      <c r="H9" t="b">
        <f t="shared" ca="1" si="0"/>
        <v>1</v>
      </c>
      <c r="I9" s="2">
        <f ca="1"/>
        <v>45126</v>
      </c>
      <c r="J9">
        <f ca="1"/>
        <v>49.861360721325823</v>
      </c>
      <c r="K9">
        <f ca="1"/>
        <v>0</v>
      </c>
      <c r="L9">
        <f ca="1"/>
        <v>-0.19555553308443013</v>
      </c>
      <c r="M9" s="4">
        <f ca="1"/>
        <v>0.12303984088321142</v>
      </c>
      <c r="N9">
        <f ca="1"/>
        <v>0</v>
      </c>
      <c r="O9">
        <f ca="1"/>
        <v>0</v>
      </c>
      <c r="P9">
        <f ca="1"/>
        <v>0</v>
      </c>
      <c r="Q9">
        <f ca="1"/>
        <v>0</v>
      </c>
      <c r="R9">
        <f ca="1"/>
        <v>0.38992489711934158</v>
      </c>
      <c r="S9">
        <f ca="1"/>
        <v>0</v>
      </c>
      <c r="T9">
        <f ca="1"/>
        <v>0</v>
      </c>
      <c r="U9">
        <f ca="1"/>
        <v>0</v>
      </c>
      <c r="W9" s="2">
        <f t="shared" ca="1" si="1"/>
        <v>45126</v>
      </c>
      <c r="X9">
        <f t="shared" ca="1" si="2"/>
        <v>0</v>
      </c>
      <c r="Z9" s="63">
        <f t="shared" ref="Z9:Z72" ca="1" si="4">J8+L9+M9+N9</f>
        <v>49.861360721325823</v>
      </c>
      <c r="AA9" s="63">
        <f t="shared" ref="AA9:AA72" ca="1" si="5">J9+K9+Q9</f>
        <v>49.861360721325823</v>
      </c>
      <c r="AB9" s="3">
        <f t="shared" ref="AB9:AB72" ca="1" si="6">AA9-Z9</f>
        <v>0</v>
      </c>
    </row>
    <row r="10" spans="1:30" ht="15" thickBot="1">
      <c r="A10" s="12" t="s">
        <v>196</v>
      </c>
      <c r="B10" s="13" t="str">
        <f>InCropRain</f>
        <v>Very Dry</v>
      </c>
      <c r="D10" s="35" t="str">
        <f>IF(ConceptDemo!C34="","",ConceptDemo!C34)</f>
        <v/>
      </c>
      <c r="E10" s="20" t="str">
        <f>IF(ConceptDemo!D34="","",ConceptDemo!D34)</f>
        <v/>
      </c>
      <c r="G10" t="b">
        <f t="shared" ca="1" si="3"/>
        <v>1</v>
      </c>
      <c r="H10" t="b">
        <f t="shared" ca="1" si="0"/>
        <v>1</v>
      </c>
      <c r="I10" s="2">
        <f ca="1"/>
        <v>45127</v>
      </c>
      <c r="J10">
        <f ca="1"/>
        <v>49.785002958760593</v>
      </c>
      <c r="K10">
        <f ca="1"/>
        <v>0</v>
      </c>
      <c r="L10">
        <f ca="1"/>
        <v>-0.20578725196224734</v>
      </c>
      <c r="M10" s="4">
        <f ca="1"/>
        <v>0.12942948939701737</v>
      </c>
      <c r="N10">
        <f ca="1"/>
        <v>0</v>
      </c>
      <c r="O10">
        <f ca="1"/>
        <v>0</v>
      </c>
      <c r="P10">
        <f ca="1"/>
        <v>0</v>
      </c>
      <c r="Q10">
        <f ca="1"/>
        <v>0</v>
      </c>
      <c r="R10">
        <f ca="1"/>
        <v>0.41418209381191895</v>
      </c>
      <c r="S10">
        <f ca="1"/>
        <v>0</v>
      </c>
      <c r="T10">
        <f ca="1"/>
        <v>0</v>
      </c>
      <c r="U10">
        <f ca="1"/>
        <v>0</v>
      </c>
      <c r="W10" s="2">
        <f t="shared" ca="1" si="1"/>
        <v>45127</v>
      </c>
      <c r="X10">
        <f t="shared" ca="1" si="2"/>
        <v>0</v>
      </c>
      <c r="Z10" s="63">
        <f t="shared" ca="1" si="4"/>
        <v>49.785002958760593</v>
      </c>
      <c r="AA10" s="63">
        <f t="shared" ca="1" si="5"/>
        <v>49.785002958760593</v>
      </c>
      <c r="AB10" s="3">
        <f t="shared" ca="1" si="6"/>
        <v>0</v>
      </c>
    </row>
    <row r="11" spans="1:30" ht="15" thickBot="1">
      <c r="A11" s="12" t="s">
        <v>183</v>
      </c>
      <c r="B11" s="13" t="str">
        <f>Irrigation</f>
        <v>None</v>
      </c>
      <c r="G11" t="b">
        <f t="shared" ca="1" si="3"/>
        <v>1</v>
      </c>
      <c r="H11" t="b">
        <f t="shared" ca="1" si="0"/>
        <v>1</v>
      </c>
      <c r="I11" s="2">
        <f ca="1"/>
        <v>45128</v>
      </c>
      <c r="J11">
        <f ca="1"/>
        <v>49.703713318151884</v>
      </c>
      <c r="K11">
        <f ca="1"/>
        <v>0</v>
      </c>
      <c r="L11">
        <f ca="1"/>
        <v>-0.20970031128275579</v>
      </c>
      <c r="M11" s="4">
        <f ca="1"/>
        <v>0.12841067067404882</v>
      </c>
      <c r="N11">
        <f ca="1"/>
        <v>0</v>
      </c>
      <c r="O11">
        <f ca="1"/>
        <v>0</v>
      </c>
      <c r="P11">
        <f ca="1"/>
        <v>0</v>
      </c>
      <c r="Q11">
        <f ca="1"/>
        <v>0</v>
      </c>
      <c r="R11">
        <f ca="1"/>
        <v>0.44471064043682657</v>
      </c>
      <c r="S11">
        <f ca="1"/>
        <v>0</v>
      </c>
      <c r="T11">
        <f ca="1"/>
        <v>0</v>
      </c>
      <c r="U11">
        <f ca="1"/>
        <v>0</v>
      </c>
      <c r="W11" s="2">
        <f t="shared" ca="1" si="1"/>
        <v>45128</v>
      </c>
      <c r="X11">
        <f t="shared" ca="1" si="2"/>
        <v>0</v>
      </c>
      <c r="Z11" s="63">
        <f t="shared" ca="1" si="4"/>
        <v>49.703713318151891</v>
      </c>
      <c r="AA11" s="63">
        <f t="shared" ca="1" si="5"/>
        <v>49.703713318151884</v>
      </c>
      <c r="AB11" s="3">
        <f t="shared" ca="1" si="6"/>
        <v>0</v>
      </c>
    </row>
    <row r="12" spans="1:30">
      <c r="A12" s="5" t="s">
        <v>135</v>
      </c>
      <c r="B12" s="31" t="str">
        <f>PriorCropNameFull</f>
        <v>Oat Fodder General</v>
      </c>
      <c r="D12" s="136" t="str">
        <f>ConceptDemo!C36</f>
        <v>Soil Mineral N Test Results</v>
      </c>
      <c r="E12" s="137"/>
      <c r="G12" t="b">
        <f t="shared" ca="1" si="3"/>
        <v>1</v>
      </c>
      <c r="H12" t="b">
        <f t="shared" ca="1" si="0"/>
        <v>1</v>
      </c>
      <c r="I12" s="2">
        <f ca="1"/>
        <v>45129</v>
      </c>
      <c r="J12">
        <f ca="1"/>
        <v>49.61683049560596</v>
      </c>
      <c r="K12">
        <f ca="1"/>
        <v>0</v>
      </c>
      <c r="L12">
        <f ca="1"/>
        <v>-0.22608800646623317</v>
      </c>
      <c r="M12" s="4">
        <f ca="1"/>
        <v>0.13920518392030867</v>
      </c>
      <c r="N12">
        <f ca="1"/>
        <v>0</v>
      </c>
      <c r="O12">
        <f ca="1"/>
        <v>0</v>
      </c>
      <c r="P12">
        <f ca="1"/>
        <v>0</v>
      </c>
      <c r="Q12">
        <f ca="1"/>
        <v>0</v>
      </c>
      <c r="R12">
        <f ca="1"/>
        <v>0.48180334251576551</v>
      </c>
      <c r="S12">
        <f ca="1"/>
        <v>0</v>
      </c>
      <c r="T12">
        <f ca="1"/>
        <v>0</v>
      </c>
      <c r="U12">
        <f ca="1"/>
        <v>0</v>
      </c>
      <c r="W12" s="2">
        <f t="shared" ca="1" si="1"/>
        <v>45129</v>
      </c>
      <c r="X12">
        <f t="shared" ca="1" si="2"/>
        <v>0</v>
      </c>
      <c r="Z12" s="63">
        <f t="shared" ca="1" si="4"/>
        <v>49.61683049560596</v>
      </c>
      <c r="AA12" s="63">
        <f t="shared" ca="1" si="5"/>
        <v>49.61683049560596</v>
      </c>
      <c r="AB12" s="3">
        <f t="shared" ca="1" si="6"/>
        <v>0</v>
      </c>
    </row>
    <row r="13" spans="1:30" ht="15" thickBot="1">
      <c r="A13" s="6" t="s">
        <v>232</v>
      </c>
      <c r="B13" s="32">
        <f>PriorYield</f>
        <v>10</v>
      </c>
      <c r="D13" s="19" t="str">
        <f>ConceptDemo!C37</f>
        <v>Date</v>
      </c>
      <c r="E13" s="20" t="str">
        <f>ConceptDemo!D37</f>
        <v>Value</v>
      </c>
      <c r="G13" t="b">
        <f t="shared" ca="1" si="3"/>
        <v>1</v>
      </c>
      <c r="H13" t="b">
        <f t="shared" ca="1" si="0"/>
        <v>1</v>
      </c>
      <c r="I13" s="2">
        <f ca="1"/>
        <v>45130</v>
      </c>
      <c r="J13">
        <f ca="1"/>
        <v>49.535011243819056</v>
      </c>
      <c r="K13">
        <f ca="1"/>
        <v>0</v>
      </c>
      <c r="L13">
        <f ca="1"/>
        <v>-0.22574376576774746</v>
      </c>
      <c r="M13" s="4">
        <f ca="1"/>
        <v>0.14392451398084041</v>
      </c>
      <c r="N13">
        <f ca="1"/>
        <v>0</v>
      </c>
      <c r="O13">
        <f ca="1"/>
        <v>0</v>
      </c>
      <c r="P13">
        <f ca="1"/>
        <v>0</v>
      </c>
      <c r="Q13">
        <f ca="1"/>
        <v>0</v>
      </c>
      <c r="R13">
        <f ca="1"/>
        <v>0.48523133116999229</v>
      </c>
      <c r="S13">
        <f ca="1"/>
        <v>0</v>
      </c>
      <c r="T13">
        <f ca="1"/>
        <v>0</v>
      </c>
      <c r="U13">
        <f ca="1"/>
        <v>0</v>
      </c>
      <c r="W13" s="2">
        <f t="shared" ca="1" si="1"/>
        <v>45130</v>
      </c>
      <c r="X13">
        <f t="shared" ca="1" si="2"/>
        <v>0</v>
      </c>
      <c r="Z13" s="63">
        <f t="shared" ca="1" si="4"/>
        <v>49.535011243819056</v>
      </c>
      <c r="AA13" s="63">
        <f t="shared" ca="1" si="5"/>
        <v>49.535011243819056</v>
      </c>
      <c r="AB13" s="3">
        <f t="shared" ca="1" si="6"/>
        <v>0</v>
      </c>
    </row>
    <row r="14" spans="1:30">
      <c r="A14" s="6" t="s">
        <v>225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t="b">
        <f t="shared" ca="1" si="3"/>
        <v>1</v>
      </c>
      <c r="H14" t="b">
        <f t="shared" ca="1" si="0"/>
        <v>1</v>
      </c>
      <c r="I14" s="2">
        <f ca="1"/>
        <v>45131</v>
      </c>
      <c r="J14">
        <f ca="1"/>
        <v>49.459164706687687</v>
      </c>
      <c r="K14">
        <f ca="1"/>
        <v>0</v>
      </c>
      <c r="L14">
        <f ca="1"/>
        <v>-0.21783595293874902</v>
      </c>
      <c r="M14" s="4">
        <f ca="1"/>
        <v>0.1419894158073815</v>
      </c>
      <c r="N14">
        <f ca="1"/>
        <v>0</v>
      </c>
      <c r="O14">
        <f ca="1"/>
        <v>0</v>
      </c>
      <c r="P14">
        <f ca="1"/>
        <v>0</v>
      </c>
      <c r="Q14">
        <f ca="1"/>
        <v>0</v>
      </c>
      <c r="R14">
        <f ca="1"/>
        <v>0.48503678751917018</v>
      </c>
      <c r="S14">
        <f ca="1"/>
        <v>0</v>
      </c>
      <c r="T14">
        <f ca="1"/>
        <v>0</v>
      </c>
      <c r="U14">
        <f ca="1"/>
        <v>0</v>
      </c>
      <c r="W14" s="2">
        <f t="shared" ca="1" si="1"/>
        <v>45131</v>
      </c>
      <c r="X14">
        <f t="shared" ca="1" si="2"/>
        <v>0</v>
      </c>
      <c r="Z14" s="63">
        <f t="shared" ca="1" si="4"/>
        <v>49.459164706687687</v>
      </c>
      <c r="AA14" s="63">
        <f t="shared" ca="1" si="5"/>
        <v>49.459164706687687</v>
      </c>
      <c r="AB14" s="3">
        <f t="shared" ca="1" si="6"/>
        <v>0</v>
      </c>
    </row>
    <row r="15" spans="1:30">
      <c r="A15" s="6" t="s">
        <v>226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t="b">
        <f t="shared" ca="1" si="3"/>
        <v>1</v>
      </c>
      <c r="H15" t="b">
        <f t="shared" ca="1" si="0"/>
        <v>1</v>
      </c>
      <c r="I15" s="2">
        <f ca="1"/>
        <v>45132</v>
      </c>
      <c r="J15">
        <f ca="1"/>
        <v>49.389654864304042</v>
      </c>
      <c r="K15">
        <f ca="1"/>
        <v>0</v>
      </c>
      <c r="L15">
        <f ca="1"/>
        <v>-0.21985204807295244</v>
      </c>
      <c r="M15" s="4">
        <f ca="1"/>
        <v>0.15034220568930295</v>
      </c>
      <c r="N15">
        <f ca="1"/>
        <v>0</v>
      </c>
      <c r="O15">
        <f ca="1"/>
        <v>0</v>
      </c>
      <c r="P15">
        <f ca="1"/>
        <v>0</v>
      </c>
      <c r="Q15">
        <f ca="1"/>
        <v>0</v>
      </c>
      <c r="R15">
        <f ca="1"/>
        <v>0.52090154044689618</v>
      </c>
      <c r="S15">
        <f ca="1"/>
        <v>0</v>
      </c>
      <c r="T15">
        <f ca="1"/>
        <v>0</v>
      </c>
      <c r="U15">
        <f ca="1"/>
        <v>0</v>
      </c>
      <c r="W15" s="2">
        <f t="shared" ca="1" si="1"/>
        <v>45132</v>
      </c>
      <c r="X15">
        <f t="shared" ca="1" si="2"/>
        <v>0</v>
      </c>
      <c r="Z15" s="63">
        <f t="shared" ca="1" si="4"/>
        <v>49.389654864304042</v>
      </c>
      <c r="AA15" s="63">
        <f t="shared" ca="1" si="5"/>
        <v>49.389654864304042</v>
      </c>
      <c r="AB15" s="3">
        <f t="shared" ca="1" si="6"/>
        <v>0</v>
      </c>
    </row>
    <row r="16" spans="1:30">
      <c r="A16" s="6" t="s">
        <v>108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t="b">
        <f t="shared" ca="1" si="3"/>
        <v>1</v>
      </c>
      <c r="H16" t="b">
        <f t="shared" ca="1" si="0"/>
        <v>1</v>
      </c>
      <c r="I16" s="2">
        <f ca="1"/>
        <v>45133</v>
      </c>
      <c r="J16">
        <f ca="1"/>
        <v>49.328559728050806</v>
      </c>
      <c r="K16">
        <f ca="1"/>
        <v>0</v>
      </c>
      <c r="L16">
        <f ca="1"/>
        <v>-0.21305061619227783</v>
      </c>
      <c r="M16" s="4">
        <f ca="1"/>
        <v>0.15195547993903877</v>
      </c>
      <c r="N16">
        <f ca="1"/>
        <v>0</v>
      </c>
      <c r="O16">
        <f ca="1"/>
        <v>0</v>
      </c>
      <c r="P16">
        <f ca="1"/>
        <v>0</v>
      </c>
      <c r="Q16">
        <f ca="1"/>
        <v>0</v>
      </c>
      <c r="R16">
        <f ca="1"/>
        <v>0.53314873525949802</v>
      </c>
      <c r="S16">
        <f ca="1"/>
        <v>0</v>
      </c>
      <c r="T16">
        <f ca="1"/>
        <v>0</v>
      </c>
      <c r="U16">
        <f ca="1"/>
        <v>0</v>
      </c>
      <c r="W16" s="2">
        <f t="shared" ca="1" si="1"/>
        <v>45133</v>
      </c>
      <c r="X16">
        <f t="shared" ca="1" si="2"/>
        <v>0</v>
      </c>
      <c r="Z16" s="63">
        <f t="shared" ca="1" si="4"/>
        <v>49.328559728050806</v>
      </c>
      <c r="AA16" s="63">
        <f t="shared" ca="1" si="5"/>
        <v>49.328559728050806</v>
      </c>
      <c r="AB16" s="3">
        <f t="shared" ca="1" si="6"/>
        <v>0</v>
      </c>
    </row>
    <row r="17" spans="1:28">
      <c r="A17" s="6" t="s">
        <v>109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t="b">
        <f t="shared" ca="1" si="3"/>
        <v>1</v>
      </c>
      <c r="H17" t="b">
        <f t="shared" ca="1" si="0"/>
        <v>1</v>
      </c>
      <c r="I17" s="2">
        <f ca="1"/>
        <v>45134</v>
      </c>
      <c r="J17">
        <f ca="1"/>
        <v>49.280596376067969</v>
      </c>
      <c r="K17">
        <f ca="1"/>
        <v>0</v>
      </c>
      <c r="L17">
        <f ca="1"/>
        <v>-0.21203593381010766</v>
      </c>
      <c r="M17" s="4">
        <f ca="1"/>
        <v>0.1640725818272678</v>
      </c>
      <c r="N17">
        <f ca="1"/>
        <v>0</v>
      </c>
      <c r="O17">
        <f ca="1"/>
        <v>0</v>
      </c>
      <c r="P17">
        <f ca="1"/>
        <v>0</v>
      </c>
      <c r="Q17">
        <f ca="1"/>
        <v>0</v>
      </c>
      <c r="R17">
        <f ca="1"/>
        <v>0.56274666068533474</v>
      </c>
      <c r="S17">
        <f ca="1"/>
        <v>0</v>
      </c>
      <c r="T17">
        <f ca="1"/>
        <v>0</v>
      </c>
      <c r="U17">
        <f ca="1"/>
        <v>0</v>
      </c>
      <c r="W17" s="2">
        <f t="shared" ca="1" si="1"/>
        <v>45134</v>
      </c>
      <c r="X17">
        <f t="shared" ca="1" si="2"/>
        <v>0</v>
      </c>
      <c r="Z17" s="63">
        <f t="shared" ca="1" si="4"/>
        <v>49.280596376067969</v>
      </c>
      <c r="AA17" s="63">
        <f t="shared" ca="1" si="5"/>
        <v>49.280596376067969</v>
      </c>
      <c r="AB17" s="3">
        <f t="shared" ca="1" si="6"/>
        <v>0</v>
      </c>
    </row>
    <row r="18" spans="1:28">
      <c r="A18" s="6" t="s">
        <v>110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t="b">
        <f t="shared" ca="1" si="3"/>
        <v>1</v>
      </c>
      <c r="H18" t="b">
        <f t="shared" ca="1" si="0"/>
        <v>1</v>
      </c>
      <c r="I18" s="2">
        <f ca="1"/>
        <v>45135</v>
      </c>
      <c r="J18">
        <f ca="1"/>
        <v>49.238206789527105</v>
      </c>
      <c r="K18">
        <f ca="1"/>
        <v>0</v>
      </c>
      <c r="L18">
        <f ca="1"/>
        <v>-0.20503755034495041</v>
      </c>
      <c r="M18" s="4">
        <f ca="1"/>
        <v>0.16264796380408475</v>
      </c>
      <c r="N18">
        <f ca="1"/>
        <v>0</v>
      </c>
      <c r="O18">
        <f ca="1"/>
        <v>0</v>
      </c>
      <c r="P18">
        <f ca="1"/>
        <v>0</v>
      </c>
      <c r="Q18">
        <f ca="1"/>
        <v>0</v>
      </c>
      <c r="R18">
        <f ca="1"/>
        <v>0.56195286331840333</v>
      </c>
      <c r="S18">
        <f ca="1"/>
        <v>0</v>
      </c>
      <c r="T18">
        <f ca="1"/>
        <v>0</v>
      </c>
      <c r="U18">
        <f ca="1"/>
        <v>0</v>
      </c>
      <c r="W18" s="2">
        <f t="shared" ca="1" si="1"/>
        <v>45135</v>
      </c>
      <c r="X18">
        <f t="shared" ca="1" si="2"/>
        <v>0</v>
      </c>
      <c r="Z18" s="63">
        <f t="shared" ca="1" si="4"/>
        <v>49.238206789527105</v>
      </c>
      <c r="AA18" s="63">
        <f t="shared" ca="1" si="5"/>
        <v>49.238206789527105</v>
      </c>
      <c r="AB18" s="3">
        <f t="shared" ca="1" si="6"/>
        <v>0</v>
      </c>
    </row>
    <row r="19" spans="1:28" ht="15" thickBot="1">
      <c r="A19" s="6" t="s">
        <v>111</v>
      </c>
      <c r="B19" s="34">
        <f>PriorEstablishDate</f>
        <v>44999</v>
      </c>
      <c r="D19" s="35" t="str">
        <f>IF(ConceptDemo!C43="","",ConceptDemo!C43)</f>
        <v/>
      </c>
      <c r="E19" s="20" t="str">
        <f>IF(ConceptDemo!D43="","",ConceptDemo!D43)</f>
        <v/>
      </c>
      <c r="G19" t="b">
        <f t="shared" ca="1" si="3"/>
        <v>1</v>
      </c>
      <c r="H19" t="b">
        <f t="shared" ca="1" si="0"/>
        <v>1</v>
      </c>
      <c r="I19" s="2">
        <f ca="1"/>
        <v>45136</v>
      </c>
      <c r="J19">
        <f ca="1"/>
        <v>49.203158290531526</v>
      </c>
      <c r="K19">
        <f ca="1"/>
        <v>0</v>
      </c>
      <c r="L19">
        <f ca="1"/>
        <v>-0.20502563231281767</v>
      </c>
      <c r="M19" s="4">
        <f ca="1"/>
        <v>0.16997713331724273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  <c r="R19">
        <f ca="1"/>
        <v>0.56074161499413777</v>
      </c>
      <c r="S19">
        <f ca="1"/>
        <v>0</v>
      </c>
      <c r="T19">
        <f ca="1"/>
        <v>0</v>
      </c>
      <c r="U19">
        <f ca="1"/>
        <v>0</v>
      </c>
      <c r="W19" s="2">
        <f t="shared" ca="1" si="1"/>
        <v>45136</v>
      </c>
      <c r="X19">
        <f t="shared" ca="1" si="2"/>
        <v>0</v>
      </c>
      <c r="Z19" s="63">
        <f t="shared" ca="1" si="4"/>
        <v>49.203158290531526</v>
      </c>
      <c r="AA19" s="63">
        <f t="shared" ca="1" si="5"/>
        <v>49.203158290531526</v>
      </c>
      <c r="AB19" s="3">
        <f t="shared" ca="1" si="6"/>
        <v>0</v>
      </c>
    </row>
    <row r="20" spans="1:28">
      <c r="A20" s="6" t="s">
        <v>112</v>
      </c>
      <c r="B20" s="32" t="str">
        <f>PriorEstablishStage</f>
        <v>Seed</v>
      </c>
      <c r="G20" t="b">
        <f t="shared" ca="1" si="3"/>
        <v>1</v>
      </c>
      <c r="H20" t="b">
        <f t="shared" ca="1" si="0"/>
        <v>1</v>
      </c>
      <c r="I20" s="2">
        <f ca="1"/>
        <v>45137</v>
      </c>
      <c r="J20">
        <f ca="1"/>
        <v>49.174000328139101</v>
      </c>
      <c r="K20">
        <f ca="1"/>
        <v>0</v>
      </c>
      <c r="L20">
        <f ca="1"/>
        <v>-0.19090111586064662</v>
      </c>
      <c r="M20" s="4">
        <f ca="1"/>
        <v>0.16174315346822576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  <c r="R20">
        <f ca="1"/>
        <v>0.57346765202857186</v>
      </c>
      <c r="S20">
        <f ca="1"/>
        <v>0</v>
      </c>
      <c r="T20">
        <f ca="1"/>
        <v>0</v>
      </c>
      <c r="U20">
        <f ca="1"/>
        <v>0</v>
      </c>
      <c r="W20" s="2">
        <f t="shared" ca="1" si="1"/>
        <v>45137</v>
      </c>
      <c r="X20">
        <f t="shared" ca="1" si="2"/>
        <v>0</v>
      </c>
      <c r="Z20" s="63">
        <f t="shared" ca="1" si="4"/>
        <v>49.174000328139101</v>
      </c>
      <c r="AA20" s="63">
        <f t="shared" ca="1" si="5"/>
        <v>49.174000328139101</v>
      </c>
      <c r="AB20" s="3">
        <f t="shared" ca="1" si="6"/>
        <v>0</v>
      </c>
    </row>
    <row r="21" spans="1:28">
      <c r="A21" s="6" t="s">
        <v>113</v>
      </c>
      <c r="B21" s="34">
        <f>PriorHarvestDate</f>
        <v>45124</v>
      </c>
      <c r="G21" t="b">
        <f t="shared" ca="1" si="3"/>
        <v>1</v>
      </c>
      <c r="H21" t="b">
        <f t="shared" ca="1" si="0"/>
        <v>1</v>
      </c>
      <c r="I21" s="2">
        <f ca="1"/>
        <v>45138</v>
      </c>
      <c r="J21">
        <f ca="1"/>
        <v>49.151589140748321</v>
      </c>
      <c r="K21">
        <f ca="1"/>
        <v>0</v>
      </c>
      <c r="L21">
        <f ca="1"/>
        <v>-0.19000984249795971</v>
      </c>
      <c r="M21" s="4">
        <f ca="1"/>
        <v>0.16759865510717889</v>
      </c>
      <c r="N21">
        <f ca="1"/>
        <v>0</v>
      </c>
      <c r="O21">
        <f ca="1"/>
        <v>0</v>
      </c>
      <c r="P21">
        <f ca="1"/>
        <v>0</v>
      </c>
      <c r="Q21">
        <f ca="1"/>
        <v>0</v>
      </c>
      <c r="R21">
        <f ca="1"/>
        <v>0.57133996668693154</v>
      </c>
      <c r="S21">
        <f ca="1"/>
        <v>0</v>
      </c>
      <c r="T21">
        <f ca="1"/>
        <v>0</v>
      </c>
      <c r="U21">
        <f ca="1"/>
        <v>0</v>
      </c>
      <c r="W21" s="2">
        <f t="shared" ca="1" si="1"/>
        <v>45138</v>
      </c>
      <c r="X21">
        <f t="shared" ca="1" si="2"/>
        <v>0</v>
      </c>
      <c r="Z21" s="63">
        <f t="shared" ca="1" si="4"/>
        <v>49.151589140748321</v>
      </c>
      <c r="AA21" s="63">
        <f t="shared" ca="1" si="5"/>
        <v>49.151589140748321</v>
      </c>
      <c r="AB21" s="3">
        <f t="shared" ca="1" si="6"/>
        <v>0</v>
      </c>
    </row>
    <row r="22" spans="1:28">
      <c r="A22" s="6" t="s">
        <v>114</v>
      </c>
      <c r="B22" s="32" t="str">
        <f>PriorHarvestStage</f>
        <v>EarlyReproductive</v>
      </c>
      <c r="G22" t="b">
        <f t="shared" ca="1" si="3"/>
        <v>1</v>
      </c>
      <c r="H22" t="b">
        <f t="shared" ca="1" si="0"/>
        <v>1</v>
      </c>
      <c r="I22" s="2">
        <f ca="1"/>
        <v>45139</v>
      </c>
      <c r="J22">
        <f ca="1"/>
        <v>49.139697878701917</v>
      </c>
      <c r="K22">
        <f ca="1"/>
        <v>0</v>
      </c>
      <c r="L22">
        <f ca="1"/>
        <v>-0.18729615340390016</v>
      </c>
      <c r="M22" s="4">
        <f ca="1"/>
        <v>0.17540489135749748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  <c r="R22">
        <f ca="1"/>
        <v>0.58758594543942511</v>
      </c>
      <c r="S22">
        <f ca="1"/>
        <v>0</v>
      </c>
      <c r="T22">
        <f ca="1"/>
        <v>0</v>
      </c>
      <c r="U22">
        <f ca="1"/>
        <v>0</v>
      </c>
      <c r="W22" s="2">
        <f t="shared" ca="1" si="1"/>
        <v>45139</v>
      </c>
      <c r="X22">
        <f t="shared" ca="1" si="2"/>
        <v>0</v>
      </c>
      <c r="Z22" s="63">
        <f t="shared" ca="1" si="4"/>
        <v>49.139697878701917</v>
      </c>
      <c r="AA22" s="63">
        <f t="shared" ca="1" si="5"/>
        <v>49.139697878701917</v>
      </c>
      <c r="AB22" s="3">
        <f t="shared" ca="1" si="6"/>
        <v>0</v>
      </c>
    </row>
    <row r="23" spans="1:28">
      <c r="A23" s="6" t="s">
        <v>158</v>
      </c>
      <c r="B23" s="32" t="str">
        <f>PriorResidueRemoval</f>
        <v>None removed</v>
      </c>
      <c r="G23" t="b">
        <f t="shared" ca="1" si="3"/>
        <v>1</v>
      </c>
      <c r="H23" t="b">
        <f t="shared" ca="1" si="0"/>
        <v>1</v>
      </c>
      <c r="I23" s="2">
        <f ca="1"/>
        <v>45140</v>
      </c>
      <c r="J23">
        <f ca="1"/>
        <v>49.134058718394925</v>
      </c>
      <c r="K23">
        <f ca="1"/>
        <v>0</v>
      </c>
      <c r="L23">
        <f ca="1"/>
        <v>-0.17844299763655913</v>
      </c>
      <c r="M23" s="4">
        <f ca="1"/>
        <v>0.17280383732956844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  <c r="R23">
        <f ca="1"/>
        <v>0.59837752363176699</v>
      </c>
      <c r="S23">
        <f ca="1"/>
        <v>0</v>
      </c>
      <c r="T23">
        <f ca="1"/>
        <v>0</v>
      </c>
      <c r="U23">
        <f ca="1"/>
        <v>0</v>
      </c>
      <c r="W23" s="2">
        <f t="shared" ca="1" si="1"/>
        <v>45140</v>
      </c>
      <c r="X23">
        <f t="shared" ca="1" si="2"/>
        <v>0</v>
      </c>
      <c r="Z23" s="63">
        <f t="shared" ca="1" si="4"/>
        <v>49.134058718394925</v>
      </c>
      <c r="AA23" s="63">
        <f t="shared" ca="1" si="5"/>
        <v>49.134058718394925</v>
      </c>
      <c r="AB23" s="3">
        <f t="shared" ca="1" si="6"/>
        <v>0</v>
      </c>
    </row>
    <row r="24" spans="1:28" ht="15" thickBot="1">
      <c r="A24" s="6" t="s">
        <v>161</v>
      </c>
      <c r="B24" s="95" t="str">
        <f>PriorResidueIncorporation</f>
        <v>Full (Plough)</v>
      </c>
      <c r="G24" t="b">
        <f t="shared" ca="1" si="3"/>
        <v>1</v>
      </c>
      <c r="H24" t="b">
        <f t="shared" ca="1" si="0"/>
        <v>1</v>
      </c>
      <c r="I24" s="2">
        <f ca="1"/>
        <v>45141</v>
      </c>
      <c r="J24">
        <f ca="1"/>
        <v>49.131066896648093</v>
      </c>
      <c r="K24">
        <f ca="1"/>
        <v>0</v>
      </c>
      <c r="L24">
        <f ca="1"/>
        <v>-0.16892340261822136</v>
      </c>
      <c r="M24" s="4">
        <f ca="1"/>
        <v>0.16593158087138449</v>
      </c>
      <c r="N24">
        <f ca="1"/>
        <v>0</v>
      </c>
      <c r="O24">
        <f ca="1"/>
        <v>0</v>
      </c>
      <c r="P24">
        <f ca="1"/>
        <v>0</v>
      </c>
      <c r="Q24">
        <f ca="1"/>
        <v>0</v>
      </c>
      <c r="R24">
        <f ca="1"/>
        <v>0.59845301936790296</v>
      </c>
      <c r="S24">
        <f ca="1"/>
        <v>0</v>
      </c>
      <c r="T24">
        <f ca="1"/>
        <v>0</v>
      </c>
      <c r="U24">
        <f ca="1"/>
        <v>0</v>
      </c>
      <c r="W24" s="2">
        <f t="shared" ca="1" si="1"/>
        <v>45141</v>
      </c>
      <c r="X24">
        <f t="shared" ca="1" si="2"/>
        <v>0</v>
      </c>
      <c r="Z24" s="63">
        <f t="shared" ca="1" si="4"/>
        <v>49.131066896648093</v>
      </c>
      <c r="AA24" s="63">
        <f t="shared" ca="1" si="5"/>
        <v>49.131066896648093</v>
      </c>
      <c r="AB24" s="3">
        <f t="shared" ca="1" si="6"/>
        <v>0</v>
      </c>
    </row>
    <row r="25" spans="1:28" ht="15" thickBot="1">
      <c r="A25" s="8" t="s">
        <v>136</v>
      </c>
      <c r="B25" s="11" t="str">
        <f>CurrentCropNameFull</f>
        <v>Sweetcorn Vegetable General</v>
      </c>
      <c r="G25" t="b">
        <f t="shared" ca="1" si="3"/>
        <v>1</v>
      </c>
      <c r="H25" t="b">
        <f t="shared" ca="1" si="0"/>
        <v>1</v>
      </c>
      <c r="I25" s="2">
        <f ca="1"/>
        <v>45142</v>
      </c>
      <c r="J25">
        <f ca="1"/>
        <v>49.138918908062649</v>
      </c>
      <c r="K25">
        <f ca="1"/>
        <v>0</v>
      </c>
      <c r="L25">
        <f ca="1"/>
        <v>-0.16899890761104208</v>
      </c>
      <c r="M25" s="4">
        <f ca="1"/>
        <v>0.17685091902559386</v>
      </c>
      <c r="N25">
        <f ca="1"/>
        <v>0</v>
      </c>
      <c r="O25">
        <f ca="1"/>
        <v>0</v>
      </c>
      <c r="P25">
        <f ca="1"/>
        <v>0</v>
      </c>
      <c r="Q25">
        <f ca="1"/>
        <v>0</v>
      </c>
      <c r="R25">
        <f ca="1"/>
        <v>0.61082474073914383</v>
      </c>
      <c r="S25">
        <f ca="1"/>
        <v>0</v>
      </c>
      <c r="T25">
        <f ca="1"/>
        <v>0</v>
      </c>
      <c r="U25">
        <f ca="1"/>
        <v>0</v>
      </c>
      <c r="W25" s="2">
        <f t="shared" ca="1" si="1"/>
        <v>45142</v>
      </c>
      <c r="X25">
        <f t="shared" ca="1" si="2"/>
        <v>0</v>
      </c>
      <c r="Z25" s="63">
        <f t="shared" ca="1" si="4"/>
        <v>49.138918908062649</v>
      </c>
      <c r="AA25" s="63">
        <f t="shared" ca="1" si="5"/>
        <v>49.138918908062649</v>
      </c>
      <c r="AB25" s="3">
        <f t="shared" ca="1" si="6"/>
        <v>0</v>
      </c>
    </row>
    <row r="26" spans="1:28">
      <c r="A26" s="9" t="s">
        <v>233</v>
      </c>
      <c r="B26" s="11">
        <f>CurrentYield</f>
        <v>22</v>
      </c>
      <c r="G26" t="b">
        <f t="shared" ca="1" si="3"/>
        <v>1</v>
      </c>
      <c r="H26" t="b">
        <f t="shared" ca="1" si="0"/>
        <v>1</v>
      </c>
      <c r="I26" s="2">
        <f ca="1"/>
        <v>45143</v>
      </c>
      <c r="J26">
        <f ca="1"/>
        <v>49.156790613946441</v>
      </c>
      <c r="K26">
        <f ca="1"/>
        <v>0</v>
      </c>
      <c r="L26">
        <f ca="1"/>
        <v>-0.16593096168310106</v>
      </c>
      <c r="M26" s="4">
        <f ca="1"/>
        <v>0.18380266756689737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  <c r="R26">
        <f ca="1"/>
        <v>0.62588440095866837</v>
      </c>
      <c r="S26">
        <f ca="1"/>
        <v>0</v>
      </c>
      <c r="T26">
        <f ca="1"/>
        <v>0</v>
      </c>
      <c r="U26">
        <f ca="1"/>
        <v>0</v>
      </c>
      <c r="W26" s="2">
        <f t="shared" ca="1" si="1"/>
        <v>45143</v>
      </c>
      <c r="X26">
        <f t="shared" ca="1" si="2"/>
        <v>0</v>
      </c>
      <c r="Z26" s="63">
        <f t="shared" ca="1" si="4"/>
        <v>49.156790613946441</v>
      </c>
      <c r="AA26" s="63">
        <f t="shared" ca="1" si="5"/>
        <v>49.156790613946441</v>
      </c>
      <c r="AB26" s="3">
        <f t="shared" ca="1" si="6"/>
        <v>0</v>
      </c>
    </row>
    <row r="27" spans="1:28">
      <c r="A27" s="9" t="s">
        <v>227</v>
      </c>
      <c r="B27" s="13" t="str">
        <f>CurrentPopulation</f>
        <v>1</v>
      </c>
      <c r="G27" t="b">
        <f t="shared" ca="1" si="3"/>
        <v>1</v>
      </c>
      <c r="H27" t="b">
        <f t="shared" ca="1" si="0"/>
        <v>1</v>
      </c>
      <c r="I27" s="2">
        <f ca="1"/>
        <v>45144</v>
      </c>
      <c r="J27">
        <f ca="1"/>
        <v>49.178936278754243</v>
      </c>
      <c r="K27">
        <f ca="1"/>
        <v>0</v>
      </c>
      <c r="L27">
        <f ca="1"/>
        <v>-0.16195145018485224</v>
      </c>
      <c r="M27" s="4">
        <f ca="1"/>
        <v>0.18409711499265277</v>
      </c>
      <c r="N27">
        <f ca="1"/>
        <v>0</v>
      </c>
      <c r="O27">
        <f ca="1"/>
        <v>0</v>
      </c>
      <c r="P27">
        <f ca="1"/>
        <v>0</v>
      </c>
      <c r="Q27">
        <f ca="1"/>
        <v>0</v>
      </c>
      <c r="R27">
        <f ca="1"/>
        <v>0.61979501945055726</v>
      </c>
      <c r="S27">
        <f ca="1"/>
        <v>0</v>
      </c>
      <c r="T27">
        <f ca="1"/>
        <v>0</v>
      </c>
      <c r="U27">
        <f ca="1"/>
        <v>0</v>
      </c>
      <c r="W27" s="2">
        <f t="shared" ca="1" si="1"/>
        <v>45144</v>
      </c>
      <c r="X27">
        <f t="shared" ca="1" si="2"/>
        <v>0</v>
      </c>
      <c r="Z27" s="63">
        <f t="shared" ca="1" si="4"/>
        <v>49.178936278754243</v>
      </c>
      <c r="AA27" s="63">
        <f t="shared" ca="1" si="5"/>
        <v>49.178936278754243</v>
      </c>
      <c r="AB27" s="3">
        <f t="shared" ca="1" si="6"/>
        <v>0</v>
      </c>
    </row>
    <row r="28" spans="1:28">
      <c r="A28" s="9" t="s">
        <v>228</v>
      </c>
      <c r="B28" s="13" t="str">
        <f>CurrentUnits</f>
        <v>t/ha</v>
      </c>
      <c r="G28" t="b">
        <f t="shared" ca="1" si="3"/>
        <v>1</v>
      </c>
      <c r="H28" t="b">
        <f t="shared" ca="1" si="0"/>
        <v>1</v>
      </c>
      <c r="I28" s="2">
        <f ca="1"/>
        <v>45145</v>
      </c>
      <c r="J28">
        <f ca="1"/>
        <v>49.21876506484606</v>
      </c>
      <c r="K28">
        <f ca="1"/>
        <v>0</v>
      </c>
      <c r="L28">
        <f ca="1"/>
        <v>-0.1584465350683133</v>
      </c>
      <c r="M28" s="4">
        <f ca="1"/>
        <v>0.19827532116013433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  <c r="R28">
        <f ca="1"/>
        <v>0.66494153001417122</v>
      </c>
      <c r="S28">
        <f ca="1"/>
        <v>0</v>
      </c>
      <c r="T28">
        <f ca="1"/>
        <v>0</v>
      </c>
      <c r="U28">
        <f ca="1"/>
        <v>0</v>
      </c>
      <c r="W28" s="2">
        <f t="shared" ca="1" si="1"/>
        <v>45145</v>
      </c>
      <c r="X28">
        <f t="shared" ca="1" si="2"/>
        <v>0</v>
      </c>
      <c r="Z28" s="63">
        <f t="shared" ca="1" si="4"/>
        <v>49.21876506484606</v>
      </c>
      <c r="AA28" s="63">
        <f t="shared" ca="1" si="5"/>
        <v>49.21876506484606</v>
      </c>
      <c r="AB28" s="3">
        <f t="shared" ca="1" si="6"/>
        <v>0</v>
      </c>
    </row>
    <row r="29" spans="1:28">
      <c r="A29" s="9" t="s">
        <v>115</v>
      </c>
      <c r="B29" s="10">
        <f>CurrentFieldLoss</f>
        <v>0</v>
      </c>
      <c r="G29" t="b">
        <f t="shared" ca="1" si="3"/>
        <v>1</v>
      </c>
      <c r="H29" t="b">
        <f t="shared" ca="1" si="0"/>
        <v>1</v>
      </c>
      <c r="I29" s="2">
        <f ca="1"/>
        <v>45146</v>
      </c>
      <c r="J29">
        <f ca="1"/>
        <v>49.270885649319816</v>
      </c>
      <c r="K29">
        <f ca="1"/>
        <v>0</v>
      </c>
      <c r="L29">
        <f ca="1"/>
        <v>-0.15088142892720668</v>
      </c>
      <c r="M29" s="4">
        <f ca="1"/>
        <v>0.20300201340095922</v>
      </c>
      <c r="N29">
        <f ca="1"/>
        <v>0</v>
      </c>
      <c r="O29">
        <f ca="1"/>
        <v>0</v>
      </c>
      <c r="P29">
        <f ca="1"/>
        <v>0</v>
      </c>
      <c r="Q29">
        <f ca="1"/>
        <v>0</v>
      </c>
      <c r="R29">
        <f ca="1"/>
        <v>0.70376191091001616</v>
      </c>
      <c r="S29">
        <f ca="1"/>
        <v>0</v>
      </c>
      <c r="T29">
        <f ca="1"/>
        <v>0</v>
      </c>
      <c r="U29">
        <f ca="1"/>
        <v>0</v>
      </c>
      <c r="W29" s="2">
        <f t="shared" ca="1" si="1"/>
        <v>45146</v>
      </c>
      <c r="X29">
        <f t="shared" ca="1" si="2"/>
        <v>0</v>
      </c>
      <c r="Z29" s="63">
        <f t="shared" ca="1" si="4"/>
        <v>49.270885649319816</v>
      </c>
      <c r="AA29" s="63">
        <f t="shared" ca="1" si="5"/>
        <v>49.270885649319816</v>
      </c>
      <c r="AB29" s="3">
        <f t="shared" ca="1" si="6"/>
        <v>0</v>
      </c>
    </row>
    <row r="30" spans="1:28">
      <c r="A30" s="9" t="s">
        <v>116</v>
      </c>
      <c r="B30" s="10">
        <f>CurrentDressingLoss</f>
        <v>0</v>
      </c>
      <c r="G30" t="b">
        <f t="shared" ca="1" si="3"/>
        <v>1</v>
      </c>
      <c r="H30" t="b">
        <f t="shared" ca="1" si="0"/>
        <v>1</v>
      </c>
      <c r="I30" s="2">
        <f ca="1"/>
        <v>45147</v>
      </c>
      <c r="J30">
        <f ca="1"/>
        <v>49.321808077851053</v>
      </c>
      <c r="K30">
        <f ca="1"/>
        <v>0</v>
      </c>
      <c r="L30">
        <f ca="1"/>
        <v>-0.13948137505803082</v>
      </c>
      <c r="M30" s="4">
        <f ca="1"/>
        <v>0.19040380358927317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  <c r="R30">
        <f ca="1"/>
        <v>0.71343797776318973</v>
      </c>
      <c r="S30">
        <f ca="1"/>
        <v>0</v>
      </c>
      <c r="T30">
        <f ca="1"/>
        <v>0</v>
      </c>
      <c r="U30">
        <f ca="1"/>
        <v>0</v>
      </c>
      <c r="W30" s="2">
        <f t="shared" ca="1" si="1"/>
        <v>45147</v>
      </c>
      <c r="X30">
        <f t="shared" ca="1" si="2"/>
        <v>0</v>
      </c>
      <c r="Z30" s="63">
        <f t="shared" ca="1" si="4"/>
        <v>49.321808077851053</v>
      </c>
      <c r="AA30" s="63">
        <f t="shared" ca="1" si="5"/>
        <v>49.321808077851053</v>
      </c>
      <c r="AB30" s="3">
        <f t="shared" ca="1" si="6"/>
        <v>0</v>
      </c>
    </row>
    <row r="31" spans="1:28">
      <c r="A31" s="9" t="s">
        <v>117</v>
      </c>
      <c r="B31" s="10">
        <f>CurrentMoistureContent</f>
        <v>78</v>
      </c>
      <c r="G31" t="b">
        <f t="shared" ca="1" si="3"/>
        <v>1</v>
      </c>
      <c r="H31" t="b">
        <f t="shared" ca="1" si="0"/>
        <v>1</v>
      </c>
      <c r="I31" s="2">
        <f ca="1"/>
        <v>45148</v>
      </c>
      <c r="J31">
        <f ca="1"/>
        <v>49.384241831650684</v>
      </c>
      <c r="K31">
        <f ca="1"/>
        <v>0</v>
      </c>
      <c r="L31">
        <f ca="1"/>
        <v>-0.13956399266717412</v>
      </c>
      <c r="M31" s="4">
        <f ca="1"/>
        <v>0.20199774646681096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  <c r="R31">
        <f ca="1"/>
        <v>0.72139693501872004</v>
      </c>
      <c r="S31">
        <f ca="1"/>
        <v>0</v>
      </c>
      <c r="T31">
        <f ca="1"/>
        <v>0</v>
      </c>
      <c r="U31">
        <f ca="1"/>
        <v>0</v>
      </c>
      <c r="W31" s="2">
        <f t="shared" ca="1" si="1"/>
        <v>45148</v>
      </c>
      <c r="X31">
        <f t="shared" ca="1" si="2"/>
        <v>0</v>
      </c>
      <c r="Z31" s="63">
        <f t="shared" ca="1" si="4"/>
        <v>49.384241831650691</v>
      </c>
      <c r="AA31" s="63">
        <f t="shared" ca="1" si="5"/>
        <v>49.384241831650684</v>
      </c>
      <c r="AB31" s="3">
        <f t="shared" ca="1" si="6"/>
        <v>0</v>
      </c>
    </row>
    <row r="32" spans="1:28">
      <c r="A32" s="9" t="s">
        <v>118</v>
      </c>
      <c r="B32" s="36">
        <f ca="1">CurrentEstablishDate</f>
        <v>45166</v>
      </c>
      <c r="G32" t="b">
        <f t="shared" ca="1" si="3"/>
        <v>1</v>
      </c>
      <c r="H32" t="b">
        <f t="shared" ca="1" si="0"/>
        <v>1</v>
      </c>
      <c r="I32" s="2">
        <f ca="1"/>
        <v>45149</v>
      </c>
      <c r="J32">
        <f ca="1"/>
        <v>49.459483548105979</v>
      </c>
      <c r="K32">
        <f ca="1"/>
        <v>0</v>
      </c>
      <c r="L32">
        <f ca="1"/>
        <v>-0.13949598835275268</v>
      </c>
      <c r="M32" s="4">
        <f ca="1"/>
        <v>0.21473770480804089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  <c r="R32">
        <f ca="1"/>
        <v>0.73152212899784363</v>
      </c>
      <c r="S32">
        <f ca="1"/>
        <v>0</v>
      </c>
      <c r="T32">
        <f ca="1"/>
        <v>0</v>
      </c>
      <c r="U32">
        <f ca="1"/>
        <v>0</v>
      </c>
      <c r="W32" s="2">
        <f t="shared" ca="1" si="1"/>
        <v>45149</v>
      </c>
      <c r="X32">
        <f t="shared" ca="1" si="2"/>
        <v>0</v>
      </c>
      <c r="Z32" s="63">
        <f t="shared" ca="1" si="4"/>
        <v>49.459483548105979</v>
      </c>
      <c r="AA32" s="63">
        <f t="shared" ca="1" si="5"/>
        <v>49.459483548105979</v>
      </c>
      <c r="AB32" s="3">
        <f t="shared" ca="1" si="6"/>
        <v>0</v>
      </c>
    </row>
    <row r="33" spans="1:28">
      <c r="A33" s="9" t="s">
        <v>119</v>
      </c>
      <c r="B33" s="10" t="str">
        <f>CurrentEstablishStage</f>
        <v>Seed</v>
      </c>
      <c r="G33" t="b">
        <f t="shared" ca="1" si="3"/>
        <v>1</v>
      </c>
      <c r="H33" t="b">
        <f t="shared" ca="1" si="0"/>
        <v>1</v>
      </c>
      <c r="I33" s="2">
        <f ca="1"/>
        <v>45150</v>
      </c>
      <c r="J33">
        <f ca="1"/>
        <v>49.542293738704984</v>
      </c>
      <c r="K33">
        <f ca="1"/>
        <v>0</v>
      </c>
      <c r="L33">
        <f ca="1"/>
        <v>-0.1372906377116685</v>
      </c>
      <c r="M33" s="4">
        <f ca="1"/>
        <v>0.22010082831067501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  <c r="R33">
        <f ca="1"/>
        <v>0.73152775322827945</v>
      </c>
      <c r="S33">
        <f ca="1"/>
        <v>0</v>
      </c>
      <c r="T33">
        <f ca="1"/>
        <v>0</v>
      </c>
      <c r="U33">
        <f ca="1"/>
        <v>0</v>
      </c>
      <c r="W33" s="2">
        <f t="shared" ca="1" si="1"/>
        <v>45150</v>
      </c>
      <c r="X33">
        <f t="shared" ca="1" si="2"/>
        <v>0</v>
      </c>
      <c r="Z33" s="63">
        <f t="shared" ca="1" si="4"/>
        <v>49.542293738704984</v>
      </c>
      <c r="AA33" s="63">
        <f t="shared" ca="1" si="5"/>
        <v>49.542293738704984</v>
      </c>
      <c r="AB33" s="3">
        <f t="shared" ca="1" si="6"/>
        <v>0</v>
      </c>
    </row>
    <row r="34" spans="1:28">
      <c r="A34" s="9" t="s">
        <v>120</v>
      </c>
      <c r="B34" s="36">
        <f ca="1">CurrentHarvestDate</f>
        <v>45291</v>
      </c>
      <c r="G34" t="b">
        <f t="shared" ca="1" si="3"/>
        <v>1</v>
      </c>
      <c r="H34" t="b">
        <f t="shared" ca="1" si="0"/>
        <v>1</v>
      </c>
      <c r="I34" s="2">
        <f ca="1"/>
        <v>45151</v>
      </c>
      <c r="J34">
        <f ca="1"/>
        <v>49.629189416359971</v>
      </c>
      <c r="K34">
        <f ca="1"/>
        <v>0</v>
      </c>
      <c r="L34">
        <f ca="1"/>
        <v>-0.13023351623282764</v>
      </c>
      <c r="M34" s="4">
        <f ca="1"/>
        <v>0.21712919388781463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  <c r="R34">
        <f ca="1"/>
        <v>0.74563464701434179</v>
      </c>
      <c r="S34">
        <f ca="1"/>
        <v>0</v>
      </c>
      <c r="T34">
        <f ca="1"/>
        <v>0</v>
      </c>
      <c r="U34">
        <f ca="1"/>
        <v>0</v>
      </c>
      <c r="W34" s="2">
        <f t="shared" ca="1" si="1"/>
        <v>45151</v>
      </c>
      <c r="X34">
        <f t="shared" ca="1" si="2"/>
        <v>0</v>
      </c>
      <c r="Z34" s="63">
        <f t="shared" ca="1" si="4"/>
        <v>49.629189416359971</v>
      </c>
      <c r="AA34" s="63">
        <f t="shared" ca="1" si="5"/>
        <v>49.629189416359971</v>
      </c>
      <c r="AB34" s="3">
        <f t="shared" ca="1" si="6"/>
        <v>0</v>
      </c>
    </row>
    <row r="35" spans="1:28">
      <c r="A35" s="9" t="s">
        <v>121</v>
      </c>
      <c r="B35" s="10" t="str">
        <f>CurrentHarvestStage</f>
        <v>MidReproductive</v>
      </c>
      <c r="G35" t="b">
        <f t="shared" ca="1" si="3"/>
        <v>1</v>
      </c>
      <c r="H35" t="b">
        <f t="shared" ca="1" si="0"/>
        <v>1</v>
      </c>
      <c r="I35" s="2">
        <f ca="1"/>
        <v>45152</v>
      </c>
      <c r="J35">
        <f ca="1"/>
        <v>49.723449465007334</v>
      </c>
      <c r="K35">
        <f ca="1"/>
        <v>0</v>
      </c>
      <c r="L35">
        <f ca="1"/>
        <v>-0.12512653326736256</v>
      </c>
      <c r="M35" s="4">
        <f ca="1"/>
        <v>0.21938658191472585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  <c r="R35">
        <f ca="1"/>
        <v>0.76336305058871046</v>
      </c>
      <c r="S35">
        <f ca="1"/>
        <v>0</v>
      </c>
      <c r="T35">
        <f ca="1"/>
        <v>0</v>
      </c>
      <c r="U35">
        <f ca="1"/>
        <v>0</v>
      </c>
      <c r="W35" s="2">
        <f t="shared" ca="1" si="1"/>
        <v>45152</v>
      </c>
      <c r="X35">
        <f t="shared" ca="1" si="2"/>
        <v>0</v>
      </c>
      <c r="Z35" s="63">
        <f t="shared" ca="1" si="4"/>
        <v>49.723449465007334</v>
      </c>
      <c r="AA35" s="63">
        <f t="shared" ca="1" si="5"/>
        <v>49.723449465007334</v>
      </c>
      <c r="AB35" s="3">
        <f t="shared" ca="1" si="6"/>
        <v>0</v>
      </c>
    </row>
    <row r="36" spans="1:28">
      <c r="A36" s="9" t="s">
        <v>159</v>
      </c>
      <c r="B36" s="10" t="str">
        <f>CurrentResidueRemoval</f>
        <v>None removed</v>
      </c>
      <c r="G36" t="b">
        <f t="shared" ca="1" si="3"/>
        <v>1</v>
      </c>
      <c r="H36" t="b">
        <f t="shared" ca="1" si="0"/>
        <v>1</v>
      </c>
      <c r="I36" s="2">
        <f ca="1"/>
        <v>45153</v>
      </c>
      <c r="J36">
        <f ca="1"/>
        <v>49.820191490573613</v>
      </c>
      <c r="K36">
        <f ca="1"/>
        <v>0</v>
      </c>
      <c r="L36">
        <f ca="1"/>
        <v>-0.11827737443549413</v>
      </c>
      <c r="M36" s="4">
        <f ca="1"/>
        <v>0.2150194000017723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  <c r="R36">
        <f ca="1"/>
        <v>0.7780010314503516</v>
      </c>
      <c r="S36">
        <f ca="1"/>
        <v>0</v>
      </c>
      <c r="T36">
        <f ca="1"/>
        <v>0</v>
      </c>
      <c r="U36">
        <f ca="1"/>
        <v>0</v>
      </c>
      <c r="W36" s="2">
        <f t="shared" ca="1" si="1"/>
        <v>45153</v>
      </c>
      <c r="X36">
        <f t="shared" ca="1" si="2"/>
        <v>0</v>
      </c>
      <c r="Z36" s="63">
        <f t="shared" ca="1" si="4"/>
        <v>49.820191490573613</v>
      </c>
      <c r="AA36" s="63">
        <f t="shared" ca="1" si="5"/>
        <v>49.820191490573613</v>
      </c>
      <c r="AB36" s="3">
        <f t="shared" ca="1" si="6"/>
        <v>0</v>
      </c>
    </row>
    <row r="37" spans="1:28" ht="15" thickBot="1">
      <c r="A37" s="9" t="s">
        <v>162</v>
      </c>
      <c r="B37" s="10" t="str">
        <f>CurrentResidueIncorporation</f>
        <v>Full (Plough)</v>
      </c>
      <c r="G37" t="b">
        <f t="shared" ca="1" si="3"/>
        <v>1</v>
      </c>
      <c r="H37" t="b">
        <f t="shared" ca="1" si="0"/>
        <v>1</v>
      </c>
      <c r="I37" s="2">
        <f ca="1"/>
        <v>45154</v>
      </c>
      <c r="J37">
        <f ca="1"/>
        <v>49.927952090448905</v>
      </c>
      <c r="K37">
        <f ca="1"/>
        <v>0</v>
      </c>
      <c r="L37">
        <f ca="1"/>
        <v>-0.11646657402963712</v>
      </c>
      <c r="M37">
        <f ca="1"/>
        <v>0.22422717390492586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  <c r="R37">
        <f ca="1"/>
        <v>0.79081285044859984</v>
      </c>
      <c r="S37">
        <f ca="1"/>
        <v>0</v>
      </c>
      <c r="T37">
        <f ca="1"/>
        <v>0</v>
      </c>
      <c r="U37">
        <f ca="1"/>
        <v>0</v>
      </c>
      <c r="W37" s="2">
        <f t="shared" ca="1" si="1"/>
        <v>45154</v>
      </c>
      <c r="X37">
        <f t="shared" ca="1" si="2"/>
        <v>0</v>
      </c>
      <c r="Z37" s="63">
        <f t="shared" ca="1" si="4"/>
        <v>49.927952090448905</v>
      </c>
      <c r="AA37" s="63">
        <f t="shared" ca="1" si="5"/>
        <v>49.927952090448905</v>
      </c>
      <c r="AB37" s="3">
        <f t="shared" ca="1" si="6"/>
        <v>0</v>
      </c>
    </row>
    <row r="38" spans="1:28">
      <c r="A38" s="5" t="s">
        <v>137</v>
      </c>
      <c r="B38" s="31" t="str">
        <f>FollowingCropFullName</f>
        <v>Oat Fodder General</v>
      </c>
      <c r="G38" t="b">
        <f t="shared" ca="1" si="3"/>
        <v>1</v>
      </c>
      <c r="H38" t="b">
        <f t="shared" ca="1" si="0"/>
        <v>1</v>
      </c>
      <c r="I38" s="2">
        <f ca="1"/>
        <v>45155</v>
      </c>
      <c r="J38">
        <f ca="1"/>
        <v>50.054769564913883</v>
      </c>
      <c r="K38">
        <f ca="1"/>
        <v>0</v>
      </c>
      <c r="L38">
        <f ca="1"/>
        <v>-0.11713246984557024</v>
      </c>
      <c r="M38">
        <f ca="1"/>
        <v>0.24394994431055042</v>
      </c>
      <c r="N38">
        <f ca="1"/>
        <v>0</v>
      </c>
      <c r="O38">
        <f ca="1"/>
        <v>0</v>
      </c>
      <c r="P38">
        <f ca="1"/>
        <v>0</v>
      </c>
      <c r="Q38">
        <f ca="1"/>
        <v>0</v>
      </c>
      <c r="R38">
        <f ca="1"/>
        <v>0.80997774591479565</v>
      </c>
      <c r="S38">
        <f ca="1"/>
        <v>0</v>
      </c>
      <c r="T38">
        <f ca="1"/>
        <v>0</v>
      </c>
      <c r="U38">
        <f ca="1"/>
        <v>0</v>
      </c>
      <c r="W38" s="2">
        <f t="shared" ca="1" si="1"/>
        <v>45155</v>
      </c>
      <c r="X38">
        <f t="shared" ca="1" si="2"/>
        <v>0</v>
      </c>
      <c r="Z38" s="63">
        <f t="shared" ca="1" si="4"/>
        <v>50.054769564913883</v>
      </c>
      <c r="AA38" s="63">
        <f t="shared" ca="1" si="5"/>
        <v>50.054769564913883</v>
      </c>
      <c r="AB38" s="3">
        <f t="shared" ca="1" si="6"/>
        <v>0</v>
      </c>
    </row>
    <row r="39" spans="1:28">
      <c r="A39" s="6" t="s">
        <v>234</v>
      </c>
      <c r="B39" s="32">
        <f>FollowingYIeld</f>
        <v>10</v>
      </c>
      <c r="G39" t="b">
        <f t="shared" ca="1" si="3"/>
        <v>1</v>
      </c>
      <c r="H39" t="b">
        <f t="shared" ca="1" si="0"/>
        <v>1</v>
      </c>
      <c r="I39" s="2">
        <f ca="1"/>
        <v>45156</v>
      </c>
      <c r="J39">
        <f ca="1"/>
        <v>50.193246156212297</v>
      </c>
      <c r="K39">
        <f ca="1"/>
        <v>0</v>
      </c>
      <c r="L39">
        <f ca="1"/>
        <v>-0.11376668871565965</v>
      </c>
      <c r="M39">
        <f ca="1"/>
        <v>0.25224328001407187</v>
      </c>
      <c r="N39">
        <f ca="1"/>
        <v>0</v>
      </c>
      <c r="O39">
        <f ca="1"/>
        <v>0</v>
      </c>
      <c r="P39">
        <f ca="1"/>
        <v>0</v>
      </c>
      <c r="Q39">
        <f ca="1"/>
        <v>0</v>
      </c>
      <c r="R39">
        <f ca="1"/>
        <v>0.83081917076260003</v>
      </c>
      <c r="S39">
        <f ca="1"/>
        <v>0</v>
      </c>
      <c r="T39">
        <f ca="1"/>
        <v>0</v>
      </c>
      <c r="U39">
        <f ca="1"/>
        <v>0</v>
      </c>
      <c r="W39" s="2">
        <f t="shared" ca="1" si="1"/>
        <v>45156</v>
      </c>
      <c r="X39">
        <f t="shared" ca="1" si="2"/>
        <v>0</v>
      </c>
      <c r="Z39" s="63">
        <f t="shared" ca="1" si="4"/>
        <v>50.193246156212297</v>
      </c>
      <c r="AA39" s="63">
        <f t="shared" ca="1" si="5"/>
        <v>50.193246156212297</v>
      </c>
      <c r="AB39" s="3">
        <f t="shared" ca="1" si="6"/>
        <v>0</v>
      </c>
    </row>
    <row r="40" spans="1:28">
      <c r="A40" s="6" t="s">
        <v>229</v>
      </c>
      <c r="B40" s="32">
        <f>FollowingPopulation</f>
        <v>1</v>
      </c>
      <c r="G40" t="b">
        <f t="shared" ca="1" si="3"/>
        <v>1</v>
      </c>
      <c r="H40" t="b">
        <f t="shared" ca="1" si="0"/>
        <v>1</v>
      </c>
      <c r="I40" s="2">
        <f ca="1"/>
        <v>45157</v>
      </c>
      <c r="J40">
        <f ca="1"/>
        <v>50.333172841798721</v>
      </c>
      <c r="K40">
        <f ca="1"/>
        <v>0</v>
      </c>
      <c r="L40">
        <f ca="1"/>
        <v>-0.10792826876487016</v>
      </c>
      <c r="M40">
        <f ca="1"/>
        <v>0.24785495435130009</v>
      </c>
      <c r="N40">
        <f ca="1"/>
        <v>0</v>
      </c>
      <c r="O40">
        <f ca="1"/>
        <v>0</v>
      </c>
      <c r="P40">
        <f ca="1"/>
        <v>0</v>
      </c>
      <c r="Q40">
        <f ca="1"/>
        <v>0</v>
      </c>
      <c r="R40">
        <f ca="1"/>
        <v>0.8404414099756452</v>
      </c>
      <c r="S40">
        <f ca="1"/>
        <v>0</v>
      </c>
      <c r="T40">
        <f ca="1"/>
        <v>0</v>
      </c>
      <c r="U40">
        <f ca="1"/>
        <v>0</v>
      </c>
      <c r="W40" s="2">
        <f t="shared" ca="1" si="1"/>
        <v>45157</v>
      </c>
      <c r="X40">
        <f t="shared" ca="1" si="2"/>
        <v>0</v>
      </c>
      <c r="Z40" s="63">
        <f t="shared" ca="1" si="4"/>
        <v>50.333172841798721</v>
      </c>
      <c r="AA40" s="63">
        <f t="shared" ca="1" si="5"/>
        <v>50.333172841798721</v>
      </c>
      <c r="AB40" s="3">
        <f t="shared" ca="1" si="6"/>
        <v>0</v>
      </c>
    </row>
    <row r="41" spans="1:28">
      <c r="A41" s="6" t="s">
        <v>230</v>
      </c>
      <c r="B41" s="32" t="str">
        <f>FollowingUnits</f>
        <v>t/ha</v>
      </c>
      <c r="G41" t="b">
        <f t="shared" ca="1" si="3"/>
        <v>1</v>
      </c>
      <c r="H41" t="b">
        <f t="shared" ca="1" si="0"/>
        <v>1</v>
      </c>
      <c r="I41" s="2">
        <f ca="1"/>
        <v>45158</v>
      </c>
      <c r="J41">
        <f ca="1"/>
        <v>50.475868152723542</v>
      </c>
      <c r="K41">
        <f ca="1"/>
        <v>0</v>
      </c>
      <c r="L41">
        <f ca="1"/>
        <v>-0.10476414420373725</v>
      </c>
      <c r="M41">
        <f ca="1"/>
        <v>0.24745945512855461</v>
      </c>
      <c r="N41">
        <f ca="1"/>
        <v>0</v>
      </c>
      <c r="O41">
        <f ca="1"/>
        <v>0</v>
      </c>
      <c r="P41">
        <f ca="1"/>
        <v>0</v>
      </c>
      <c r="Q41">
        <f ca="1"/>
        <v>0</v>
      </c>
      <c r="R41">
        <f ca="1"/>
        <v>0.83504093892648867</v>
      </c>
      <c r="S41">
        <f ca="1"/>
        <v>0</v>
      </c>
      <c r="T41">
        <f ca="1"/>
        <v>0</v>
      </c>
      <c r="U41">
        <f ca="1"/>
        <v>0</v>
      </c>
      <c r="W41" s="2">
        <f t="shared" ca="1" si="1"/>
        <v>45158</v>
      </c>
      <c r="X41">
        <f t="shared" ca="1" si="2"/>
        <v>0</v>
      </c>
      <c r="Z41" s="63">
        <f t="shared" ca="1" si="4"/>
        <v>50.475868152723542</v>
      </c>
      <c r="AA41" s="63">
        <f t="shared" ca="1" si="5"/>
        <v>50.475868152723542</v>
      </c>
      <c r="AB41" s="3">
        <f t="shared" ca="1" si="6"/>
        <v>0</v>
      </c>
    </row>
    <row r="42" spans="1:28">
      <c r="A42" s="6" t="s">
        <v>122</v>
      </c>
      <c r="B42" s="32">
        <f>FollowingFieldLoss</f>
        <v>0</v>
      </c>
      <c r="G42" t="b">
        <f t="shared" ca="1" si="3"/>
        <v>1</v>
      </c>
      <c r="H42" t="b">
        <f t="shared" ca="1" si="0"/>
        <v>1</v>
      </c>
      <c r="I42" s="2">
        <f ca="1"/>
        <v>45159</v>
      </c>
      <c r="J42">
        <f ca="1"/>
        <v>50.623725974780712</v>
      </c>
      <c r="K42">
        <f ca="1"/>
        <v>0</v>
      </c>
      <c r="L42">
        <f ca="1"/>
        <v>-9.9194292664115835E-2</v>
      </c>
      <c r="M42">
        <f ca="1"/>
        <v>0.24705211472128635</v>
      </c>
      <c r="N42">
        <f ca="1"/>
        <v>0</v>
      </c>
      <c r="O42">
        <f ca="1"/>
        <v>0</v>
      </c>
      <c r="P42">
        <f ca="1"/>
        <v>0</v>
      </c>
      <c r="Q42">
        <f ca="1"/>
        <v>0</v>
      </c>
      <c r="R42">
        <f ca="1"/>
        <v>0.85977018292013996</v>
      </c>
      <c r="S42">
        <f ca="1"/>
        <v>0</v>
      </c>
      <c r="T42">
        <f ca="1"/>
        <v>0</v>
      </c>
      <c r="U42">
        <f ca="1"/>
        <v>0</v>
      </c>
      <c r="W42" s="2">
        <f t="shared" ca="1" si="1"/>
        <v>45159</v>
      </c>
      <c r="X42">
        <f t="shared" ca="1" si="2"/>
        <v>0</v>
      </c>
      <c r="Z42" s="63">
        <f t="shared" ca="1" si="4"/>
        <v>50.623725974780712</v>
      </c>
      <c r="AA42" s="63">
        <f t="shared" ca="1" si="5"/>
        <v>50.623725974780712</v>
      </c>
      <c r="AB42" s="3">
        <f t="shared" ca="1" si="6"/>
        <v>0</v>
      </c>
    </row>
    <row r="43" spans="1:28">
      <c r="A43" s="6" t="s">
        <v>123</v>
      </c>
      <c r="B43" s="32">
        <f>FollowingDressingLoss</f>
        <v>0</v>
      </c>
      <c r="G43" t="b">
        <f t="shared" ca="1" si="3"/>
        <v>1</v>
      </c>
      <c r="H43" t="b">
        <f t="shared" ca="1" si="0"/>
        <v>1</v>
      </c>
      <c r="I43" s="2">
        <f ca="1"/>
        <v>45160</v>
      </c>
      <c r="J43">
        <f ca="1"/>
        <v>50.792900362182763</v>
      </c>
      <c r="K43">
        <f ca="1"/>
        <v>0</v>
      </c>
      <c r="L43">
        <f ca="1"/>
        <v>-9.7623233776135798E-2</v>
      </c>
      <c r="M43">
        <f ca="1"/>
        <v>0.26679762117818689</v>
      </c>
      <c r="N43">
        <f ca="1"/>
        <v>0</v>
      </c>
      <c r="O43">
        <f ca="1"/>
        <v>0</v>
      </c>
      <c r="P43">
        <f ca="1"/>
        <v>0</v>
      </c>
      <c r="Q43">
        <f ca="1"/>
        <v>0</v>
      </c>
      <c r="R43">
        <f ca="1"/>
        <v>0.89881104914664656</v>
      </c>
      <c r="S43">
        <f ca="1"/>
        <v>0</v>
      </c>
      <c r="T43">
        <f ca="1"/>
        <v>0</v>
      </c>
      <c r="U43">
        <f ca="1"/>
        <v>0</v>
      </c>
      <c r="W43" s="2">
        <f t="shared" ca="1" si="1"/>
        <v>45160</v>
      </c>
      <c r="X43">
        <f t="shared" ca="1" si="2"/>
        <v>0</v>
      </c>
      <c r="Z43" s="63">
        <f t="shared" ca="1" si="4"/>
        <v>50.792900362182763</v>
      </c>
      <c r="AA43" s="63">
        <f t="shared" ca="1" si="5"/>
        <v>50.792900362182763</v>
      </c>
      <c r="AB43" s="3">
        <f t="shared" ca="1" si="6"/>
        <v>0</v>
      </c>
    </row>
    <row r="44" spans="1:28">
      <c r="A44" s="6" t="s">
        <v>124</v>
      </c>
      <c r="B44" s="32">
        <f>FollowingMoistureLoss</f>
        <v>0</v>
      </c>
      <c r="G44" t="b">
        <f t="shared" ca="1" si="3"/>
        <v>1</v>
      </c>
      <c r="H44" t="b">
        <f t="shared" ca="1" si="0"/>
        <v>1</v>
      </c>
      <c r="I44" s="2">
        <f ca="1"/>
        <v>45161</v>
      </c>
      <c r="J44">
        <f ca="1"/>
        <v>50.970838868167455</v>
      </c>
      <c r="K44">
        <f ca="1"/>
        <v>0</v>
      </c>
      <c r="L44">
        <f ca="1"/>
        <v>-9.5216890160830125E-2</v>
      </c>
      <c r="M44">
        <f ca="1"/>
        <v>0.27315539614551998</v>
      </c>
      <c r="N44">
        <f ca="1"/>
        <v>0</v>
      </c>
      <c r="O44">
        <f ca="1"/>
        <v>0</v>
      </c>
      <c r="P44">
        <f ca="1"/>
        <v>0</v>
      </c>
      <c r="Q44">
        <f ca="1"/>
        <v>0</v>
      </c>
      <c r="R44">
        <f ca="1"/>
        <v>0.90637052041678057</v>
      </c>
      <c r="S44">
        <f ca="1"/>
        <v>0</v>
      </c>
      <c r="T44">
        <f ca="1"/>
        <v>0</v>
      </c>
      <c r="U44">
        <f ca="1"/>
        <v>0</v>
      </c>
      <c r="W44" s="2">
        <f t="shared" ca="1" si="1"/>
        <v>45161</v>
      </c>
      <c r="X44">
        <f t="shared" ca="1" si="2"/>
        <v>0</v>
      </c>
      <c r="Z44" s="63">
        <f t="shared" ca="1" si="4"/>
        <v>50.970838868167455</v>
      </c>
      <c r="AA44" s="63">
        <f t="shared" ca="1" si="5"/>
        <v>50.970838868167455</v>
      </c>
      <c r="AB44" s="3">
        <f t="shared" ca="1" si="6"/>
        <v>0</v>
      </c>
    </row>
    <row r="45" spans="1:28">
      <c r="A45" s="6" t="s">
        <v>125</v>
      </c>
      <c r="B45" s="34">
        <f ca="1">FollowingEstablishDate</f>
        <v>45306</v>
      </c>
      <c r="G45" t="b">
        <f t="shared" ca="1" si="3"/>
        <v>1</v>
      </c>
      <c r="H45" t="b">
        <f t="array" aca="1" ref="H45" ca="1">AND(IF(I45&gt;($I$3-1),TRUE,FALSE),IF(I45&lt;($I$4+1),TRUE,FALSE))</f>
        <v>1</v>
      </c>
      <c r="I45" s="2">
        <f ca="1"/>
        <v>45162</v>
      </c>
      <c r="J45">
        <f ca="1"/>
        <v>51.153373967008498</v>
      </c>
      <c r="K45">
        <f ca="1"/>
        <v>0</v>
      </c>
      <c r="L45">
        <f ca="1"/>
        <v>-9.4927859976203344E-2</v>
      </c>
      <c r="M45">
        <f ca="1"/>
        <v>0.27746295881724831</v>
      </c>
      <c r="N45">
        <f ca="1"/>
        <v>0</v>
      </c>
      <c r="O45">
        <f ca="1"/>
        <v>0</v>
      </c>
      <c r="P45">
        <f ca="1"/>
        <v>0</v>
      </c>
      <c r="Q45">
        <f ca="1"/>
        <v>0</v>
      </c>
      <c r="R45">
        <f ca="1"/>
        <v>0.88023778534277974</v>
      </c>
      <c r="S45">
        <f ca="1"/>
        <v>0</v>
      </c>
      <c r="T45">
        <f ca="1"/>
        <v>0</v>
      </c>
      <c r="U45">
        <f ca="1"/>
        <v>0</v>
      </c>
      <c r="W45" s="2">
        <f t="shared" ca="1" si="1"/>
        <v>45162</v>
      </c>
      <c r="X45">
        <f t="shared" ca="1" si="2"/>
        <v>0</v>
      </c>
      <c r="Z45" s="63">
        <f t="shared" ca="1" si="4"/>
        <v>51.153373967008498</v>
      </c>
      <c r="AA45" s="63">
        <f t="shared" ca="1" si="5"/>
        <v>51.153373967008498</v>
      </c>
      <c r="AB45" s="3">
        <f t="shared" ca="1" si="6"/>
        <v>0</v>
      </c>
    </row>
    <row r="46" spans="1:28">
      <c r="A46" s="6" t="s">
        <v>126</v>
      </c>
      <c r="B46" s="32" t="str">
        <f>FollowingEstablishStage</f>
        <v>Seed</v>
      </c>
      <c r="G46" t="b">
        <f t="shared" ca="1" si="3"/>
        <v>1</v>
      </c>
      <c r="H46" t="b">
        <f t="shared" ca="1" si="0"/>
        <v>1</v>
      </c>
      <c r="I46" s="2">
        <f ca="1"/>
        <v>45163</v>
      </c>
      <c r="J46">
        <f ca="1"/>
        <v>51.341419609543607</v>
      </c>
      <c r="K46">
        <f ca="1"/>
        <v>0</v>
      </c>
      <c r="L46">
        <f ca="1"/>
        <v>-9.2849197229349478E-2</v>
      </c>
      <c r="M46">
        <f ca="1"/>
        <v>0.28089483976446045</v>
      </c>
      <c r="N46">
        <f ca="1"/>
        <v>0</v>
      </c>
      <c r="O46">
        <f ca="1"/>
        <v>0</v>
      </c>
      <c r="P46">
        <f ca="1"/>
        <v>0</v>
      </c>
      <c r="Q46">
        <f ca="1"/>
        <v>0</v>
      </c>
      <c r="R46">
        <f ca="1"/>
        <v>0.87342924268416888</v>
      </c>
      <c r="S46">
        <f ca="1"/>
        <v>0</v>
      </c>
      <c r="T46">
        <f ca="1"/>
        <v>0</v>
      </c>
      <c r="U46">
        <f ca="1"/>
        <v>0</v>
      </c>
      <c r="W46" s="2">
        <f t="shared" ca="1" si="1"/>
        <v>45163</v>
      </c>
      <c r="X46">
        <f t="shared" ca="1" si="2"/>
        <v>0</v>
      </c>
      <c r="Z46" s="63">
        <f t="shared" ca="1" si="4"/>
        <v>51.341419609543607</v>
      </c>
      <c r="AA46" s="63">
        <f t="shared" ca="1" si="5"/>
        <v>51.341419609543607</v>
      </c>
      <c r="AB46" s="3">
        <f t="shared" ca="1" si="6"/>
        <v>0</v>
      </c>
    </row>
    <row r="47" spans="1:28">
      <c r="A47" s="6" t="s">
        <v>127</v>
      </c>
      <c r="B47" s="34">
        <f ca="1">FollowingHarvestDate</f>
        <v>45426</v>
      </c>
      <c r="G47" t="b">
        <f t="shared" ca="1" si="3"/>
        <v>1</v>
      </c>
      <c r="H47" t="b">
        <f t="shared" ca="1" si="0"/>
        <v>1</v>
      </c>
      <c r="I47" s="2">
        <f ca="1"/>
        <v>45164</v>
      </c>
      <c r="J47">
        <f ca="1"/>
        <v>51.537916103755528</v>
      </c>
      <c r="K47">
        <f ca="1"/>
        <v>0</v>
      </c>
      <c r="L47">
        <f ca="1"/>
        <v>-8.915264585712368E-2</v>
      </c>
      <c r="M47">
        <f ca="1"/>
        <v>0.28564914006904596</v>
      </c>
      <c r="N47">
        <f ca="1"/>
        <v>0</v>
      </c>
      <c r="O47">
        <f ca="1"/>
        <v>0</v>
      </c>
      <c r="P47">
        <f ca="1"/>
        <v>0</v>
      </c>
      <c r="Q47">
        <f ca="1"/>
        <v>0</v>
      </c>
      <c r="R47">
        <f ca="1"/>
        <v>0.89151139073991092</v>
      </c>
      <c r="S47">
        <f ca="1"/>
        <v>0</v>
      </c>
      <c r="T47">
        <f ca="1"/>
        <v>0</v>
      </c>
      <c r="U47">
        <f ca="1"/>
        <v>0</v>
      </c>
      <c r="W47" s="2">
        <f t="shared" ca="1" si="1"/>
        <v>45164</v>
      </c>
      <c r="X47">
        <f t="shared" ca="1" si="2"/>
        <v>0</v>
      </c>
      <c r="Z47" s="63">
        <f t="shared" ca="1" si="4"/>
        <v>51.537916103755528</v>
      </c>
      <c r="AA47" s="63">
        <f t="shared" ca="1" si="5"/>
        <v>51.537916103755528</v>
      </c>
      <c r="AB47" s="3">
        <f t="shared" ca="1" si="6"/>
        <v>0</v>
      </c>
    </row>
    <row r="48" spans="1:28">
      <c r="A48" s="6" t="s">
        <v>128</v>
      </c>
      <c r="B48" s="32" t="str">
        <f>FollowingHarvestStage</f>
        <v>EarlyReproductive</v>
      </c>
      <c r="G48" t="b">
        <f t="shared" ca="1" si="3"/>
        <v>1</v>
      </c>
      <c r="H48" t="b">
        <f t="shared" ca="1" si="0"/>
        <v>1</v>
      </c>
      <c r="I48" s="2">
        <f ca="1"/>
        <v>45165</v>
      </c>
      <c r="J48">
        <f ca="1"/>
        <v>51.746033162784499</v>
      </c>
      <c r="K48">
        <f ca="1"/>
        <v>0</v>
      </c>
      <c r="L48">
        <f ca="1"/>
        <v>-8.5999350372925498E-2</v>
      </c>
      <c r="M48">
        <f ca="1"/>
        <v>0.29411640940189321</v>
      </c>
      <c r="N48">
        <f ca="1"/>
        <v>0</v>
      </c>
      <c r="O48">
        <f ca="1"/>
        <v>0</v>
      </c>
      <c r="P48">
        <f ca="1"/>
        <v>0</v>
      </c>
      <c r="Q48">
        <f ca="1"/>
        <v>0</v>
      </c>
      <c r="R48">
        <f ca="1"/>
        <v>0.91372218733013266</v>
      </c>
      <c r="S48">
        <f ca="1"/>
        <v>0</v>
      </c>
      <c r="T48">
        <f ca="1"/>
        <v>0</v>
      </c>
      <c r="U48">
        <f ca="1"/>
        <v>0</v>
      </c>
      <c r="W48" s="2">
        <f t="shared" ca="1" si="1"/>
        <v>45165</v>
      </c>
      <c r="X48">
        <f t="shared" ca="1" si="2"/>
        <v>0</v>
      </c>
      <c r="Z48" s="63">
        <f t="shared" ca="1" si="4"/>
        <v>51.746033162784499</v>
      </c>
      <c r="AA48" s="63">
        <f t="shared" ca="1" si="5"/>
        <v>51.746033162784499</v>
      </c>
      <c r="AB48" s="3">
        <f t="shared" ca="1" si="6"/>
        <v>0</v>
      </c>
    </row>
    <row r="49" spans="1:28" ht="15" thickBot="1">
      <c r="A49" s="7" t="s">
        <v>160</v>
      </c>
      <c r="B49" s="33" t="str">
        <f>FollowingResidueRemoval</f>
        <v>None removed</v>
      </c>
      <c r="G49" t="b">
        <f t="shared" ca="1" si="3"/>
        <v>1</v>
      </c>
      <c r="H49" t="b">
        <f t="shared" ca="1" si="0"/>
        <v>1</v>
      </c>
      <c r="I49" s="2">
        <f ca="1"/>
        <v>45166</v>
      </c>
      <c r="J49">
        <f ca="1"/>
        <v>51.956191487436165</v>
      </c>
      <c r="K49">
        <f ca="1"/>
        <v>0</v>
      </c>
      <c r="L49">
        <f ca="1"/>
        <v>-8.4639266036378835E-2</v>
      </c>
      <c r="M49">
        <f ca="1"/>
        <v>0.29479759068803885</v>
      </c>
      <c r="N49">
        <f ca="1"/>
        <v>0</v>
      </c>
      <c r="O49">
        <f ca="1"/>
        <v>0.96524946299463588</v>
      </c>
      <c r="P49">
        <f ca="1"/>
        <v>0.52735580417267902</v>
      </c>
      <c r="Q49">
        <f ca="1"/>
        <v>0</v>
      </c>
      <c r="R49">
        <f ca="1"/>
        <v>0.89008418558615088</v>
      </c>
      <c r="S49">
        <f ca="1"/>
        <v>0</v>
      </c>
      <c r="T49">
        <f ca="1"/>
        <v>0</v>
      </c>
      <c r="U49">
        <f ca="1"/>
        <v>5.0196381932136411E-3</v>
      </c>
      <c r="W49" s="2">
        <f t="shared" ca="1" si="1"/>
        <v>45166</v>
      </c>
      <c r="X49">
        <f t="shared" ca="1" si="2"/>
        <v>0</v>
      </c>
      <c r="Z49" s="63">
        <f t="shared" ca="1" si="4"/>
        <v>51.956191487436165</v>
      </c>
      <c r="AA49" s="63">
        <f t="shared" ca="1" si="5"/>
        <v>51.956191487436165</v>
      </c>
      <c r="AB49" s="3">
        <f t="shared" ca="1" si="6"/>
        <v>0</v>
      </c>
    </row>
    <row r="50" spans="1:28">
      <c r="A50" s="6" t="s">
        <v>163</v>
      </c>
      <c r="B50" t="str">
        <f>FollowingResidueIncorporation</f>
        <v>Full (Plough)</v>
      </c>
      <c r="G50" t="b">
        <f t="shared" ca="1" si="3"/>
        <v>1</v>
      </c>
      <c r="H50" t="b">
        <f t="shared" ca="1" si="0"/>
        <v>1</v>
      </c>
      <c r="I50" s="2">
        <f ca="1"/>
        <v>45167</v>
      </c>
      <c r="J50">
        <f ca="1"/>
        <v>52.153885080529697</v>
      </c>
      <c r="K50">
        <f ca="1"/>
        <v>0</v>
      </c>
      <c r="L50">
        <f ca="1"/>
        <v>-7.9553243400761531E-2</v>
      </c>
      <c r="M50">
        <f ca="1"/>
        <v>0.27724683649429505</v>
      </c>
      <c r="N50">
        <f ca="1"/>
        <v>0</v>
      </c>
      <c r="O50">
        <f ca="1"/>
        <v>0.96524946299463588</v>
      </c>
      <c r="P50">
        <f ca="1"/>
        <v>0.52735580417267902</v>
      </c>
      <c r="Q50">
        <f ca="1"/>
        <v>0</v>
      </c>
      <c r="R50">
        <f ca="1"/>
        <v>0.87058032902889504</v>
      </c>
      <c r="S50">
        <f ca="1"/>
        <v>0</v>
      </c>
      <c r="T50">
        <f ca="1"/>
        <v>0</v>
      </c>
      <c r="U50">
        <f ca="1"/>
        <v>5.0196381932136411E-3</v>
      </c>
      <c r="W50" s="2">
        <f t="shared" ca="1" si="1"/>
        <v>45167</v>
      </c>
      <c r="X50">
        <f t="shared" ca="1" si="2"/>
        <v>0</v>
      </c>
      <c r="Z50" s="63">
        <f t="shared" ca="1" si="4"/>
        <v>52.153885080529697</v>
      </c>
      <c r="AA50" s="63">
        <f t="shared" ca="1" si="5"/>
        <v>52.153885080529697</v>
      </c>
      <c r="AB50" s="3">
        <f t="shared" ca="1" si="6"/>
        <v>0</v>
      </c>
    </row>
    <row r="51" spans="1:28">
      <c r="A51" s="12"/>
      <c r="B51" s="13"/>
      <c r="G51" t="b">
        <f t="shared" ca="1" si="3"/>
        <v>1</v>
      </c>
      <c r="H51" t="b">
        <f t="shared" ca="1" si="0"/>
        <v>1</v>
      </c>
      <c r="I51" s="2">
        <f ca="1"/>
        <v>45168</v>
      </c>
      <c r="J51">
        <f ca="1"/>
        <v>52.359457053259703</v>
      </c>
      <c r="K51">
        <f ca="1"/>
        <v>0</v>
      </c>
      <c r="L51">
        <f ca="1"/>
        <v>-7.9754178901539241E-2</v>
      </c>
      <c r="M51">
        <f ca="1"/>
        <v>0.28532615163154579</v>
      </c>
      <c r="N51">
        <f ca="1"/>
        <v>0</v>
      </c>
      <c r="O51">
        <f ca="1"/>
        <v>0.96524946299463588</v>
      </c>
      <c r="P51">
        <f ca="1"/>
        <v>0.52735580417267902</v>
      </c>
      <c r="Q51">
        <f ca="1"/>
        <v>0</v>
      </c>
      <c r="R51">
        <f ca="1"/>
        <v>0.84526765241253299</v>
      </c>
      <c r="S51">
        <f ca="1"/>
        <v>0</v>
      </c>
      <c r="T51">
        <f ca="1"/>
        <v>0</v>
      </c>
      <c r="U51">
        <f ca="1"/>
        <v>5.0196381932136411E-3</v>
      </c>
      <c r="W51" s="2">
        <f t="shared" ca="1" si="1"/>
        <v>45168</v>
      </c>
      <c r="X51">
        <f t="shared" ca="1" si="2"/>
        <v>0</v>
      </c>
      <c r="Z51" s="63">
        <f t="shared" ca="1" si="4"/>
        <v>52.359457053259703</v>
      </c>
      <c r="AA51" s="63">
        <f t="shared" ca="1" si="5"/>
        <v>52.359457053259703</v>
      </c>
      <c r="AB51" s="3">
        <f t="shared" ca="1" si="6"/>
        <v>0</v>
      </c>
    </row>
    <row r="52" spans="1:28" ht="15" thickBot="1">
      <c r="A52" s="14"/>
      <c r="B52" s="15"/>
      <c r="G52" t="b">
        <f t="shared" ca="1" si="3"/>
        <v>1</v>
      </c>
      <c r="H52" t="b">
        <f t="shared" ca="1" si="0"/>
        <v>1</v>
      </c>
      <c r="I52" s="2">
        <f ca="1"/>
        <v>45169</v>
      </c>
      <c r="J52">
        <f ca="1"/>
        <v>52.537367819832653</v>
      </c>
      <c r="K52">
        <f ca="1"/>
        <v>0</v>
      </c>
      <c r="L52">
        <f ca="1"/>
        <v>-7.2112342446214228E-2</v>
      </c>
      <c r="M52">
        <f ca="1"/>
        <v>0.25002310901916347</v>
      </c>
      <c r="N52">
        <f ca="1"/>
        <v>0</v>
      </c>
      <c r="O52">
        <f ca="1"/>
        <v>0.96524946299463588</v>
      </c>
      <c r="P52">
        <f ca="1"/>
        <v>0.52735580417267902</v>
      </c>
      <c r="Q52">
        <f ca="1"/>
        <v>0</v>
      </c>
      <c r="R52">
        <f ca="1"/>
        <v>0.81579478361582169</v>
      </c>
      <c r="S52">
        <f ca="1"/>
        <v>0</v>
      </c>
      <c r="T52">
        <f ca="1"/>
        <v>0</v>
      </c>
      <c r="U52">
        <f ca="1"/>
        <v>5.0196381932136411E-3</v>
      </c>
      <c r="W52" s="2">
        <f t="shared" ca="1" si="1"/>
        <v>45169</v>
      </c>
      <c r="X52">
        <f t="shared" ca="1" si="2"/>
        <v>0</v>
      </c>
      <c r="Z52" s="63">
        <f t="shared" ca="1" si="4"/>
        <v>52.537367819832646</v>
      </c>
      <c r="AA52" s="63">
        <f t="shared" ca="1" si="5"/>
        <v>52.537367819832653</v>
      </c>
      <c r="AB52" s="3">
        <f t="shared" ca="1" si="6"/>
        <v>0</v>
      </c>
    </row>
    <row r="53" spans="1:28">
      <c r="G53" t="b">
        <f t="shared" ca="1" si="3"/>
        <v>1</v>
      </c>
      <c r="H53" t="b">
        <f t="shared" ca="1" si="0"/>
        <v>1</v>
      </c>
      <c r="I53" s="2">
        <f ca="1"/>
        <v>45170</v>
      </c>
      <c r="J53">
        <f ca="1"/>
        <v>52.723656514669777</v>
      </c>
      <c r="K53">
        <f ca="1"/>
        <v>0</v>
      </c>
      <c r="L53">
        <f ca="1"/>
        <v>-7.2745085297478695E-2</v>
      </c>
      <c r="M53">
        <f ca="1"/>
        <v>0.25903378013460349</v>
      </c>
      <c r="N53">
        <f ca="1"/>
        <v>0</v>
      </c>
      <c r="O53">
        <f ca="1"/>
        <v>0.96524946299463588</v>
      </c>
      <c r="P53">
        <f ca="1"/>
        <v>0.52735580417267902</v>
      </c>
      <c r="Q53">
        <f ca="1"/>
        <v>0</v>
      </c>
      <c r="R53">
        <f ca="1"/>
        <v>0.7882646316160522</v>
      </c>
      <c r="S53">
        <f ca="1"/>
        <v>0</v>
      </c>
      <c r="T53">
        <f ca="1"/>
        <v>0</v>
      </c>
      <c r="U53">
        <f ca="1"/>
        <v>5.0196381932136411E-3</v>
      </c>
      <c r="W53" s="2">
        <f t="shared" ca="1" si="1"/>
        <v>45170</v>
      </c>
      <c r="X53">
        <f t="shared" ca="1" si="2"/>
        <v>0</v>
      </c>
      <c r="Z53" s="63">
        <f t="shared" ca="1" si="4"/>
        <v>52.723656514669777</v>
      </c>
      <c r="AA53" s="63">
        <f t="shared" ca="1" si="5"/>
        <v>52.723656514669777</v>
      </c>
      <c r="AB53" s="3">
        <f t="shared" ca="1" si="6"/>
        <v>0</v>
      </c>
    </row>
    <row r="54" spans="1:28">
      <c r="G54" t="b">
        <f t="shared" ca="1" si="3"/>
        <v>1</v>
      </c>
      <c r="H54" t="b">
        <f t="shared" ca="1" si="0"/>
        <v>1</v>
      </c>
      <c r="I54" s="2">
        <f ca="1"/>
        <v>45171</v>
      </c>
      <c r="J54">
        <f ca="1"/>
        <v>52.913615789381382</v>
      </c>
      <c r="K54">
        <f ca="1"/>
        <v>0</v>
      </c>
      <c r="L54">
        <f ca="1"/>
        <v>-7.208332143324192E-2</v>
      </c>
      <c r="M54">
        <f ca="1"/>
        <v>0.26204259614484804</v>
      </c>
      <c r="N54">
        <f ca="1"/>
        <v>0</v>
      </c>
      <c r="O54">
        <f ca="1"/>
        <v>0.96524946299463588</v>
      </c>
      <c r="P54">
        <f ca="1"/>
        <v>0.52735580417267902</v>
      </c>
      <c r="Q54">
        <f ca="1"/>
        <v>0</v>
      </c>
      <c r="R54">
        <f ca="1"/>
        <v>0.76182636080582355</v>
      </c>
      <c r="S54">
        <f ca="1"/>
        <v>0</v>
      </c>
      <c r="T54">
        <f ca="1"/>
        <v>0</v>
      </c>
      <c r="U54">
        <f ca="1"/>
        <v>5.0196381932136411E-3</v>
      </c>
      <c r="W54" s="2">
        <f t="shared" ca="1" si="1"/>
        <v>45171</v>
      </c>
      <c r="X54">
        <f t="shared" ca="1" si="2"/>
        <v>0</v>
      </c>
      <c r="Z54" s="63">
        <f t="shared" ca="1" si="4"/>
        <v>52.913615789381382</v>
      </c>
      <c r="AA54" s="63">
        <f t="shared" ca="1" si="5"/>
        <v>52.913615789381382</v>
      </c>
      <c r="AB54" s="3">
        <f t="shared" ca="1" si="6"/>
        <v>0</v>
      </c>
    </row>
    <row r="55" spans="1:28">
      <c r="G55" t="b">
        <f t="shared" ca="1" si="3"/>
        <v>1</v>
      </c>
      <c r="H55" t="b">
        <f t="shared" ca="1" si="0"/>
        <v>1</v>
      </c>
      <c r="I55" s="2">
        <f ca="1"/>
        <v>45172</v>
      </c>
      <c r="J55">
        <f ca="1"/>
        <v>53.092380406715769</v>
      </c>
      <c r="K55">
        <f ca="1"/>
        <v>0</v>
      </c>
      <c r="L55">
        <f ca="1"/>
        <v>-6.7857516504867377E-2</v>
      </c>
      <c r="M55">
        <f ca="1"/>
        <v>0.24662213383925297</v>
      </c>
      <c r="N55">
        <f ca="1"/>
        <v>0</v>
      </c>
      <c r="O55">
        <f ca="1"/>
        <v>0.96524946299463588</v>
      </c>
      <c r="P55">
        <f ca="1"/>
        <v>0.52735580417267902</v>
      </c>
      <c r="Q55">
        <f ca="1"/>
        <v>0</v>
      </c>
      <c r="R55">
        <f ca="1"/>
        <v>0.737532529704236</v>
      </c>
      <c r="S55">
        <f ca="1"/>
        <v>0</v>
      </c>
      <c r="T55">
        <f ca="1"/>
        <v>0</v>
      </c>
      <c r="U55">
        <f ca="1"/>
        <v>5.0196381932136411E-3</v>
      </c>
      <c r="W55" s="2">
        <f t="shared" ca="1" si="1"/>
        <v>45172</v>
      </c>
      <c r="X55">
        <f t="shared" ca="1" si="2"/>
        <v>0</v>
      </c>
      <c r="Z55" s="63">
        <f t="shared" ca="1" si="4"/>
        <v>53.092380406715769</v>
      </c>
      <c r="AA55" s="63">
        <f t="shared" ca="1" si="5"/>
        <v>53.092380406715769</v>
      </c>
      <c r="AB55" s="3">
        <f t="shared" ca="1" si="6"/>
        <v>0</v>
      </c>
    </row>
    <row r="56" spans="1:28">
      <c r="G56" t="b">
        <f t="shared" ca="1" si="3"/>
        <v>1</v>
      </c>
      <c r="H56" t="b">
        <f t="shared" ca="1" si="0"/>
        <v>1</v>
      </c>
      <c r="I56" s="2">
        <f ca="1"/>
        <v>45173</v>
      </c>
      <c r="J56">
        <f ca="1"/>
        <v>53.265551700199246</v>
      </c>
      <c r="K56">
        <f ca="1"/>
        <v>0</v>
      </c>
      <c r="L56">
        <f ca="1"/>
        <v>-6.4995659817570939E-2</v>
      </c>
      <c r="M56">
        <f ca="1"/>
        <v>0.23816695330104456</v>
      </c>
      <c r="N56">
        <f ca="1"/>
        <v>0</v>
      </c>
      <c r="O56">
        <f ca="1"/>
        <v>0.96524946299463588</v>
      </c>
      <c r="P56">
        <f ca="1"/>
        <v>0.52735580417267902</v>
      </c>
      <c r="Q56">
        <f ca="1"/>
        <v>0</v>
      </c>
      <c r="R56">
        <f ca="1"/>
        <v>0.7134867880899074</v>
      </c>
      <c r="S56">
        <f ca="1"/>
        <v>0</v>
      </c>
      <c r="T56">
        <f ca="1"/>
        <v>0</v>
      </c>
      <c r="U56">
        <f ca="1"/>
        <v>5.0196381932136411E-3</v>
      </c>
      <c r="W56" s="2">
        <f t="shared" ca="1" si="1"/>
        <v>45173</v>
      </c>
      <c r="X56">
        <f t="shared" ca="1" si="2"/>
        <v>0</v>
      </c>
      <c r="Z56" s="63">
        <f t="shared" ca="1" si="4"/>
        <v>53.265551700199246</v>
      </c>
      <c r="AA56" s="63">
        <f t="shared" ca="1" si="5"/>
        <v>53.265551700199246</v>
      </c>
      <c r="AB56" s="3">
        <f t="shared" ca="1" si="6"/>
        <v>0</v>
      </c>
    </row>
    <row r="57" spans="1:28">
      <c r="G57" t="b">
        <f t="shared" ca="1" si="3"/>
        <v>1</v>
      </c>
      <c r="H57" t="b">
        <f t="shared" ca="1" si="0"/>
        <v>1</v>
      </c>
      <c r="I57" s="2">
        <f ca="1"/>
        <v>45174</v>
      </c>
      <c r="J57">
        <f ca="1"/>
        <v>53.430046303907574</v>
      </c>
      <c r="K57">
        <f ca="1"/>
        <v>0</v>
      </c>
      <c r="L57">
        <f ca="1"/>
        <v>-6.1349946358511431E-2</v>
      </c>
      <c r="M57">
        <f ca="1"/>
        <v>0.22584455006683762</v>
      </c>
      <c r="N57">
        <f ca="1"/>
        <v>0</v>
      </c>
      <c r="O57">
        <f ca="1"/>
        <v>0.96524946299463588</v>
      </c>
      <c r="P57">
        <f ca="1"/>
        <v>0.52735580417267902</v>
      </c>
      <c r="Q57">
        <f ca="1"/>
        <v>0</v>
      </c>
      <c r="R57">
        <f ca="1"/>
        <v>0.69215346936194344</v>
      </c>
      <c r="S57">
        <f ca="1"/>
        <v>0</v>
      </c>
      <c r="T57">
        <f ca="1"/>
        <v>0</v>
      </c>
      <c r="U57">
        <f ca="1"/>
        <v>5.0196381932136411E-3</v>
      </c>
      <c r="W57" s="2">
        <f t="shared" ca="1" si="1"/>
        <v>45174</v>
      </c>
      <c r="X57">
        <f t="shared" ca="1" si="2"/>
        <v>0</v>
      </c>
      <c r="Z57" s="63">
        <f t="shared" ca="1" si="4"/>
        <v>53.430046303907574</v>
      </c>
      <c r="AA57" s="63">
        <f t="shared" ca="1" si="5"/>
        <v>53.430046303907574</v>
      </c>
      <c r="AB57" s="3">
        <f t="shared" ca="1" si="6"/>
        <v>0</v>
      </c>
    </row>
    <row r="58" spans="1:28">
      <c r="G58" t="b">
        <f t="shared" ca="1" si="3"/>
        <v>1</v>
      </c>
      <c r="H58" t="b">
        <f t="shared" ca="1" si="0"/>
        <v>1</v>
      </c>
      <c r="I58" s="2">
        <f ca="1"/>
        <v>45175</v>
      </c>
      <c r="J58">
        <f ca="1"/>
        <v>53.598258322870713</v>
      </c>
      <c r="K58">
        <f ca="1"/>
        <v>0</v>
      </c>
      <c r="L58">
        <f ca="1"/>
        <v>-6.0615780872075753E-2</v>
      </c>
      <c r="M58">
        <f ca="1"/>
        <v>0.22882779983521645</v>
      </c>
      <c r="N58">
        <f ca="1"/>
        <v>0</v>
      </c>
      <c r="O58">
        <f ca="1"/>
        <v>0.96524946299463588</v>
      </c>
      <c r="P58">
        <f ca="1"/>
        <v>0.52735580417267902</v>
      </c>
      <c r="Q58">
        <f ca="1"/>
        <v>0</v>
      </c>
      <c r="R58">
        <f ca="1"/>
        <v>0.66869745187938667</v>
      </c>
      <c r="S58">
        <f ca="1"/>
        <v>0</v>
      </c>
      <c r="T58">
        <f ca="1"/>
        <v>0</v>
      </c>
      <c r="U58">
        <f ca="1"/>
        <v>5.0196381932136411E-3</v>
      </c>
      <c r="W58" s="2">
        <f t="shared" ca="1" si="1"/>
        <v>45175</v>
      </c>
      <c r="X58">
        <f t="shared" ca="1" si="2"/>
        <v>0</v>
      </c>
      <c r="Z58" s="63">
        <f t="shared" ca="1" si="4"/>
        <v>53.598258322870713</v>
      </c>
      <c r="AA58" s="63">
        <f t="shared" ca="1" si="5"/>
        <v>53.598258322870713</v>
      </c>
      <c r="AB58" s="3">
        <f t="shared" ca="1" si="6"/>
        <v>0</v>
      </c>
    </row>
    <row r="59" spans="1:28">
      <c r="G59" t="b">
        <f t="shared" ca="1" si="3"/>
        <v>1</v>
      </c>
      <c r="H59" t="b">
        <f t="shared" ca="1" si="0"/>
        <v>1</v>
      </c>
      <c r="I59" s="2">
        <f ca="1"/>
        <v>45176</v>
      </c>
      <c r="J59">
        <f ca="1"/>
        <v>53.761861401390298</v>
      </c>
      <c r="K59">
        <f ca="1"/>
        <v>0</v>
      </c>
      <c r="L59">
        <f ca="1"/>
        <v>-5.8301794619758596E-2</v>
      </c>
      <c r="M59">
        <f ca="1"/>
        <v>0.22190487313934631</v>
      </c>
      <c r="N59">
        <f ca="1"/>
        <v>0</v>
      </c>
      <c r="O59">
        <f ca="1"/>
        <v>0.96524946299463588</v>
      </c>
      <c r="P59">
        <f ca="1"/>
        <v>0.52735580417267902</v>
      </c>
      <c r="Q59">
        <f ca="1"/>
        <v>0</v>
      </c>
      <c r="R59">
        <f ca="1"/>
        <v>0.64104769709834097</v>
      </c>
      <c r="S59">
        <f ca="1"/>
        <v>0</v>
      </c>
      <c r="T59">
        <f ca="1"/>
        <v>0</v>
      </c>
      <c r="U59">
        <f ca="1"/>
        <v>5.0196381932136411E-3</v>
      </c>
      <c r="W59" s="2">
        <f t="shared" ca="1" si="1"/>
        <v>45176</v>
      </c>
      <c r="X59">
        <f t="shared" ca="1" si="2"/>
        <v>0</v>
      </c>
      <c r="Z59" s="63">
        <f t="shared" ca="1" si="4"/>
        <v>53.761861401390298</v>
      </c>
      <c r="AA59" s="63">
        <f t="shared" ca="1" si="5"/>
        <v>53.761861401390298</v>
      </c>
      <c r="AB59" s="3">
        <f t="shared" ca="1" si="6"/>
        <v>0</v>
      </c>
    </row>
    <row r="60" spans="1:28">
      <c r="A60" s="1"/>
      <c r="B60" s="1"/>
      <c r="G60" t="b">
        <f t="shared" ca="1" si="3"/>
        <v>1</v>
      </c>
      <c r="H60" t="b">
        <f t="shared" ca="1" si="0"/>
        <v>1</v>
      </c>
      <c r="I60" s="2">
        <f ca="1"/>
        <v>45177</v>
      </c>
      <c r="J60">
        <f ca="1"/>
        <v>53.914366269600379</v>
      </c>
      <c r="K60">
        <f ca="1"/>
        <v>0</v>
      </c>
      <c r="L60">
        <f ca="1"/>
        <v>-5.4424515424133624E-2</v>
      </c>
      <c r="M60">
        <f ca="1"/>
        <v>0.20692938363421104</v>
      </c>
      <c r="N60">
        <f ca="1"/>
        <v>0</v>
      </c>
      <c r="O60">
        <f ca="1"/>
        <v>0.96524946299463588</v>
      </c>
      <c r="P60">
        <f ca="1"/>
        <v>0.52735580417267902</v>
      </c>
      <c r="Q60">
        <f ca="1"/>
        <v>0</v>
      </c>
      <c r="R60">
        <f ca="1"/>
        <v>0.61716709960673544</v>
      </c>
      <c r="S60">
        <f ca="1"/>
        <v>0</v>
      </c>
      <c r="T60">
        <f ca="1"/>
        <v>0</v>
      </c>
      <c r="U60">
        <f ca="1"/>
        <v>5.0196381932136411E-3</v>
      </c>
      <c r="W60" s="2">
        <f t="shared" ca="1" si="1"/>
        <v>45177</v>
      </c>
      <c r="X60">
        <f t="shared" ca="1" si="2"/>
        <v>0</v>
      </c>
      <c r="Z60" s="63">
        <f t="shared" ca="1" si="4"/>
        <v>53.914366269600379</v>
      </c>
      <c r="AA60" s="63">
        <f t="shared" ca="1" si="5"/>
        <v>53.914366269600379</v>
      </c>
      <c r="AB60" s="3">
        <f t="shared" ca="1" si="6"/>
        <v>0</v>
      </c>
    </row>
    <row r="61" spans="1:28">
      <c r="G61" t="b">
        <f t="shared" ca="1" si="3"/>
        <v>1</v>
      </c>
      <c r="H61" t="b">
        <f t="shared" ca="1" si="0"/>
        <v>1</v>
      </c>
      <c r="I61" s="2">
        <f ca="1"/>
        <v>45178</v>
      </c>
      <c r="J61">
        <f ca="1"/>
        <v>54.053830177980522</v>
      </c>
      <c r="K61">
        <f ca="1"/>
        <v>0</v>
      </c>
      <c r="L61">
        <f ca="1"/>
        <v>-5.0113516323109231E-2</v>
      </c>
      <c r="M61">
        <f ca="1"/>
        <v>0.18957742470324926</v>
      </c>
      <c r="N61">
        <f ca="1"/>
        <v>0</v>
      </c>
      <c r="O61">
        <f ca="1"/>
        <v>0.96524946299463588</v>
      </c>
      <c r="P61">
        <f ca="1"/>
        <v>0.52735580417267902</v>
      </c>
      <c r="Q61">
        <f ca="1"/>
        <v>0</v>
      </c>
      <c r="R61">
        <f ca="1"/>
        <v>0.59696870495184029</v>
      </c>
      <c r="S61">
        <f ca="1"/>
        <v>0</v>
      </c>
      <c r="T61">
        <f ca="1"/>
        <v>0</v>
      </c>
      <c r="U61">
        <f ca="1"/>
        <v>5.0196381932136411E-3</v>
      </c>
      <c r="W61" s="2">
        <f t="shared" ca="1" si="1"/>
        <v>45178</v>
      </c>
      <c r="X61">
        <f t="shared" ca="1" si="2"/>
        <v>0</v>
      </c>
      <c r="Z61" s="63">
        <f t="shared" ca="1" si="4"/>
        <v>54.053830177980522</v>
      </c>
      <c r="AA61" s="63">
        <f t="shared" ca="1" si="5"/>
        <v>54.053830177980522</v>
      </c>
      <c r="AB61" s="3">
        <f t="shared" ca="1" si="6"/>
        <v>0</v>
      </c>
    </row>
    <row r="62" spans="1:28">
      <c r="G62" t="b">
        <f t="shared" ca="1" si="3"/>
        <v>1</v>
      </c>
      <c r="H62" t="b">
        <f t="shared" ca="1" si="0"/>
        <v>1</v>
      </c>
      <c r="I62" s="2">
        <f ca="1"/>
        <v>45179</v>
      </c>
      <c r="J62">
        <f ca="1"/>
        <v>54.206138083695521</v>
      </c>
      <c r="K62">
        <f ca="1"/>
        <v>0</v>
      </c>
      <c r="L62">
        <f ca="1"/>
        <v>-5.1388175417711679E-2</v>
      </c>
      <c r="M62">
        <f ca="1"/>
        <v>0.20369608113271093</v>
      </c>
      <c r="N62">
        <f ca="1"/>
        <v>0</v>
      </c>
      <c r="O62">
        <f ca="1"/>
        <v>0.96524946299463588</v>
      </c>
      <c r="P62">
        <f ca="1"/>
        <v>0.52735580417267902</v>
      </c>
      <c r="Q62">
        <f ca="1"/>
        <v>0</v>
      </c>
      <c r="R62">
        <f ca="1"/>
        <v>0.57379558696120747</v>
      </c>
      <c r="S62">
        <f ca="1"/>
        <v>0</v>
      </c>
      <c r="T62">
        <f ca="1"/>
        <v>0</v>
      </c>
      <c r="U62">
        <f ca="1"/>
        <v>5.0196381932136411E-3</v>
      </c>
      <c r="W62" s="2">
        <f t="shared" ca="1" si="1"/>
        <v>45179</v>
      </c>
      <c r="X62">
        <f t="shared" ca="1" si="2"/>
        <v>0</v>
      </c>
      <c r="Z62" s="63">
        <f t="shared" ca="1" si="4"/>
        <v>54.206138083695521</v>
      </c>
      <c r="AA62" s="63">
        <f t="shared" ca="1" si="5"/>
        <v>54.206138083695521</v>
      </c>
      <c r="AB62" s="3">
        <f t="shared" ca="1" si="6"/>
        <v>0</v>
      </c>
    </row>
    <row r="63" spans="1:28">
      <c r="G63" t="b">
        <f t="shared" ca="1" si="3"/>
        <v>1</v>
      </c>
      <c r="H63" t="b">
        <f t="shared" ca="1" si="0"/>
        <v>1</v>
      </c>
      <c r="I63" s="2">
        <f ca="1"/>
        <v>45180</v>
      </c>
      <c r="J63">
        <f ca="1"/>
        <v>54.367896472659993</v>
      </c>
      <c r="K63">
        <f ca="1"/>
        <v>0</v>
      </c>
      <c r="L63">
        <f ca="1"/>
        <v>-5.1477708861368932E-2</v>
      </c>
      <c r="M63">
        <f ca="1"/>
        <v>0.21323609782584502</v>
      </c>
      <c r="N63">
        <f ca="1"/>
        <v>0</v>
      </c>
      <c r="O63">
        <f ca="1"/>
        <v>0.96524946299463588</v>
      </c>
      <c r="P63">
        <f ca="1"/>
        <v>0.52735580417267902</v>
      </c>
      <c r="Q63">
        <f ca="1"/>
        <v>0</v>
      </c>
      <c r="R63">
        <f ca="1"/>
        <v>0.55526562509174748</v>
      </c>
      <c r="S63">
        <f ca="1"/>
        <v>0</v>
      </c>
      <c r="T63">
        <f ca="1"/>
        <v>0</v>
      </c>
      <c r="U63">
        <f ca="1"/>
        <v>5.0196381932136411E-3</v>
      </c>
      <c r="W63" s="2">
        <f t="shared" ca="1" si="1"/>
        <v>45180</v>
      </c>
      <c r="X63">
        <f t="shared" ca="1" si="2"/>
        <v>0</v>
      </c>
      <c r="Z63" s="63">
        <f t="shared" ca="1" si="4"/>
        <v>54.367896472659993</v>
      </c>
      <c r="AA63" s="63">
        <f t="shared" ca="1" si="5"/>
        <v>54.367896472659993</v>
      </c>
      <c r="AB63" s="3">
        <f t="shared" ca="1" si="6"/>
        <v>0</v>
      </c>
    </row>
    <row r="64" spans="1:28">
      <c r="G64" t="b">
        <f t="shared" ca="1" si="3"/>
        <v>1</v>
      </c>
      <c r="H64" t="b">
        <f t="shared" ca="1" si="0"/>
        <v>1</v>
      </c>
      <c r="I64" s="2">
        <f ca="1"/>
        <v>45181</v>
      </c>
      <c r="J64">
        <f ca="1"/>
        <v>54.525106570474733</v>
      </c>
      <c r="K64">
        <f ca="1"/>
        <v>0</v>
      </c>
      <c r="L64">
        <f ca="1"/>
        <v>-4.8734869133018499E-2</v>
      </c>
      <c r="M64">
        <f ca="1"/>
        <v>0.20594496694776357</v>
      </c>
      <c r="N64">
        <f ca="1"/>
        <v>0</v>
      </c>
      <c r="O64">
        <f ca="1"/>
        <v>0.96524946299463588</v>
      </c>
      <c r="P64">
        <f ca="1"/>
        <v>0.52735580417267902</v>
      </c>
      <c r="Q64">
        <f ca="1"/>
        <v>0</v>
      </c>
      <c r="R64">
        <f ca="1"/>
        <v>0.53580368505871001</v>
      </c>
      <c r="S64">
        <f ca="1"/>
        <v>0</v>
      </c>
      <c r="T64">
        <f ca="1"/>
        <v>0</v>
      </c>
      <c r="U64">
        <f ca="1"/>
        <v>5.0196381932136411E-3</v>
      </c>
      <c r="W64" s="2">
        <f t="shared" ca="1" si="1"/>
        <v>45181</v>
      </c>
      <c r="X64">
        <f t="shared" ca="1" si="2"/>
        <v>0</v>
      </c>
      <c r="Z64" s="63">
        <f t="shared" ca="1" si="4"/>
        <v>54.525106570474733</v>
      </c>
      <c r="AA64" s="63">
        <f t="shared" ca="1" si="5"/>
        <v>54.525106570474733</v>
      </c>
      <c r="AB64" s="3">
        <f t="shared" ca="1" si="6"/>
        <v>0</v>
      </c>
    </row>
    <row r="65" spans="7:28">
      <c r="G65" t="b">
        <f t="shared" ca="1" si="3"/>
        <v>1</v>
      </c>
      <c r="H65" t="b">
        <f t="shared" ca="1" si="0"/>
        <v>1</v>
      </c>
      <c r="I65" s="2">
        <f ca="1"/>
        <v>45182</v>
      </c>
      <c r="J65">
        <f ca="1"/>
        <v>54.676670645666391</v>
      </c>
      <c r="K65">
        <f ca="1"/>
        <v>0</v>
      </c>
      <c r="L65">
        <f ca="1"/>
        <v>-4.5650286861944167E-2</v>
      </c>
      <c r="M65">
        <f ca="1"/>
        <v>0.19721436205360326</v>
      </c>
      <c r="N65">
        <f ca="1"/>
        <v>0</v>
      </c>
      <c r="O65">
        <f ca="1"/>
        <v>0.96524946299463588</v>
      </c>
      <c r="P65">
        <f ca="1"/>
        <v>0.52735580417267902</v>
      </c>
      <c r="Q65">
        <f ca="1"/>
        <v>0</v>
      </c>
      <c r="R65">
        <f ca="1"/>
        <v>0.52122796213593448</v>
      </c>
      <c r="S65">
        <f ca="1"/>
        <v>0</v>
      </c>
      <c r="T65">
        <f ca="1"/>
        <v>0</v>
      </c>
      <c r="U65">
        <f ca="1"/>
        <v>5.0196381932136411E-3</v>
      </c>
      <c r="W65" s="2">
        <f t="shared" ca="1" si="1"/>
        <v>45182</v>
      </c>
      <c r="X65">
        <f t="shared" ca="1" si="2"/>
        <v>0</v>
      </c>
      <c r="Z65" s="63">
        <f t="shared" ca="1" si="4"/>
        <v>54.676670645666391</v>
      </c>
      <c r="AA65" s="63">
        <f t="shared" ca="1" si="5"/>
        <v>54.676670645666391</v>
      </c>
      <c r="AB65" s="3">
        <f t="shared" ca="1" si="6"/>
        <v>0</v>
      </c>
    </row>
    <row r="66" spans="7:28">
      <c r="G66" t="b">
        <f t="shared" ca="1" si="3"/>
        <v>1</v>
      </c>
      <c r="H66" t="b">
        <f t="shared" ca="1" si="0"/>
        <v>1</v>
      </c>
      <c r="I66" s="2">
        <f ca="1"/>
        <v>45183</v>
      </c>
      <c r="J66">
        <f ca="1"/>
        <v>54.833068675327837</v>
      </c>
      <c r="K66">
        <f ca="1"/>
        <v>0</v>
      </c>
      <c r="L66">
        <f ca="1"/>
        <v>-4.4893360743446742E-2</v>
      </c>
      <c r="M66">
        <f ca="1"/>
        <v>0.20129139040489355</v>
      </c>
      <c r="N66">
        <f ca="1"/>
        <v>0</v>
      </c>
      <c r="O66">
        <f ca="1"/>
        <v>0.96524946299463588</v>
      </c>
      <c r="P66">
        <f ca="1"/>
        <v>0.52735580417267902</v>
      </c>
      <c r="Q66">
        <f ca="1"/>
        <v>0</v>
      </c>
      <c r="R66">
        <f ca="1"/>
        <v>0.500463574529322</v>
      </c>
      <c r="S66">
        <f ca="1"/>
        <v>0</v>
      </c>
      <c r="T66">
        <f ca="1"/>
        <v>0</v>
      </c>
      <c r="U66">
        <f ca="1"/>
        <v>5.0196381932136411E-3</v>
      </c>
      <c r="W66" s="2">
        <f t="shared" ca="1" si="1"/>
        <v>45183</v>
      </c>
      <c r="X66">
        <f t="shared" ca="1" si="2"/>
        <v>0</v>
      </c>
      <c r="Z66" s="63">
        <f t="shared" ca="1" si="4"/>
        <v>54.833068675327837</v>
      </c>
      <c r="AA66" s="63">
        <f t="shared" ca="1" si="5"/>
        <v>54.833068675327837</v>
      </c>
      <c r="AB66" s="3">
        <f t="shared" ca="1" si="6"/>
        <v>0</v>
      </c>
    </row>
    <row r="67" spans="7:28">
      <c r="G67" t="b">
        <f t="shared" ca="1" si="3"/>
        <v>1</v>
      </c>
      <c r="H67" t="b">
        <f t="shared" ca="1" si="0"/>
        <v>1</v>
      </c>
      <c r="I67" s="2">
        <f ca="1"/>
        <v>45184</v>
      </c>
      <c r="J67">
        <f ca="1"/>
        <v>55.00102183318937</v>
      </c>
      <c r="K67">
        <f ca="1"/>
        <v>0</v>
      </c>
      <c r="L67">
        <f ca="1"/>
        <v>-4.2990421227554698E-2</v>
      </c>
      <c r="M67">
        <f ca="1"/>
        <v>0.21094357908908923</v>
      </c>
      <c r="N67">
        <f ca="1"/>
        <v>0</v>
      </c>
      <c r="O67">
        <f ca="1"/>
        <v>0.96524946299463588</v>
      </c>
      <c r="P67">
        <f ca="1"/>
        <v>0.52735580417267902</v>
      </c>
      <c r="Q67">
        <f ca="1"/>
        <v>0</v>
      </c>
      <c r="R67">
        <f ca="1"/>
        <v>0.47747178430801457</v>
      </c>
      <c r="S67">
        <f ca="1"/>
        <v>0</v>
      </c>
      <c r="T67">
        <f ca="1"/>
        <v>0</v>
      </c>
      <c r="U67">
        <f ca="1"/>
        <v>5.0196381932136411E-3</v>
      </c>
      <c r="W67" s="2">
        <f t="shared" ca="1" si="1"/>
        <v>45184</v>
      </c>
      <c r="X67">
        <f t="shared" ca="1" si="2"/>
        <v>0</v>
      </c>
      <c r="Z67" s="63">
        <f t="shared" ca="1" si="4"/>
        <v>55.00102183318937</v>
      </c>
      <c r="AA67" s="63">
        <f t="shared" ca="1" si="5"/>
        <v>55.00102183318937</v>
      </c>
      <c r="AB67" s="3">
        <f t="shared" ca="1" si="6"/>
        <v>0</v>
      </c>
    </row>
    <row r="68" spans="7:28">
      <c r="G68" t="b">
        <f t="shared" ca="1" si="3"/>
        <v>1</v>
      </c>
      <c r="H68" t="b">
        <f t="shared" ca="1" si="0"/>
        <v>1</v>
      </c>
      <c r="I68" s="2">
        <f ca="1"/>
        <v>45185</v>
      </c>
      <c r="J68">
        <f ca="1"/>
        <v>55.16362878700253</v>
      </c>
      <c r="K68">
        <f ca="1"/>
        <v>0</v>
      </c>
      <c r="L68">
        <f ca="1"/>
        <v>-3.8227120846703322E-2</v>
      </c>
      <c r="M68">
        <f ca="1"/>
        <v>0.200834074659865</v>
      </c>
      <c r="N68">
        <f ca="1"/>
        <v>0</v>
      </c>
      <c r="O68">
        <f ca="1"/>
        <v>0.96524946299463588</v>
      </c>
      <c r="P68">
        <f ca="1"/>
        <v>0.52735580417267902</v>
      </c>
      <c r="Q68">
        <f ca="1"/>
        <v>0</v>
      </c>
      <c r="R68">
        <f ca="1"/>
        <v>0.45230003260431184</v>
      </c>
      <c r="S68">
        <f ca="1"/>
        <v>0</v>
      </c>
      <c r="T68">
        <f ca="1"/>
        <v>0</v>
      </c>
      <c r="U68">
        <f ca="1"/>
        <v>5.0196381932136411E-3</v>
      </c>
      <c r="W68" s="2">
        <f t="shared" ca="1" si="1"/>
        <v>45185</v>
      </c>
      <c r="X68">
        <f t="shared" ca="1" si="2"/>
        <v>0</v>
      </c>
      <c r="Z68" s="63">
        <f t="shared" ca="1" si="4"/>
        <v>55.16362878700253</v>
      </c>
      <c r="AA68" s="63">
        <f t="shared" ca="1" si="5"/>
        <v>55.16362878700253</v>
      </c>
      <c r="AB68" s="3">
        <f t="shared" ca="1" si="6"/>
        <v>0</v>
      </c>
    </row>
    <row r="69" spans="7:28">
      <c r="G69" t="b">
        <f t="shared" ca="1" si="3"/>
        <v>1</v>
      </c>
      <c r="H69" t="b">
        <f t="shared" ca="1" si="0"/>
        <v>1</v>
      </c>
      <c r="I69" s="2">
        <f ca="1"/>
        <v>45186</v>
      </c>
      <c r="J69">
        <f ca="1"/>
        <v>55.31411993527135</v>
      </c>
      <c r="K69">
        <f ca="1"/>
        <v>0</v>
      </c>
      <c r="L69">
        <f ca="1"/>
        <v>-3.3210537557645914E-2</v>
      </c>
      <c r="M69">
        <f ca="1"/>
        <v>0.18370168582645999</v>
      </c>
      <c r="N69">
        <f ca="1"/>
        <v>0</v>
      </c>
      <c r="O69">
        <f ca="1"/>
        <v>0.96524946299463588</v>
      </c>
      <c r="P69">
        <f ca="1"/>
        <v>0.52735580417267902</v>
      </c>
      <c r="Q69">
        <f ca="1"/>
        <v>0</v>
      </c>
      <c r="R69">
        <f ca="1"/>
        <v>0.43087903141692147</v>
      </c>
      <c r="S69">
        <f ca="1"/>
        <v>0</v>
      </c>
      <c r="T69">
        <f ca="1"/>
        <v>0</v>
      </c>
      <c r="U69">
        <f ca="1"/>
        <v>5.0196381932136411E-3</v>
      </c>
      <c r="W69" s="2">
        <f t="shared" ca="1" si="1"/>
        <v>45186</v>
      </c>
      <c r="X69">
        <f t="shared" ca="1" si="2"/>
        <v>0</v>
      </c>
      <c r="Z69" s="63">
        <f t="shared" ca="1" si="4"/>
        <v>55.31411993527135</v>
      </c>
      <c r="AA69" s="63">
        <f t="shared" ca="1" si="5"/>
        <v>55.31411993527135</v>
      </c>
      <c r="AB69" s="3">
        <f t="shared" ca="1" si="6"/>
        <v>0</v>
      </c>
    </row>
    <row r="70" spans="7:28">
      <c r="G70" t="b">
        <f t="shared" ca="1" si="3"/>
        <v>1</v>
      </c>
      <c r="H70" t="b">
        <f t="shared" ca="1" si="0"/>
        <v>1</v>
      </c>
      <c r="I70" s="2">
        <f ca="1"/>
        <v>45187</v>
      </c>
      <c r="J70">
        <f ca="1"/>
        <v>55.45995197209551</v>
      </c>
      <c r="K70">
        <f ca="1"/>
        <v>0</v>
      </c>
      <c r="L70">
        <f ca="1"/>
        <v>-3.0148115950591858E-2</v>
      </c>
      <c r="M70">
        <f ca="1"/>
        <v>0.17598015277475437</v>
      </c>
      <c r="N70">
        <f ca="1"/>
        <v>0</v>
      </c>
      <c r="O70">
        <f ca="1"/>
        <v>0.96524946299463588</v>
      </c>
      <c r="P70">
        <f ca="1"/>
        <v>0.52735580417267902</v>
      </c>
      <c r="Q70">
        <f ca="1"/>
        <v>0</v>
      </c>
      <c r="R70">
        <f ca="1"/>
        <v>0.41668621700550335</v>
      </c>
      <c r="S70">
        <f ca="1"/>
        <v>0</v>
      </c>
      <c r="T70">
        <f ca="1"/>
        <v>0</v>
      </c>
      <c r="U70">
        <f ca="1"/>
        <v>5.0196381932136411E-3</v>
      </c>
      <c r="W70" s="2">
        <f t="shared" ca="1" si="1"/>
        <v>45187</v>
      </c>
      <c r="X70">
        <f t="shared" ca="1" si="2"/>
        <v>0</v>
      </c>
      <c r="Z70" s="63">
        <f t="shared" ca="1" si="4"/>
        <v>55.45995197209551</v>
      </c>
      <c r="AA70" s="63">
        <f t="shared" ca="1" si="5"/>
        <v>55.45995197209551</v>
      </c>
      <c r="AB70" s="3">
        <f t="shared" ca="1" si="6"/>
        <v>0</v>
      </c>
    </row>
    <row r="71" spans="7:28">
      <c r="G71" t="b">
        <f t="shared" ca="1" si="3"/>
        <v>1</v>
      </c>
      <c r="H71" t="b">
        <f t="shared" ref="H71:H134" ca="1" si="7">AND(IF(I71&gt;($I$3-1),TRUE,FALSE),IF(I71&lt;($I$4+1),TRUE,FALSE))</f>
        <v>1</v>
      </c>
      <c r="I71" s="2">
        <f ca="1"/>
        <v>45188</v>
      </c>
      <c r="J71">
        <f ca="1"/>
        <v>55.609653071433442</v>
      </c>
      <c r="K71">
        <f ca="1"/>
        <v>0</v>
      </c>
      <c r="L71">
        <f ca="1"/>
        <v>-2.8541254343376288E-2</v>
      </c>
      <c r="M71">
        <f ca="1"/>
        <v>0.17824235368130401</v>
      </c>
      <c r="N71">
        <f ca="1"/>
        <v>0</v>
      </c>
      <c r="O71">
        <f ca="1"/>
        <v>0.96524946299463588</v>
      </c>
      <c r="P71">
        <f ca="1"/>
        <v>0.52735580417267902</v>
      </c>
      <c r="Q71">
        <f ca="1"/>
        <v>0</v>
      </c>
      <c r="R71">
        <f ca="1"/>
        <v>0.40483983839691318</v>
      </c>
      <c r="S71">
        <f ca="1"/>
        <v>0</v>
      </c>
      <c r="T71">
        <f ca="1"/>
        <v>0</v>
      </c>
      <c r="U71">
        <f ca="1"/>
        <v>5.0196381932136411E-3</v>
      </c>
      <c r="W71" s="2">
        <f t="shared" ref="W71:W134" ca="1" si="8">IFERROR(I71,$W$5)</f>
        <v>45188</v>
      </c>
      <c r="X71">
        <f t="shared" ref="X71:X134" ca="1" si="9">IFERROR(N71,0)</f>
        <v>0</v>
      </c>
      <c r="Z71" s="63">
        <f t="shared" ca="1" si="4"/>
        <v>55.609653071433442</v>
      </c>
      <c r="AA71" s="63">
        <f t="shared" ca="1" si="5"/>
        <v>55.609653071433442</v>
      </c>
      <c r="AB71" s="3">
        <f t="shared" ca="1" si="6"/>
        <v>0</v>
      </c>
    </row>
    <row r="72" spans="7:28">
      <c r="G72" t="b">
        <f t="shared" ref="G72:G135" ca="1" si="10">IF(I72&lt;$I$4,TRUE,FALSE)</f>
        <v>1</v>
      </c>
      <c r="H72" t="b">
        <f t="shared" ca="1" si="7"/>
        <v>1</v>
      </c>
      <c r="I72" s="2">
        <f ca="1"/>
        <v>45189</v>
      </c>
      <c r="J72">
        <f ca="1"/>
        <v>55.752818188737443</v>
      </c>
      <c r="K72">
        <f ca="1"/>
        <v>0</v>
      </c>
      <c r="L72">
        <f ca="1"/>
        <v>-2.5752931316807448E-2</v>
      </c>
      <c r="M72">
        <f ca="1"/>
        <v>0.16891804862080895</v>
      </c>
      <c r="N72">
        <f ca="1"/>
        <v>0</v>
      </c>
      <c r="O72">
        <f ca="1"/>
        <v>0.96524946299463588</v>
      </c>
      <c r="P72">
        <f ca="1"/>
        <v>0.52735580417267902</v>
      </c>
      <c r="Q72">
        <f ca="1"/>
        <v>0</v>
      </c>
      <c r="R72">
        <f ca="1"/>
        <v>0.3921619972352931</v>
      </c>
      <c r="S72">
        <f ca="1"/>
        <v>0</v>
      </c>
      <c r="T72">
        <f ca="1"/>
        <v>0</v>
      </c>
      <c r="U72">
        <f ca="1"/>
        <v>5.0196381932136411E-3</v>
      </c>
      <c r="W72" s="2">
        <f t="shared" ca="1" si="8"/>
        <v>45189</v>
      </c>
      <c r="X72">
        <f t="shared" ca="1" si="9"/>
        <v>0</v>
      </c>
      <c r="Z72" s="63">
        <f t="shared" ca="1" si="4"/>
        <v>55.752818188737443</v>
      </c>
      <c r="AA72" s="63">
        <f t="shared" ca="1" si="5"/>
        <v>55.752818188737443</v>
      </c>
      <c r="AB72" s="3">
        <f t="shared" ca="1" si="6"/>
        <v>0</v>
      </c>
    </row>
    <row r="73" spans="7:28">
      <c r="G73" t="b">
        <f t="shared" ca="1" si="10"/>
        <v>1</v>
      </c>
      <c r="H73" t="b">
        <f t="shared" ca="1" si="7"/>
        <v>1</v>
      </c>
      <c r="I73" s="2">
        <f ca="1"/>
        <v>45190</v>
      </c>
      <c r="J73">
        <f ca="1"/>
        <v>55.902221040692176</v>
      </c>
      <c r="K73">
        <f ca="1"/>
        <v>0</v>
      </c>
      <c r="L73">
        <f ca="1"/>
        <v>-2.456335270581711E-2</v>
      </c>
      <c r="M73">
        <f ca="1"/>
        <v>0.17396620466054905</v>
      </c>
      <c r="N73">
        <f ca="1"/>
        <v>0</v>
      </c>
      <c r="O73">
        <f ca="1"/>
        <v>0.96524946299463588</v>
      </c>
      <c r="P73">
        <f ca="1"/>
        <v>0.52735580417267902</v>
      </c>
      <c r="Q73">
        <f ca="1"/>
        <v>0</v>
      </c>
      <c r="R73">
        <f ca="1"/>
        <v>0.37836706047932239</v>
      </c>
      <c r="S73">
        <f ca="1"/>
        <v>0</v>
      </c>
      <c r="T73">
        <f ca="1"/>
        <v>0</v>
      </c>
      <c r="U73">
        <f ca="1"/>
        <v>5.0196381932136411E-3</v>
      </c>
      <c r="W73" s="2">
        <f t="shared" ca="1" si="8"/>
        <v>45190</v>
      </c>
      <c r="X73">
        <f t="shared" ca="1" si="9"/>
        <v>0</v>
      </c>
      <c r="Z73" s="63">
        <f t="shared" ref="Z73:Z136" ca="1" si="11">J72+L73+M73+N73</f>
        <v>55.902221040692176</v>
      </c>
      <c r="AA73" s="63">
        <f t="shared" ref="AA73:AA136" ca="1" si="12">J73+K73+Q73</f>
        <v>55.902221040692176</v>
      </c>
      <c r="AB73" s="3">
        <f t="shared" ref="AB73:AB136" ca="1" si="13">AA73-Z73</f>
        <v>0</v>
      </c>
    </row>
    <row r="74" spans="7:28">
      <c r="G74" t="b">
        <f t="shared" ca="1" si="10"/>
        <v>1</v>
      </c>
      <c r="H74" t="b">
        <f t="shared" ca="1" si="7"/>
        <v>1</v>
      </c>
      <c r="I74" s="2">
        <f ca="1"/>
        <v>45191</v>
      </c>
      <c r="J74">
        <f ca="1"/>
        <v>56.045648042605457</v>
      </c>
      <c r="K74">
        <f ca="1"/>
        <v>0</v>
      </c>
      <c r="L74">
        <f ca="1"/>
        <v>-2.2213290621306392E-2</v>
      </c>
      <c r="M74">
        <f ca="1"/>
        <v>0.1656402925345912</v>
      </c>
      <c r="N74">
        <f ca="1"/>
        <v>0</v>
      </c>
      <c r="O74">
        <f ca="1"/>
        <v>0.96524946299463588</v>
      </c>
      <c r="P74">
        <f ca="1"/>
        <v>0.52735580417267902</v>
      </c>
      <c r="Q74">
        <f ca="1"/>
        <v>0</v>
      </c>
      <c r="R74">
        <f ca="1"/>
        <v>0.36592504321091707</v>
      </c>
      <c r="S74">
        <f ca="1"/>
        <v>0</v>
      </c>
      <c r="T74">
        <f ca="1"/>
        <v>0</v>
      </c>
      <c r="U74">
        <f ca="1"/>
        <v>5.0196381932136411E-3</v>
      </c>
      <c r="W74" s="2">
        <f t="shared" ca="1" si="8"/>
        <v>45191</v>
      </c>
      <c r="X74">
        <f t="shared" ca="1" si="9"/>
        <v>0</v>
      </c>
      <c r="Z74" s="63">
        <f t="shared" ca="1" si="11"/>
        <v>56.045648042605457</v>
      </c>
      <c r="AA74" s="63">
        <f t="shared" ca="1" si="12"/>
        <v>56.045648042605457</v>
      </c>
      <c r="AB74" s="3">
        <f t="shared" ca="1" si="13"/>
        <v>0</v>
      </c>
    </row>
    <row r="75" spans="7:28">
      <c r="G75" t="b">
        <f t="shared" ca="1" si="10"/>
        <v>1</v>
      </c>
      <c r="H75" t="b">
        <f t="shared" ca="1" si="7"/>
        <v>1</v>
      </c>
      <c r="I75" s="2">
        <f ca="1"/>
        <v>45192</v>
      </c>
      <c r="J75">
        <f ca="1"/>
        <v>56.184953007427602</v>
      </c>
      <c r="K75">
        <f ca="1"/>
        <v>0</v>
      </c>
      <c r="L75">
        <f ca="1"/>
        <v>-2.0163493339757643E-2</v>
      </c>
      <c r="M75">
        <f ca="1"/>
        <v>0.15946845816190261</v>
      </c>
      <c r="N75">
        <f ca="1"/>
        <v>0</v>
      </c>
      <c r="O75">
        <f ca="1"/>
        <v>0.96524946299463588</v>
      </c>
      <c r="P75">
        <f ca="1"/>
        <v>0.52735580417267902</v>
      </c>
      <c r="Q75">
        <f ca="1"/>
        <v>0</v>
      </c>
      <c r="R75">
        <f ca="1"/>
        <v>0.35122212784551105</v>
      </c>
      <c r="S75">
        <f ca="1"/>
        <v>0</v>
      </c>
      <c r="T75">
        <f ca="1"/>
        <v>0</v>
      </c>
      <c r="U75">
        <f ca="1"/>
        <v>5.0196381932136411E-3</v>
      </c>
      <c r="W75" s="2">
        <f t="shared" ca="1" si="8"/>
        <v>45192</v>
      </c>
      <c r="X75">
        <f t="shared" ca="1" si="9"/>
        <v>0</v>
      </c>
      <c r="Z75" s="63">
        <f t="shared" ca="1" si="11"/>
        <v>56.184953007427602</v>
      </c>
      <c r="AA75" s="63">
        <f t="shared" ca="1" si="12"/>
        <v>56.184953007427602</v>
      </c>
      <c r="AB75" s="3">
        <f t="shared" ca="1" si="13"/>
        <v>0</v>
      </c>
    </row>
    <row r="76" spans="7:28">
      <c r="G76" t="b">
        <f t="shared" ca="1" si="10"/>
        <v>1</v>
      </c>
      <c r="H76" t="b">
        <f t="shared" ca="1" si="7"/>
        <v>1</v>
      </c>
      <c r="I76" s="2">
        <f ca="1"/>
        <v>45193</v>
      </c>
      <c r="J76">
        <f ca="1"/>
        <v>56.331486158810712</v>
      </c>
      <c r="K76">
        <f ca="1"/>
        <v>0</v>
      </c>
      <c r="L76">
        <f ca="1"/>
        <v>-1.9652985890957098E-2</v>
      </c>
      <c r="M76">
        <f ca="1"/>
        <v>0.16618613727406917</v>
      </c>
      <c r="N76">
        <f ca="1"/>
        <v>0</v>
      </c>
      <c r="O76">
        <f ca="1"/>
        <v>0.96524946299463588</v>
      </c>
      <c r="P76">
        <f ca="1"/>
        <v>0.52735580417267902</v>
      </c>
      <c r="Q76">
        <f ca="1"/>
        <v>0</v>
      </c>
      <c r="R76">
        <f ca="1"/>
        <v>0.34504876910167931</v>
      </c>
      <c r="S76">
        <f ca="1"/>
        <v>0</v>
      </c>
      <c r="T76">
        <f ca="1"/>
        <v>0</v>
      </c>
      <c r="U76">
        <f ca="1"/>
        <v>5.0196381932136411E-3</v>
      </c>
      <c r="W76" s="2">
        <f t="shared" ca="1" si="8"/>
        <v>45193</v>
      </c>
      <c r="X76">
        <f t="shared" ca="1" si="9"/>
        <v>0</v>
      </c>
      <c r="Z76" s="63">
        <f t="shared" ca="1" si="11"/>
        <v>56.331486158810712</v>
      </c>
      <c r="AA76" s="63">
        <f t="shared" ca="1" si="12"/>
        <v>56.331486158810712</v>
      </c>
      <c r="AB76" s="3">
        <f t="shared" ca="1" si="13"/>
        <v>0</v>
      </c>
    </row>
    <row r="77" spans="7:28">
      <c r="G77" t="b">
        <f t="shared" ca="1" si="10"/>
        <v>1</v>
      </c>
      <c r="H77" t="b">
        <f t="shared" ca="1" si="7"/>
        <v>1</v>
      </c>
      <c r="I77" s="2">
        <f ca="1"/>
        <v>45194</v>
      </c>
      <c r="J77">
        <f ca="1"/>
        <v>56.47127314567021</v>
      </c>
      <c r="K77">
        <f ca="1"/>
        <v>0</v>
      </c>
      <c r="L77">
        <f ca="1"/>
        <v>-1.8062704812649599E-2</v>
      </c>
      <c r="M77">
        <f ca="1"/>
        <v>0.15784969167214796</v>
      </c>
      <c r="N77">
        <f ca="1"/>
        <v>0</v>
      </c>
      <c r="O77">
        <f ca="1"/>
        <v>0.96524946299463588</v>
      </c>
      <c r="P77">
        <f ca="1"/>
        <v>0.52735580417267902</v>
      </c>
      <c r="Q77">
        <f ca="1"/>
        <v>0</v>
      </c>
      <c r="R77">
        <f ca="1"/>
        <v>0.34196158615218541</v>
      </c>
      <c r="S77">
        <f ca="1"/>
        <v>0</v>
      </c>
      <c r="T77">
        <f ca="1"/>
        <v>0</v>
      </c>
      <c r="U77">
        <f ca="1"/>
        <v>5.0196381932136411E-3</v>
      </c>
      <c r="W77" s="2">
        <f t="shared" ca="1" si="8"/>
        <v>45194</v>
      </c>
      <c r="X77">
        <f t="shared" ca="1" si="9"/>
        <v>0</v>
      </c>
      <c r="Z77" s="63">
        <f t="shared" ca="1" si="11"/>
        <v>56.47127314567021</v>
      </c>
      <c r="AA77" s="63">
        <f t="shared" ca="1" si="12"/>
        <v>56.47127314567021</v>
      </c>
      <c r="AB77" s="3">
        <f t="shared" ca="1" si="13"/>
        <v>0</v>
      </c>
    </row>
    <row r="78" spans="7:28">
      <c r="G78" t="b">
        <f t="shared" ca="1" si="10"/>
        <v>1</v>
      </c>
      <c r="H78" t="b">
        <f t="shared" ca="1" si="7"/>
        <v>1</v>
      </c>
      <c r="I78" s="2">
        <f ca="1"/>
        <v>45195</v>
      </c>
      <c r="J78">
        <f ca="1"/>
        <v>56.622149734161269</v>
      </c>
      <c r="K78">
        <f ca="1"/>
        <v>0</v>
      </c>
      <c r="L78">
        <f ca="1"/>
        <v>-1.7702301062053394E-2</v>
      </c>
      <c r="M78">
        <f ca="1"/>
        <v>0.16857888955311376</v>
      </c>
      <c r="N78">
        <f ca="1"/>
        <v>0</v>
      </c>
      <c r="O78">
        <f ca="1"/>
        <v>0.96524946299463588</v>
      </c>
      <c r="P78">
        <f ca="1"/>
        <v>0.52735580417267902</v>
      </c>
      <c r="Q78">
        <f ca="1"/>
        <v>0</v>
      </c>
      <c r="R78">
        <f ca="1"/>
        <v>0.33082426617453042</v>
      </c>
      <c r="S78">
        <f ca="1"/>
        <v>0</v>
      </c>
      <c r="T78">
        <f ca="1"/>
        <v>0</v>
      </c>
      <c r="U78">
        <f ca="1"/>
        <v>5.0196381932136411E-3</v>
      </c>
      <c r="W78" s="2">
        <f t="shared" ca="1" si="8"/>
        <v>45195</v>
      </c>
      <c r="X78">
        <f t="shared" ca="1" si="9"/>
        <v>0</v>
      </c>
      <c r="Z78" s="63">
        <f t="shared" ca="1" si="11"/>
        <v>56.622149734161269</v>
      </c>
      <c r="AA78" s="63">
        <f t="shared" ca="1" si="12"/>
        <v>56.622149734161269</v>
      </c>
      <c r="AB78" s="3">
        <f t="shared" ca="1" si="13"/>
        <v>0</v>
      </c>
    </row>
    <row r="79" spans="7:28">
      <c r="G79" t="b">
        <f t="shared" ca="1" si="10"/>
        <v>1</v>
      </c>
      <c r="H79" t="b">
        <f t="shared" ca="1" si="7"/>
        <v>1</v>
      </c>
      <c r="I79" s="2">
        <f ca="1"/>
        <v>45196</v>
      </c>
      <c r="J79">
        <f ca="1"/>
        <v>56.774500239729193</v>
      </c>
      <c r="K79">
        <f ca="1"/>
        <v>0</v>
      </c>
      <c r="L79">
        <f ca="1"/>
        <v>-1.63367602501161E-2</v>
      </c>
      <c r="M79">
        <f ca="1"/>
        <v>0.16868726581803423</v>
      </c>
      <c r="N79">
        <f ca="1"/>
        <v>0</v>
      </c>
      <c r="O79">
        <f ca="1"/>
        <v>0.96524946299463588</v>
      </c>
      <c r="P79">
        <f ca="1"/>
        <v>0.52735580417267902</v>
      </c>
      <c r="Q79">
        <f ca="1"/>
        <v>0</v>
      </c>
      <c r="R79">
        <f ca="1"/>
        <v>0.31412209598586605</v>
      </c>
      <c r="S79">
        <f ca="1"/>
        <v>0</v>
      </c>
      <c r="T79">
        <f ca="1"/>
        <v>0</v>
      </c>
      <c r="U79">
        <f ca="1"/>
        <v>5.0196381932136411E-3</v>
      </c>
      <c r="W79" s="2">
        <f t="shared" ca="1" si="8"/>
        <v>45196</v>
      </c>
      <c r="X79">
        <f t="shared" ca="1" si="9"/>
        <v>0</v>
      </c>
      <c r="Z79" s="63">
        <f t="shared" ca="1" si="11"/>
        <v>56.774500239729193</v>
      </c>
      <c r="AA79" s="63">
        <f t="shared" ca="1" si="12"/>
        <v>56.774500239729193</v>
      </c>
      <c r="AB79" s="3">
        <f t="shared" ca="1" si="13"/>
        <v>0</v>
      </c>
    </row>
    <row r="80" spans="7:28">
      <c r="G80" t="b">
        <f t="shared" ca="1" si="10"/>
        <v>1</v>
      </c>
      <c r="H80" t="b">
        <f t="shared" ca="1" si="7"/>
        <v>1</v>
      </c>
      <c r="I80" s="2">
        <f ca="1"/>
        <v>45197</v>
      </c>
      <c r="J80">
        <f ca="1"/>
        <v>56.92339123750569</v>
      </c>
      <c r="K80">
        <f ca="1"/>
        <v>0</v>
      </c>
      <c r="L80">
        <f ca="1"/>
        <v>-1.5264640988265299E-2</v>
      </c>
      <c r="M80">
        <f ca="1"/>
        <v>0.16415563876476355</v>
      </c>
      <c r="N80">
        <f ca="1"/>
        <v>0</v>
      </c>
      <c r="O80">
        <f ca="1"/>
        <v>0.96524946299463588</v>
      </c>
      <c r="P80">
        <f ca="1"/>
        <v>0.52735580417267902</v>
      </c>
      <c r="Q80">
        <f ca="1"/>
        <v>0</v>
      </c>
      <c r="R80">
        <f ca="1"/>
        <v>0.31161673175746774</v>
      </c>
      <c r="S80">
        <f ca="1"/>
        <v>0</v>
      </c>
      <c r="T80">
        <f ca="1"/>
        <v>0</v>
      </c>
      <c r="U80">
        <f ca="1"/>
        <v>5.0196381932136411E-3</v>
      </c>
      <c r="W80" s="2">
        <f t="shared" ca="1" si="8"/>
        <v>45197</v>
      </c>
      <c r="X80">
        <f t="shared" ca="1" si="9"/>
        <v>0</v>
      </c>
      <c r="Z80" s="63">
        <f t="shared" ca="1" si="11"/>
        <v>56.92339123750569</v>
      </c>
      <c r="AA80" s="63">
        <f t="shared" ca="1" si="12"/>
        <v>56.92339123750569</v>
      </c>
      <c r="AB80" s="3">
        <f t="shared" ca="1" si="13"/>
        <v>0</v>
      </c>
    </row>
    <row r="81" spans="7:28">
      <c r="G81" t="b">
        <f t="shared" ca="1" si="10"/>
        <v>1</v>
      </c>
      <c r="H81" t="b">
        <f t="shared" ca="1" si="7"/>
        <v>1</v>
      </c>
      <c r="I81" s="2">
        <f ca="1"/>
        <v>45198</v>
      </c>
      <c r="J81">
        <f ca="1"/>
        <v>57.070229194962238</v>
      </c>
      <c r="K81">
        <f ca="1"/>
        <v>0</v>
      </c>
      <c r="L81">
        <f ca="1"/>
        <v>-1.4257594163949783E-2</v>
      </c>
      <c r="M81">
        <f ca="1"/>
        <v>0.16109555162049796</v>
      </c>
      <c r="N81">
        <f ca="1"/>
        <v>0</v>
      </c>
      <c r="O81">
        <f ca="1"/>
        <v>0.96524946299463588</v>
      </c>
      <c r="P81">
        <f ca="1"/>
        <v>0.52735580417267902</v>
      </c>
      <c r="Q81">
        <f ca="1"/>
        <v>0</v>
      </c>
      <c r="R81">
        <f ca="1"/>
        <v>0.30638770913202434</v>
      </c>
      <c r="S81">
        <f ca="1"/>
        <v>0</v>
      </c>
      <c r="T81">
        <f ca="1"/>
        <v>0</v>
      </c>
      <c r="U81">
        <f ca="1"/>
        <v>5.0196381932136411E-3</v>
      </c>
      <c r="W81" s="2">
        <f t="shared" ca="1" si="8"/>
        <v>45198</v>
      </c>
      <c r="X81">
        <f t="shared" ca="1" si="9"/>
        <v>0</v>
      </c>
      <c r="Z81" s="63">
        <f t="shared" ca="1" si="11"/>
        <v>57.070229194962238</v>
      </c>
      <c r="AA81" s="63">
        <f t="shared" ca="1" si="12"/>
        <v>57.070229194962238</v>
      </c>
      <c r="AB81" s="3">
        <f t="shared" ca="1" si="13"/>
        <v>0</v>
      </c>
    </row>
    <row r="82" spans="7:28">
      <c r="G82" t="b">
        <f t="shared" ca="1" si="10"/>
        <v>1</v>
      </c>
      <c r="H82" t="b">
        <f t="shared" ca="1" si="7"/>
        <v>1</v>
      </c>
      <c r="I82" s="2">
        <f ca="1"/>
        <v>45199</v>
      </c>
      <c r="J82">
        <f ca="1"/>
        <v>57.233061396276263</v>
      </c>
      <c r="K82">
        <f ca="1"/>
        <v>0</v>
      </c>
      <c r="L82">
        <f ca="1"/>
        <v>-1.3964581957993438E-2</v>
      </c>
      <c r="M82">
        <f ca="1"/>
        <v>0.17679678327201764</v>
      </c>
      <c r="N82">
        <f ca="1"/>
        <v>0</v>
      </c>
      <c r="O82">
        <f ca="1"/>
        <v>0.96524946299463588</v>
      </c>
      <c r="P82">
        <f ca="1"/>
        <v>0.52735580417267902</v>
      </c>
      <c r="Q82">
        <f ca="1"/>
        <v>0</v>
      </c>
      <c r="R82">
        <f ca="1"/>
        <v>0.28870891975599011</v>
      </c>
      <c r="S82">
        <f ca="1"/>
        <v>0</v>
      </c>
      <c r="T82">
        <f ca="1"/>
        <v>0</v>
      </c>
      <c r="U82">
        <f ca="1"/>
        <v>5.0196381932136411E-3</v>
      </c>
      <c r="W82" s="2">
        <f t="shared" ca="1" si="8"/>
        <v>45199</v>
      </c>
      <c r="X82">
        <f t="shared" ca="1" si="9"/>
        <v>0</v>
      </c>
      <c r="Z82" s="63">
        <f t="shared" ca="1" si="11"/>
        <v>57.233061396276263</v>
      </c>
      <c r="AA82" s="63">
        <f t="shared" ca="1" si="12"/>
        <v>57.233061396276263</v>
      </c>
      <c r="AB82" s="3">
        <f t="shared" ca="1" si="13"/>
        <v>0</v>
      </c>
    </row>
    <row r="83" spans="7:28">
      <c r="G83" t="b">
        <f t="shared" ca="1" si="10"/>
        <v>1</v>
      </c>
      <c r="H83" t="b">
        <f t="shared" ca="1" si="7"/>
        <v>1</v>
      </c>
      <c r="I83" s="2">
        <f ca="1"/>
        <v>45200</v>
      </c>
      <c r="J83">
        <f ca="1"/>
        <v>57.342683595288619</v>
      </c>
      <c r="K83">
        <f ca="1"/>
        <v>5.1890685978235651E-2</v>
      </c>
      <c r="L83">
        <f ca="1"/>
        <v>-1.2631193807589369E-2</v>
      </c>
      <c r="M83">
        <f ca="1"/>
        <v>0.17414407879818017</v>
      </c>
      <c r="N83">
        <f ca="1"/>
        <v>0</v>
      </c>
      <c r="O83">
        <f ca="1"/>
        <v>1.0171401489728715</v>
      </c>
      <c r="P83">
        <f ca="1"/>
        <v>0.55570583748761759</v>
      </c>
      <c r="Q83">
        <f ca="1"/>
        <v>0</v>
      </c>
      <c r="R83">
        <f ca="1"/>
        <v>0.27194940411491636</v>
      </c>
      <c r="S83">
        <f ca="1"/>
        <v>0</v>
      </c>
      <c r="T83">
        <f ca="1"/>
        <v>0</v>
      </c>
      <c r="U83">
        <f ca="1"/>
        <v>5.7214945691144645E-3</v>
      </c>
      <c r="W83" s="2">
        <f t="shared" ca="1" si="8"/>
        <v>45200</v>
      </c>
      <c r="X83">
        <f t="shared" ca="1" si="9"/>
        <v>0</v>
      </c>
      <c r="Z83" s="63">
        <f t="shared" ca="1" si="11"/>
        <v>57.394574281266856</v>
      </c>
      <c r="AA83" s="63">
        <f t="shared" ca="1" si="12"/>
        <v>57.394574281266856</v>
      </c>
      <c r="AB83" s="3">
        <f t="shared" ca="1" si="13"/>
        <v>0</v>
      </c>
    </row>
    <row r="84" spans="7:28">
      <c r="G84" t="b">
        <f t="shared" ca="1" si="10"/>
        <v>1</v>
      </c>
      <c r="H84" t="b">
        <f t="shared" ca="1" si="7"/>
        <v>1</v>
      </c>
      <c r="I84" s="2">
        <f ca="1"/>
        <v>45201</v>
      </c>
      <c r="J84">
        <f ca="1"/>
        <v>57.446897705309688</v>
      </c>
      <c r="K84">
        <f ca="1"/>
        <v>6.0604852695431033E-2</v>
      </c>
      <c r="L84">
        <f ca="1"/>
        <v>-1.1783735951360619E-2</v>
      </c>
      <c r="M84">
        <f ca="1"/>
        <v>0.17660269866786515</v>
      </c>
      <c r="N84">
        <f ca="1"/>
        <v>0</v>
      </c>
      <c r="O84">
        <f ca="1"/>
        <v>1.0777450016683026</v>
      </c>
      <c r="P84">
        <f ca="1"/>
        <v>0.58881678139926752</v>
      </c>
      <c r="Q84">
        <f ca="1"/>
        <v>0</v>
      </c>
      <c r="R84">
        <f ca="1"/>
        <v>0.25925442848048103</v>
      </c>
      <c r="S84">
        <f ca="1"/>
        <v>0</v>
      </c>
      <c r="T84">
        <f ca="1"/>
        <v>0</v>
      </c>
      <c r="U84">
        <f ca="1"/>
        <v>6.6113112022474947E-3</v>
      </c>
      <c r="W84" s="2">
        <f t="shared" ca="1" si="8"/>
        <v>45201</v>
      </c>
      <c r="X84">
        <f t="shared" ca="1" si="9"/>
        <v>0</v>
      </c>
      <c r="Z84" s="63">
        <f t="shared" ca="1" si="11"/>
        <v>57.507502558005122</v>
      </c>
      <c r="AA84" s="63">
        <f t="shared" ca="1" si="12"/>
        <v>57.507502558005122</v>
      </c>
      <c r="AB84" s="3">
        <f t="shared" ca="1" si="13"/>
        <v>0</v>
      </c>
    </row>
    <row r="85" spans="7:28">
      <c r="G85" t="b">
        <f t="shared" ca="1" si="10"/>
        <v>1</v>
      </c>
      <c r="H85" t="b">
        <f t="shared" ca="1" si="7"/>
        <v>1</v>
      </c>
      <c r="I85" s="2">
        <f ca="1"/>
        <v>45202</v>
      </c>
      <c r="J85">
        <f ca="1"/>
        <v>57.544106704561884</v>
      </c>
      <c r="K85">
        <f ca="1"/>
        <v>5.6794480555270477E-2</v>
      </c>
      <c r="L85">
        <f ca="1"/>
        <v>-1.074498740779628E-2</v>
      </c>
      <c r="M85">
        <f ca="1"/>
        <v>0.16474846721526176</v>
      </c>
      <c r="N85">
        <f ca="1"/>
        <v>0</v>
      </c>
      <c r="O85">
        <f ca="1"/>
        <v>1.134539482223573</v>
      </c>
      <c r="P85">
        <f ca="1"/>
        <v>0.61984596101970812</v>
      </c>
      <c r="Q85">
        <f ca="1"/>
        <v>0</v>
      </c>
      <c r="R85">
        <f ca="1"/>
        <v>0.25944675899096992</v>
      </c>
      <c r="S85">
        <f ca="1"/>
        <v>0</v>
      </c>
      <c r="T85">
        <f ca="1"/>
        <v>0</v>
      </c>
      <c r="U85">
        <f ca="1"/>
        <v>7.5153462546830438E-3</v>
      </c>
      <c r="W85" s="2">
        <f t="shared" ca="1" si="8"/>
        <v>45202</v>
      </c>
      <c r="X85">
        <f t="shared" ca="1" si="9"/>
        <v>0</v>
      </c>
      <c r="Z85" s="63">
        <f t="shared" ca="1" si="11"/>
        <v>57.600901185117152</v>
      </c>
      <c r="AA85" s="63">
        <f t="shared" ca="1" si="12"/>
        <v>57.600901185117152</v>
      </c>
      <c r="AB85" s="3">
        <f t="shared" ca="1" si="13"/>
        <v>0</v>
      </c>
    </row>
    <row r="86" spans="7:28">
      <c r="G86" t="b">
        <f t="shared" ca="1" si="10"/>
        <v>1</v>
      </c>
      <c r="H86" t="b">
        <f t="shared" ca="1" si="7"/>
        <v>1</v>
      </c>
      <c r="I86" s="2">
        <f ca="1"/>
        <v>45203</v>
      </c>
      <c r="J86">
        <f ca="1"/>
        <v>57.637907672287831</v>
      </c>
      <c r="K86">
        <f ca="1"/>
        <v>5.6936683618144857E-2</v>
      </c>
      <c r="L86">
        <f ca="1"/>
        <v>-1.0208529295037572E-2</v>
      </c>
      <c r="M86">
        <f ca="1"/>
        <v>0.16094618063913194</v>
      </c>
      <c r="N86">
        <f ca="1"/>
        <v>0</v>
      </c>
      <c r="O86">
        <f ca="1"/>
        <v>1.1914761658417179</v>
      </c>
      <c r="P86">
        <f ca="1"/>
        <v>0.6509528320696214</v>
      </c>
      <c r="Q86">
        <f ca="1"/>
        <v>0</v>
      </c>
      <c r="R86">
        <f ca="1"/>
        <v>0.26175674125651788</v>
      </c>
      <c r="S86">
        <f ca="1"/>
        <v>0</v>
      </c>
      <c r="T86">
        <f ca="1"/>
        <v>0</v>
      </c>
      <c r="U86">
        <f ca="1"/>
        <v>8.4913011964490304E-3</v>
      </c>
      <c r="W86" s="2">
        <f t="shared" ca="1" si="8"/>
        <v>45203</v>
      </c>
      <c r="X86">
        <f t="shared" ca="1" si="9"/>
        <v>0</v>
      </c>
      <c r="Z86" s="63">
        <f t="shared" ca="1" si="11"/>
        <v>57.694844355905978</v>
      </c>
      <c r="AA86" s="63">
        <f t="shared" ca="1" si="12"/>
        <v>57.694844355905978</v>
      </c>
      <c r="AB86" s="3">
        <f t="shared" ca="1" si="13"/>
        <v>0</v>
      </c>
    </row>
    <row r="87" spans="7:28">
      <c r="G87" t="b">
        <f t="shared" ca="1" si="10"/>
        <v>1</v>
      </c>
      <c r="H87" t="b">
        <f t="shared" ca="1" si="7"/>
        <v>1</v>
      </c>
      <c r="I87" s="2">
        <f ca="1"/>
        <v>45204</v>
      </c>
      <c r="J87">
        <f ca="1"/>
        <v>57.727833814842221</v>
      </c>
      <c r="K87">
        <f ca="1"/>
        <v>5.8891499320325558E-2</v>
      </c>
      <c r="L87">
        <f ca="1"/>
        <v>-9.4274209529539021E-3</v>
      </c>
      <c r="M87">
        <f ca="1"/>
        <v>0.15824506282766956</v>
      </c>
      <c r="N87">
        <f ca="1"/>
        <v>0</v>
      </c>
      <c r="O87">
        <f ca="1"/>
        <v>1.2503676651620435</v>
      </c>
      <c r="P87">
        <f ca="1"/>
        <v>0.68312769999097001</v>
      </c>
      <c r="Q87">
        <f ca="1"/>
        <v>0</v>
      </c>
      <c r="R87">
        <f ca="1"/>
        <v>0.25331912159775555</v>
      </c>
      <c r="S87">
        <f ca="1"/>
        <v>0</v>
      </c>
      <c r="T87">
        <f ca="1"/>
        <v>0</v>
      </c>
      <c r="U87">
        <f ca="1"/>
        <v>9.5756173386439842E-3</v>
      </c>
      <c r="W87" s="2">
        <f t="shared" ca="1" si="8"/>
        <v>45204</v>
      </c>
      <c r="X87">
        <f t="shared" ca="1" si="9"/>
        <v>0</v>
      </c>
      <c r="Z87" s="63">
        <f t="shared" ca="1" si="11"/>
        <v>57.786725314162545</v>
      </c>
      <c r="AA87" s="63">
        <f t="shared" ca="1" si="12"/>
        <v>57.786725314162545</v>
      </c>
      <c r="AB87" s="3">
        <f t="shared" ca="1" si="13"/>
        <v>0</v>
      </c>
    </row>
    <row r="88" spans="7:28">
      <c r="G88" t="b">
        <f t="shared" ca="1" si="10"/>
        <v>1</v>
      </c>
      <c r="H88" t="b">
        <f t="shared" ca="1" si="7"/>
        <v>1</v>
      </c>
      <c r="I88" s="2">
        <f ca="1"/>
        <v>45205</v>
      </c>
      <c r="J88">
        <f ca="1"/>
        <v>57.815588662322554</v>
      </c>
      <c r="K88">
        <f ca="1"/>
        <v>6.8463888279064689E-2</v>
      </c>
      <c r="L88">
        <f ca="1"/>
        <v>-8.9884733305769515E-3</v>
      </c>
      <c r="M88">
        <f ca="1"/>
        <v>0.16520720908997419</v>
      </c>
      <c r="N88">
        <f ca="1"/>
        <v>0</v>
      </c>
      <c r="O88">
        <f ca="1"/>
        <v>1.3188315534411081</v>
      </c>
      <c r="P88">
        <f ca="1"/>
        <v>0.7205323609044102</v>
      </c>
      <c r="Q88">
        <f ca="1"/>
        <v>0</v>
      </c>
      <c r="R88">
        <f ca="1"/>
        <v>0.24178554781987244</v>
      </c>
      <c r="S88">
        <f ca="1"/>
        <v>0</v>
      </c>
      <c r="T88">
        <f ca="1"/>
        <v>0</v>
      </c>
      <c r="U88">
        <f ca="1"/>
        <v>1.0933733541352898E-2</v>
      </c>
      <c r="W88" s="2">
        <f t="shared" ca="1" si="8"/>
        <v>45205</v>
      </c>
      <c r="X88">
        <f t="shared" ca="1" si="9"/>
        <v>0</v>
      </c>
      <c r="Z88" s="63">
        <f t="shared" ca="1" si="11"/>
        <v>57.884052550601616</v>
      </c>
      <c r="AA88" s="63">
        <f t="shared" ca="1" si="12"/>
        <v>57.884052550601616</v>
      </c>
      <c r="AB88" s="3">
        <f t="shared" ca="1" si="13"/>
        <v>0</v>
      </c>
    </row>
    <row r="89" spans="7:28">
      <c r="G89" t="b">
        <f t="shared" ca="1" si="10"/>
        <v>1</v>
      </c>
      <c r="H89" t="b">
        <f t="shared" ca="1" si="7"/>
        <v>1</v>
      </c>
      <c r="I89" s="2">
        <f ca="1"/>
        <v>45206</v>
      </c>
      <c r="J89">
        <f ca="1"/>
        <v>57.898873654142029</v>
      </c>
      <c r="K89">
        <f ca="1"/>
        <v>7.3151457720182833E-2</v>
      </c>
      <c r="L89">
        <f ca="1"/>
        <v>-8.3235556408753908E-3</v>
      </c>
      <c r="M89">
        <f ca="1"/>
        <v>0.16476000518053835</v>
      </c>
      <c r="N89">
        <f ca="1"/>
        <v>0</v>
      </c>
      <c r="O89">
        <f ca="1"/>
        <v>1.391983011161291</v>
      </c>
      <c r="P89">
        <f ca="1"/>
        <v>0.76049803536616856</v>
      </c>
      <c r="Q89">
        <f ca="1"/>
        <v>0</v>
      </c>
      <c r="R89">
        <f ca="1"/>
        <v>0.23206580929557138</v>
      </c>
      <c r="S89">
        <f ca="1"/>
        <v>0</v>
      </c>
      <c r="T89">
        <f ca="1"/>
        <v>0</v>
      </c>
      <c r="U89">
        <f ca="1"/>
        <v>1.2502959693193462E-2</v>
      </c>
      <c r="W89" s="2">
        <f t="shared" ca="1" si="8"/>
        <v>45206</v>
      </c>
      <c r="X89">
        <f t="shared" ca="1" si="9"/>
        <v>0</v>
      </c>
      <c r="Z89" s="63">
        <f t="shared" ca="1" si="11"/>
        <v>57.972025111862216</v>
      </c>
      <c r="AA89" s="63">
        <f t="shared" ca="1" si="12"/>
        <v>57.972025111862209</v>
      </c>
      <c r="AB89" s="3">
        <f t="shared" ca="1" si="13"/>
        <v>0</v>
      </c>
    </row>
    <row r="90" spans="7:28">
      <c r="G90" t="b">
        <f t="shared" ca="1" si="10"/>
        <v>1</v>
      </c>
      <c r="H90" t="b">
        <f t="shared" ca="1" si="7"/>
        <v>1</v>
      </c>
      <c r="I90" s="2">
        <f ca="1"/>
        <v>45207</v>
      </c>
      <c r="J90">
        <f ca="1"/>
        <v>57.978219897741972</v>
      </c>
      <c r="K90">
        <f ca="1"/>
        <v>6.7933533307847016E-2</v>
      </c>
      <c r="L90">
        <f ca="1"/>
        <v>-7.8682045047226978E-3</v>
      </c>
      <c r="M90">
        <f ca="1"/>
        <v>0.15514798141251152</v>
      </c>
      <c r="N90">
        <f ca="1"/>
        <v>0</v>
      </c>
      <c r="O90">
        <f ca="1"/>
        <v>1.459916544469138</v>
      </c>
      <c r="P90">
        <f ca="1"/>
        <v>0.79761294136850447</v>
      </c>
      <c r="Q90">
        <f ca="1"/>
        <v>0</v>
      </c>
      <c r="R90">
        <f ca="1"/>
        <v>0.24031365415998909</v>
      </c>
      <c r="S90">
        <f ca="1"/>
        <v>0</v>
      </c>
      <c r="T90">
        <f ca="1"/>
        <v>0</v>
      </c>
      <c r="U90">
        <f ca="1"/>
        <v>1.4071485524441421E-2</v>
      </c>
      <c r="W90" s="2">
        <f t="shared" ca="1" si="8"/>
        <v>45207</v>
      </c>
      <c r="X90">
        <f t="shared" ca="1" si="9"/>
        <v>0</v>
      </c>
      <c r="Z90" s="63">
        <f t="shared" ca="1" si="11"/>
        <v>58.046153431049817</v>
      </c>
      <c r="AA90" s="63">
        <f t="shared" ca="1" si="12"/>
        <v>58.046153431049817</v>
      </c>
      <c r="AB90" s="3">
        <f t="shared" ca="1" si="13"/>
        <v>0</v>
      </c>
    </row>
    <row r="91" spans="7:28">
      <c r="G91" t="b">
        <f t="shared" ca="1" si="10"/>
        <v>1</v>
      </c>
      <c r="H91" t="b">
        <f t="shared" ca="1" si="7"/>
        <v>1</v>
      </c>
      <c r="I91" s="2">
        <f ca="1"/>
        <v>45208</v>
      </c>
      <c r="J91">
        <f ca="1"/>
        <v>58.0546738385612</v>
      </c>
      <c r="K91">
        <f ca="1"/>
        <v>6.7064476995383426E-2</v>
      </c>
      <c r="L91">
        <f ca="1"/>
        <v>-7.4731482417158546E-3</v>
      </c>
      <c r="M91">
        <f ca="1"/>
        <v>0.15099156605632952</v>
      </c>
      <c r="N91">
        <f ca="1"/>
        <v>0</v>
      </c>
      <c r="O91">
        <f ca="1"/>
        <v>1.5269810214645214</v>
      </c>
      <c r="P91">
        <f ca="1"/>
        <v>0.83425304587329929</v>
      </c>
      <c r="Q91">
        <f ca="1"/>
        <v>0</v>
      </c>
      <c r="R91">
        <f ca="1"/>
        <v>0.24314635373881435</v>
      </c>
      <c r="S91">
        <f ca="1"/>
        <v>0</v>
      </c>
      <c r="T91">
        <f ca="1"/>
        <v>0</v>
      </c>
      <c r="U91">
        <f ca="1"/>
        <v>1.5726651707334994E-2</v>
      </c>
      <c r="W91" s="2">
        <f t="shared" ca="1" si="8"/>
        <v>45208</v>
      </c>
      <c r="X91">
        <f t="shared" ca="1" si="9"/>
        <v>0</v>
      </c>
      <c r="Z91" s="63">
        <f t="shared" ca="1" si="11"/>
        <v>58.121738315556584</v>
      </c>
      <c r="AA91" s="63">
        <f t="shared" ca="1" si="12"/>
        <v>58.121738315556584</v>
      </c>
      <c r="AB91" s="3">
        <f t="shared" ca="1" si="13"/>
        <v>0</v>
      </c>
    </row>
    <row r="92" spans="7:28">
      <c r="G92" t="b">
        <f t="shared" ca="1" si="10"/>
        <v>1</v>
      </c>
      <c r="H92" t="b">
        <f t="shared" ca="1" si="7"/>
        <v>1</v>
      </c>
      <c r="I92" s="2">
        <f ca="1"/>
        <v>45209</v>
      </c>
      <c r="J92">
        <f ca="1"/>
        <v>58.128409994891172</v>
      </c>
      <c r="K92">
        <f ca="1"/>
        <v>6.9132993335294213E-2</v>
      </c>
      <c r="L92">
        <f ca="1"/>
        <v>-7.1359819723930684E-3</v>
      </c>
      <c r="M92">
        <f ca="1"/>
        <v>0.15000513163765386</v>
      </c>
      <c r="N92">
        <f ca="1"/>
        <v>0</v>
      </c>
      <c r="O92">
        <f ca="1"/>
        <v>1.5961140147998156</v>
      </c>
      <c r="P92">
        <f ca="1"/>
        <v>0.87202326662233798</v>
      </c>
      <c r="Q92">
        <f ca="1"/>
        <v>0</v>
      </c>
      <c r="R92">
        <f ca="1"/>
        <v>0.24343183533734281</v>
      </c>
      <c r="S92">
        <f ca="1"/>
        <v>0</v>
      </c>
      <c r="T92">
        <f ca="1"/>
        <v>0</v>
      </c>
      <c r="U92">
        <f ca="1"/>
        <v>1.7545311995583186E-2</v>
      </c>
      <c r="W92" s="2">
        <f t="shared" ca="1" si="8"/>
        <v>45209</v>
      </c>
      <c r="X92">
        <f t="shared" ca="1" si="9"/>
        <v>0</v>
      </c>
      <c r="Z92" s="63">
        <f t="shared" ca="1" si="11"/>
        <v>58.197542988226459</v>
      </c>
      <c r="AA92" s="63">
        <f t="shared" ca="1" si="12"/>
        <v>58.197542988226466</v>
      </c>
      <c r="AB92" s="3">
        <f t="shared" ca="1" si="13"/>
        <v>0</v>
      </c>
    </row>
    <row r="93" spans="7:28">
      <c r="G93" t="b">
        <f t="shared" ca="1" si="10"/>
        <v>1</v>
      </c>
      <c r="H93" t="b">
        <f t="shared" ca="1" si="7"/>
        <v>1</v>
      </c>
      <c r="I93" s="2">
        <f ca="1"/>
        <v>45210</v>
      </c>
      <c r="J93">
        <f ca="1"/>
        <v>58.198478482549007</v>
      </c>
      <c r="K93">
        <f ca="1"/>
        <v>8.2322449261024389E-2</v>
      </c>
      <c r="L93">
        <f ca="1"/>
        <v>-6.990350077144214E-3</v>
      </c>
      <c r="M93">
        <f ca="1"/>
        <v>0.15938128699600432</v>
      </c>
      <c r="N93">
        <f ca="1"/>
        <v>0</v>
      </c>
      <c r="O93">
        <f ca="1"/>
        <v>1.67843646406084</v>
      </c>
      <c r="P93">
        <f ca="1"/>
        <v>0.91699943402348327</v>
      </c>
      <c r="Q93">
        <f ca="1"/>
        <v>0</v>
      </c>
      <c r="R93">
        <f ca="1"/>
        <v>0.23755680890320113</v>
      </c>
      <c r="S93">
        <f ca="1"/>
        <v>0</v>
      </c>
      <c r="T93">
        <f ca="1"/>
        <v>0</v>
      </c>
      <c r="U93">
        <f ca="1"/>
        <v>1.986162856856543E-2</v>
      </c>
      <c r="W93" s="2">
        <f t="shared" ca="1" si="8"/>
        <v>45210</v>
      </c>
      <c r="X93">
        <f t="shared" ca="1" si="9"/>
        <v>0</v>
      </c>
      <c r="Z93" s="63">
        <f t="shared" ca="1" si="11"/>
        <v>58.280800931810028</v>
      </c>
      <c r="AA93" s="63">
        <f t="shared" ca="1" si="12"/>
        <v>58.280800931810035</v>
      </c>
      <c r="AB93" s="3">
        <f t="shared" ca="1" si="13"/>
        <v>0</v>
      </c>
    </row>
    <row r="94" spans="7:28">
      <c r="G94" t="b">
        <f t="shared" ca="1" si="10"/>
        <v>1</v>
      </c>
      <c r="H94" t="b">
        <f t="shared" ca="1" si="7"/>
        <v>1</v>
      </c>
      <c r="I94" s="2">
        <f ca="1"/>
        <v>45211</v>
      </c>
      <c r="J94">
        <f ca="1"/>
        <v>58.263138806612496</v>
      </c>
      <c r="K94">
        <f ca="1"/>
        <v>0.10605458808393275</v>
      </c>
      <c r="L94">
        <f ca="1"/>
        <v>-7.0144178650028977E-3</v>
      </c>
      <c r="M94">
        <f ca="1"/>
        <v>0.17772933001242855</v>
      </c>
      <c r="N94">
        <f ca="1"/>
        <v>0</v>
      </c>
      <c r="O94">
        <f ca="1"/>
        <v>1.7844910521447728</v>
      </c>
      <c r="P94">
        <f ca="1"/>
        <v>0.97494145287909517</v>
      </c>
      <c r="Q94">
        <f ca="1"/>
        <v>0</v>
      </c>
      <c r="R94">
        <f ca="1"/>
        <v>0.2289368977823058</v>
      </c>
      <c r="S94">
        <f ca="1"/>
        <v>0</v>
      </c>
      <c r="T94">
        <f ca="1"/>
        <v>0</v>
      </c>
      <c r="U94">
        <f ca="1"/>
        <v>2.3089906010695344E-2</v>
      </c>
      <c r="W94" s="2">
        <f t="shared" ca="1" si="8"/>
        <v>45211</v>
      </c>
      <c r="X94">
        <f t="shared" ca="1" si="9"/>
        <v>0</v>
      </c>
      <c r="Z94" s="63">
        <f t="shared" ca="1" si="11"/>
        <v>58.369193394696431</v>
      </c>
      <c r="AA94" s="63">
        <f t="shared" ca="1" si="12"/>
        <v>58.369193394696431</v>
      </c>
      <c r="AB94" s="3">
        <f t="shared" ca="1" si="13"/>
        <v>0</v>
      </c>
    </row>
    <row r="95" spans="7:28">
      <c r="G95" t="b">
        <f t="shared" ca="1" si="10"/>
        <v>1</v>
      </c>
      <c r="H95" t="b">
        <f t="shared" ca="1" si="7"/>
        <v>1</v>
      </c>
      <c r="I95" s="2">
        <f ca="1"/>
        <v>45212</v>
      </c>
      <c r="J95">
        <f ca="1"/>
        <v>58.322132378615677</v>
      </c>
      <c r="K95">
        <f ca="1"/>
        <v>0.10341386109681938</v>
      </c>
      <c r="L95">
        <f ca="1"/>
        <v>-6.4418994567319032E-3</v>
      </c>
      <c r="M95">
        <f ca="1"/>
        <v>0.16884933255673382</v>
      </c>
      <c r="N95">
        <f ca="1"/>
        <v>0</v>
      </c>
      <c r="O95">
        <f ca="1"/>
        <v>1.8879049132415922</v>
      </c>
      <c r="P95">
        <f ca="1"/>
        <v>1.031440733088089</v>
      </c>
      <c r="Q95">
        <f ca="1"/>
        <v>0</v>
      </c>
      <c r="R95">
        <f ca="1"/>
        <v>0.22947134110906683</v>
      </c>
      <c r="S95">
        <f ca="1"/>
        <v>0</v>
      </c>
      <c r="T95">
        <f ca="1"/>
        <v>0</v>
      </c>
      <c r="U95">
        <f ca="1"/>
        <v>2.6505124513430796E-2</v>
      </c>
      <c r="W95" s="2">
        <f t="shared" ca="1" si="8"/>
        <v>45212</v>
      </c>
      <c r="X95">
        <f t="shared" ca="1" si="9"/>
        <v>0</v>
      </c>
      <c r="Z95" s="63">
        <f t="shared" ca="1" si="11"/>
        <v>58.425546239712496</v>
      </c>
      <c r="AA95" s="63">
        <f t="shared" ca="1" si="12"/>
        <v>58.425546239712496</v>
      </c>
      <c r="AB95" s="3">
        <f t="shared" ca="1" si="13"/>
        <v>0</v>
      </c>
    </row>
    <row r="96" spans="7:28">
      <c r="G96" t="b">
        <f t="shared" ca="1" si="10"/>
        <v>1</v>
      </c>
      <c r="H96" t="b">
        <f t="shared" ca="1" si="7"/>
        <v>1</v>
      </c>
      <c r="I96" s="2">
        <f ca="1"/>
        <v>45213</v>
      </c>
      <c r="J96">
        <f ca="1"/>
        <v>58.375358049202013</v>
      </c>
      <c r="K96">
        <f ca="1"/>
        <v>0.10305985737822376</v>
      </c>
      <c r="L96">
        <f ca="1"/>
        <v>-5.8143461415252062E-3</v>
      </c>
      <c r="M96">
        <f ca="1"/>
        <v>0.16209987410608812</v>
      </c>
      <c r="N96">
        <f ca="1"/>
        <v>0</v>
      </c>
      <c r="O96">
        <f ca="1"/>
        <v>1.9909647706198159</v>
      </c>
      <c r="P96">
        <f ca="1"/>
        <v>1.0877466063874115</v>
      </c>
      <c r="Q96">
        <f ca="1"/>
        <v>0</v>
      </c>
      <c r="R96">
        <f ca="1"/>
        <v>0.22277246637462003</v>
      </c>
      <c r="S96">
        <f ca="1"/>
        <v>0</v>
      </c>
      <c r="T96">
        <f ca="1"/>
        <v>0</v>
      </c>
      <c r="U96">
        <f ca="1"/>
        <v>3.017294102038998E-2</v>
      </c>
      <c r="W96" s="2">
        <f t="shared" ca="1" si="8"/>
        <v>45213</v>
      </c>
      <c r="X96">
        <f t="shared" ca="1" si="9"/>
        <v>0</v>
      </c>
      <c r="Z96" s="63">
        <f t="shared" ca="1" si="11"/>
        <v>58.478417906580241</v>
      </c>
      <c r="AA96" s="63">
        <f t="shared" ca="1" si="12"/>
        <v>58.478417906580241</v>
      </c>
      <c r="AB96" s="3">
        <f t="shared" ca="1" si="13"/>
        <v>0</v>
      </c>
    </row>
    <row r="97" spans="7:28">
      <c r="G97" t="b">
        <f t="shared" ca="1" si="10"/>
        <v>1</v>
      </c>
      <c r="H97" t="b">
        <f t="shared" ca="1" si="7"/>
        <v>1</v>
      </c>
      <c r="I97" s="2">
        <f ca="1"/>
        <v>45214</v>
      </c>
      <c r="J97">
        <f ca="1"/>
        <v>58.422914708611955</v>
      </c>
      <c r="K97">
        <f ca="1"/>
        <v>0.10366658698227038</v>
      </c>
      <c r="L97">
        <f ca="1"/>
        <v>-5.2097562495134753E-3</v>
      </c>
      <c r="M97">
        <f ca="1"/>
        <v>0.15643300264172588</v>
      </c>
      <c r="N97">
        <f ca="1"/>
        <v>0</v>
      </c>
      <c r="O97">
        <f ca="1"/>
        <v>2.0946313576020863</v>
      </c>
      <c r="P97">
        <f ca="1"/>
        <v>1.1443839612265054</v>
      </c>
      <c r="Q97">
        <f ca="1"/>
        <v>0</v>
      </c>
      <c r="R97">
        <f ca="1"/>
        <v>0.21306805710196142</v>
      </c>
      <c r="S97">
        <f ca="1"/>
        <v>0</v>
      </c>
      <c r="T97">
        <f ca="1"/>
        <v>0</v>
      </c>
      <c r="U97">
        <f ca="1"/>
        <v>3.4129179258995591E-2</v>
      </c>
      <c r="W97" s="2">
        <f t="shared" ca="1" si="8"/>
        <v>45214</v>
      </c>
      <c r="X97">
        <f t="shared" ca="1" si="9"/>
        <v>0</v>
      </c>
      <c r="Z97" s="63">
        <f t="shared" ca="1" si="11"/>
        <v>58.526581295594227</v>
      </c>
      <c r="AA97" s="63">
        <f t="shared" ca="1" si="12"/>
        <v>58.526581295594227</v>
      </c>
      <c r="AB97" s="3">
        <f t="shared" ca="1" si="13"/>
        <v>0</v>
      </c>
    </row>
    <row r="98" spans="7:28">
      <c r="G98" t="b">
        <f t="shared" ca="1" si="10"/>
        <v>1</v>
      </c>
      <c r="H98" t="b">
        <f t="shared" ca="1" si="7"/>
        <v>1</v>
      </c>
      <c r="I98" s="2">
        <f ca="1"/>
        <v>45215</v>
      </c>
      <c r="J98">
        <f ca="1"/>
        <v>58.461368508538243</v>
      </c>
      <c r="K98">
        <f ca="1"/>
        <v>0.11975671450617087</v>
      </c>
      <c r="L98">
        <f ca="1"/>
        <v>-4.9020386070441901E-3</v>
      </c>
      <c r="M98">
        <f ca="1"/>
        <v>0.16311255303950617</v>
      </c>
      <c r="N98">
        <f ca="1"/>
        <v>0</v>
      </c>
      <c r="O98">
        <f ca="1"/>
        <v>2.2143880721082572</v>
      </c>
      <c r="P98">
        <f ca="1"/>
        <v>1.2098120198835356</v>
      </c>
      <c r="Q98">
        <f ca="1"/>
        <v>0</v>
      </c>
      <c r="R98">
        <f ca="1"/>
        <v>0.20194424225575799</v>
      </c>
      <c r="S98">
        <f ca="1"/>
        <v>0</v>
      </c>
      <c r="T98">
        <f ca="1"/>
        <v>0</v>
      </c>
      <c r="U98">
        <f ca="1"/>
        <v>3.9032085129152294E-2</v>
      </c>
      <c r="W98" s="2">
        <f t="shared" ca="1" si="8"/>
        <v>45215</v>
      </c>
      <c r="X98">
        <f t="shared" ca="1" si="9"/>
        <v>0</v>
      </c>
      <c r="Z98" s="63">
        <f t="shared" ca="1" si="11"/>
        <v>58.581125223044417</v>
      </c>
      <c r="AA98" s="63">
        <f t="shared" ca="1" si="12"/>
        <v>58.581125223044417</v>
      </c>
      <c r="AB98" s="3">
        <f t="shared" ca="1" si="13"/>
        <v>0</v>
      </c>
    </row>
    <row r="99" spans="7:28">
      <c r="G99" t="b">
        <f t="shared" ca="1" si="10"/>
        <v>1</v>
      </c>
      <c r="H99" t="b">
        <f t="shared" ca="1" si="7"/>
        <v>1</v>
      </c>
      <c r="I99" s="2">
        <f ca="1"/>
        <v>45216</v>
      </c>
      <c r="J99">
        <f ca="1"/>
        <v>58.48796134444396</v>
      </c>
      <c r="K99">
        <f ca="1"/>
        <v>0.14263982501847172</v>
      </c>
      <c r="L99">
        <f ca="1"/>
        <v>-4.7238763905603776E-3</v>
      </c>
      <c r="M99">
        <f ca="1"/>
        <v>0.17395653731475366</v>
      </c>
      <c r="N99">
        <f ca="1"/>
        <v>0</v>
      </c>
      <c r="O99">
        <f ca="1"/>
        <v>2.3570278971267289</v>
      </c>
      <c r="P99">
        <f ca="1"/>
        <v>1.2877420706253346</v>
      </c>
      <c r="Q99">
        <f ca="1"/>
        <v>0</v>
      </c>
      <c r="R99">
        <f ca="1"/>
        <v>0.19317563363473958</v>
      </c>
      <c r="S99">
        <f ca="1"/>
        <v>0</v>
      </c>
      <c r="T99">
        <f ca="1"/>
        <v>0</v>
      </c>
      <c r="U99">
        <f ca="1"/>
        <v>4.5333963371154203E-2</v>
      </c>
      <c r="W99" s="2">
        <f t="shared" ca="1" si="8"/>
        <v>45216</v>
      </c>
      <c r="X99">
        <f t="shared" ca="1" si="9"/>
        <v>0</v>
      </c>
      <c r="Z99" s="63">
        <f t="shared" ca="1" si="11"/>
        <v>58.630601169462437</v>
      </c>
      <c r="AA99" s="63">
        <f t="shared" ca="1" si="12"/>
        <v>58.63060116946243</v>
      </c>
      <c r="AB99" s="3">
        <f t="shared" ca="1" si="13"/>
        <v>0</v>
      </c>
    </row>
    <row r="100" spans="7:28">
      <c r="G100" t="b">
        <f t="shared" ca="1" si="10"/>
        <v>1</v>
      </c>
      <c r="H100" t="b">
        <f t="shared" ca="1" si="7"/>
        <v>1</v>
      </c>
      <c r="I100" s="2">
        <f ca="1"/>
        <v>45217</v>
      </c>
      <c r="J100">
        <f ca="1"/>
        <v>58.507931686810686</v>
      </c>
      <c r="K100">
        <f ca="1"/>
        <v>0.1383977078116474</v>
      </c>
      <c r="L100">
        <f ca="1"/>
        <v>-4.0291435248871466E-3</v>
      </c>
      <c r="M100">
        <f ca="1"/>
        <v>0.16239719370326033</v>
      </c>
      <c r="N100">
        <f ca="1"/>
        <v>0</v>
      </c>
      <c r="O100">
        <f ca="1"/>
        <v>2.4954256049383763</v>
      </c>
      <c r="P100">
        <f ca="1"/>
        <v>1.363354476844381</v>
      </c>
      <c r="Q100">
        <f ca="1"/>
        <v>0</v>
      </c>
      <c r="R100">
        <f ca="1"/>
        <v>0.18006670824736784</v>
      </c>
      <c r="S100">
        <f ca="1"/>
        <v>0</v>
      </c>
      <c r="T100">
        <f ca="1"/>
        <v>0</v>
      </c>
      <c r="U100">
        <f ca="1"/>
        <v>5.1922264103989438E-2</v>
      </c>
      <c r="W100" s="2">
        <f t="shared" ca="1" si="8"/>
        <v>45217</v>
      </c>
      <c r="X100">
        <f t="shared" ca="1" si="9"/>
        <v>0</v>
      </c>
      <c r="Z100" s="63">
        <f t="shared" ca="1" si="11"/>
        <v>58.646329394622335</v>
      </c>
      <c r="AA100" s="63">
        <f t="shared" ca="1" si="12"/>
        <v>58.646329394622335</v>
      </c>
      <c r="AB100" s="3">
        <f t="shared" ca="1" si="13"/>
        <v>0</v>
      </c>
    </row>
    <row r="101" spans="7:28">
      <c r="G101" t="b">
        <f t="shared" ca="1" si="10"/>
        <v>1</v>
      </c>
      <c r="H101" t="b">
        <f t="shared" ca="1" si="7"/>
        <v>1</v>
      </c>
      <c r="I101" s="2">
        <f ca="1"/>
        <v>45218</v>
      </c>
      <c r="J101">
        <f ca="1"/>
        <v>58.519612193915137</v>
      </c>
      <c r="K101">
        <f ca="1"/>
        <v>0.14568448431887315</v>
      </c>
      <c r="L101">
        <f ca="1"/>
        <v>-3.7257114304836136E-3</v>
      </c>
      <c r="M101">
        <f ca="1"/>
        <v>0.16109070285380256</v>
      </c>
      <c r="N101">
        <f ca="1"/>
        <v>0</v>
      </c>
      <c r="O101">
        <f ca="1"/>
        <v>2.6411100892572494</v>
      </c>
      <c r="P101">
        <f ca="1"/>
        <v>1.4429479512039602</v>
      </c>
      <c r="Q101">
        <f ca="1"/>
        <v>0</v>
      </c>
      <c r="R101">
        <f ca="1"/>
        <v>0.17444597884519883</v>
      </c>
      <c r="S101">
        <f ca="1"/>
        <v>0</v>
      </c>
      <c r="T101">
        <f ca="1"/>
        <v>0</v>
      </c>
      <c r="U101">
        <f ca="1"/>
        <v>5.9351064640878359E-2</v>
      </c>
      <c r="W101" s="2">
        <f t="shared" ca="1" si="8"/>
        <v>45218</v>
      </c>
      <c r="X101">
        <f t="shared" ca="1" si="9"/>
        <v>0</v>
      </c>
      <c r="Z101" s="63">
        <f t="shared" ca="1" si="11"/>
        <v>58.665296678234007</v>
      </c>
      <c r="AA101" s="63">
        <f t="shared" ca="1" si="12"/>
        <v>58.665296678234007</v>
      </c>
      <c r="AB101" s="3">
        <f t="shared" ca="1" si="13"/>
        <v>0</v>
      </c>
    </row>
    <row r="102" spans="7:28">
      <c r="G102" t="b">
        <f t="shared" ca="1" si="10"/>
        <v>1</v>
      </c>
      <c r="H102" t="b">
        <f t="shared" ca="1" si="7"/>
        <v>1</v>
      </c>
      <c r="I102" s="2">
        <f ca="1"/>
        <v>45219</v>
      </c>
      <c r="J102">
        <f ca="1"/>
        <v>58.520783683989542</v>
      </c>
      <c r="K102">
        <f ca="1"/>
        <v>0.15547716081761909</v>
      </c>
      <c r="L102">
        <f ca="1"/>
        <v>-3.2983484403104057E-3</v>
      </c>
      <c r="M102">
        <f ca="1"/>
        <v>0.15994699933233672</v>
      </c>
      <c r="N102">
        <f ca="1"/>
        <v>0</v>
      </c>
      <c r="O102">
        <f ca="1"/>
        <v>2.7965872500748685</v>
      </c>
      <c r="P102">
        <f ca="1"/>
        <v>1.5278915707726111</v>
      </c>
      <c r="Q102">
        <f ca="1"/>
        <v>0</v>
      </c>
      <c r="R102">
        <f ca="1"/>
        <v>0.16061253488838942</v>
      </c>
      <c r="S102">
        <f ca="1"/>
        <v>0</v>
      </c>
      <c r="T102">
        <f ca="1"/>
        <v>0</v>
      </c>
      <c r="U102">
        <f ca="1"/>
        <v>6.7821420820023043E-2</v>
      </c>
      <c r="W102" s="2">
        <f t="shared" ca="1" si="8"/>
        <v>45219</v>
      </c>
      <c r="X102">
        <f t="shared" ca="1" si="9"/>
        <v>0</v>
      </c>
      <c r="Z102" s="63">
        <f t="shared" ca="1" si="11"/>
        <v>58.67626084480716</v>
      </c>
      <c r="AA102" s="63">
        <f t="shared" ca="1" si="12"/>
        <v>58.67626084480716</v>
      </c>
      <c r="AB102" s="3">
        <f t="shared" ca="1" si="13"/>
        <v>0</v>
      </c>
    </row>
    <row r="103" spans="7:28">
      <c r="G103" t="b">
        <f t="shared" ca="1" si="10"/>
        <v>1</v>
      </c>
      <c r="H103" t="b">
        <f t="shared" ca="1" si="7"/>
        <v>1</v>
      </c>
      <c r="I103" s="2">
        <f ca="1"/>
        <v>45220</v>
      </c>
      <c r="J103">
        <f ca="1"/>
        <v>58.499898444525634</v>
      </c>
      <c r="K103">
        <f ca="1"/>
        <v>0.19227555722480894</v>
      </c>
      <c r="L103">
        <f ca="1"/>
        <v>-3.135570046596925E-3</v>
      </c>
      <c r="M103">
        <f ca="1"/>
        <v>0.17452588780749798</v>
      </c>
      <c r="N103">
        <f ca="1"/>
        <v>0</v>
      </c>
      <c r="O103">
        <f ca="1"/>
        <v>2.9888628072996775</v>
      </c>
      <c r="P103">
        <f ca="1"/>
        <v>1.6329396800856772</v>
      </c>
      <c r="Q103">
        <f ca="1"/>
        <v>0</v>
      </c>
      <c r="R103">
        <f ca="1"/>
        <v>0.14786134410812807</v>
      </c>
      <c r="S103">
        <f ca="1"/>
        <v>0</v>
      </c>
      <c r="T103">
        <f ca="1"/>
        <v>0</v>
      </c>
      <c r="U103">
        <f ca="1"/>
        <v>7.9038315740497828E-2</v>
      </c>
      <c r="W103" s="2">
        <f t="shared" ca="1" si="8"/>
        <v>45220</v>
      </c>
      <c r="X103">
        <f t="shared" ca="1" si="9"/>
        <v>0</v>
      </c>
      <c r="Z103" s="63">
        <f t="shared" ca="1" si="11"/>
        <v>58.692174001750445</v>
      </c>
      <c r="AA103" s="63">
        <f t="shared" ca="1" si="12"/>
        <v>58.692174001750445</v>
      </c>
      <c r="AB103" s="3">
        <f t="shared" ca="1" si="13"/>
        <v>0</v>
      </c>
    </row>
    <row r="104" spans="7:28">
      <c r="G104" t="b">
        <f t="shared" ca="1" si="10"/>
        <v>1</v>
      </c>
      <c r="H104" t="b">
        <f t="shared" ca="1" si="7"/>
        <v>1</v>
      </c>
      <c r="I104" s="2">
        <f ca="1"/>
        <v>45221</v>
      </c>
      <c r="J104">
        <f ca="1"/>
        <v>58.478441742108437</v>
      </c>
      <c r="K104">
        <f ca="1"/>
        <v>0.17576496894146265</v>
      </c>
      <c r="L104">
        <f ca="1"/>
        <v>-2.6025117268062559E-3</v>
      </c>
      <c r="M104">
        <f ca="1"/>
        <v>0.15691077825107738</v>
      </c>
      <c r="N104">
        <f ca="1"/>
        <v>0</v>
      </c>
      <c r="O104">
        <f ca="1"/>
        <v>3.1646277762411401</v>
      </c>
      <c r="P104">
        <f ca="1"/>
        <v>1.7289673704341837</v>
      </c>
      <c r="Q104">
        <f ca="1"/>
        <v>0</v>
      </c>
      <c r="R104">
        <f ca="1"/>
        <v>0.13768699805693177</v>
      </c>
      <c r="S104">
        <f ca="1"/>
        <v>0</v>
      </c>
      <c r="T104">
        <f ca="1"/>
        <v>0</v>
      </c>
      <c r="U104">
        <f ca="1"/>
        <v>8.9969927397968608E-2</v>
      </c>
      <c r="W104" s="2">
        <f t="shared" ca="1" si="8"/>
        <v>45221</v>
      </c>
      <c r="X104">
        <f t="shared" ca="1" si="9"/>
        <v>0</v>
      </c>
      <c r="Z104" s="63">
        <f t="shared" ca="1" si="11"/>
        <v>58.654206711049902</v>
      </c>
      <c r="AA104" s="63">
        <f t="shared" ca="1" si="12"/>
        <v>58.654206711049902</v>
      </c>
      <c r="AB104" s="3">
        <f t="shared" ca="1" si="13"/>
        <v>0</v>
      </c>
    </row>
    <row r="105" spans="7:28">
      <c r="G105" t="b">
        <f t="shared" ca="1" si="10"/>
        <v>1</v>
      </c>
      <c r="H105" t="b">
        <f t="shared" ca="1" si="7"/>
        <v>1</v>
      </c>
      <c r="I105" s="2">
        <f ca="1"/>
        <v>45222</v>
      </c>
      <c r="J105">
        <f ca="1"/>
        <v>58.447234103328633</v>
      </c>
      <c r="K105">
        <f ca="1"/>
        <v>0.1838298747908893</v>
      </c>
      <c r="L105">
        <f ca="1"/>
        <v>-2.3687240790888353E-3</v>
      </c>
      <c r="M105">
        <f ca="1"/>
        <v>0.15499096009017102</v>
      </c>
      <c r="N105">
        <f ca="1"/>
        <v>0</v>
      </c>
      <c r="O105">
        <f ca="1"/>
        <v>3.3484576510320294</v>
      </c>
      <c r="P105">
        <f ca="1"/>
        <v>1.8294012532467669</v>
      </c>
      <c r="Q105">
        <f ca="1"/>
        <v>0</v>
      </c>
      <c r="R105">
        <f ca="1"/>
        <v>0.13079233519429698</v>
      </c>
      <c r="S105">
        <f ca="1"/>
        <v>0</v>
      </c>
      <c r="T105">
        <f ca="1"/>
        <v>0</v>
      </c>
      <c r="U105">
        <f ca="1"/>
        <v>0.10204664311766795</v>
      </c>
      <c r="W105" s="2">
        <f t="shared" ca="1" si="8"/>
        <v>45222</v>
      </c>
      <c r="X105">
        <f t="shared" ca="1" si="9"/>
        <v>0</v>
      </c>
      <c r="Z105" s="63">
        <f t="shared" ca="1" si="11"/>
        <v>58.631063978119521</v>
      </c>
      <c r="AA105" s="63">
        <f t="shared" ca="1" si="12"/>
        <v>58.631063978119521</v>
      </c>
      <c r="AB105" s="3">
        <f t="shared" ca="1" si="13"/>
        <v>0</v>
      </c>
    </row>
    <row r="106" spans="7:28">
      <c r="G106" t="b">
        <f t="shared" ca="1" si="10"/>
        <v>1</v>
      </c>
      <c r="H106" t="b">
        <f t="shared" ca="1" si="7"/>
        <v>1</v>
      </c>
      <c r="I106" s="2">
        <f ca="1"/>
        <v>45223</v>
      </c>
      <c r="J106">
        <f ca="1"/>
        <v>58.40310586863248</v>
      </c>
      <c r="K106">
        <f ca="1"/>
        <v>0.19668667013246388</v>
      </c>
      <c r="L106">
        <f ca="1"/>
        <v>-2.0897211102823832E-3</v>
      </c>
      <c r="M106">
        <f ca="1"/>
        <v>0.15464815654659209</v>
      </c>
      <c r="N106">
        <f ca="1"/>
        <v>0</v>
      </c>
      <c r="O106">
        <f ca="1"/>
        <v>3.5451443211644933</v>
      </c>
      <c r="P106">
        <f ca="1"/>
        <v>1.9368593364410889</v>
      </c>
      <c r="Q106">
        <f ca="1"/>
        <v>0</v>
      </c>
      <c r="R106">
        <f ca="1"/>
        <v>0.11897945692122373</v>
      </c>
      <c r="S106">
        <f ca="1"/>
        <v>0</v>
      </c>
      <c r="T106">
        <f ca="1"/>
        <v>0</v>
      </c>
      <c r="U106">
        <f ca="1"/>
        <v>0.11563379022270277</v>
      </c>
      <c r="W106" s="2">
        <f t="shared" ca="1" si="8"/>
        <v>45223</v>
      </c>
      <c r="X106">
        <f t="shared" ca="1" si="9"/>
        <v>0</v>
      </c>
      <c r="Z106" s="63">
        <f t="shared" ca="1" si="11"/>
        <v>58.599792538764945</v>
      </c>
      <c r="AA106" s="63">
        <f t="shared" ca="1" si="12"/>
        <v>58.599792538764945</v>
      </c>
      <c r="AB106" s="3">
        <f t="shared" ca="1" si="13"/>
        <v>0</v>
      </c>
    </row>
    <row r="107" spans="7:28">
      <c r="G107" t="b">
        <f t="shared" ca="1" si="10"/>
        <v>1</v>
      </c>
      <c r="H107" t="b">
        <f t="shared" ca="1" si="7"/>
        <v>1</v>
      </c>
      <c r="I107" s="2">
        <f ca="1"/>
        <v>45224</v>
      </c>
      <c r="J107">
        <f ca="1"/>
        <v>58.342281362736969</v>
      </c>
      <c r="K107">
        <f ca="1"/>
        <v>0.2147291189680427</v>
      </c>
      <c r="L107">
        <f ca="1"/>
        <v>-1.7677395169251042E-3</v>
      </c>
      <c r="M107">
        <f ca="1"/>
        <v>0.1556723525894651</v>
      </c>
      <c r="N107">
        <f ca="1"/>
        <v>0</v>
      </c>
      <c r="O107">
        <f ca="1"/>
        <v>3.759873440132536</v>
      </c>
      <c r="P107">
        <f ca="1"/>
        <v>2.0541747575358245</v>
      </c>
      <c r="Q107">
        <f ca="1"/>
        <v>0</v>
      </c>
      <c r="R107">
        <f ca="1"/>
        <v>0.10254548550209967</v>
      </c>
      <c r="S107">
        <f ca="1"/>
        <v>0</v>
      </c>
      <c r="T107">
        <f ca="1"/>
        <v>0</v>
      </c>
      <c r="U107">
        <f ca="1"/>
        <v>0.13116710246359767</v>
      </c>
      <c r="W107" s="2">
        <f t="shared" ca="1" si="8"/>
        <v>45224</v>
      </c>
      <c r="X107">
        <f t="shared" ca="1" si="9"/>
        <v>0</v>
      </c>
      <c r="Z107" s="63">
        <f t="shared" ca="1" si="11"/>
        <v>58.557010481705021</v>
      </c>
      <c r="AA107" s="63">
        <f t="shared" ca="1" si="12"/>
        <v>58.557010481705014</v>
      </c>
      <c r="AB107" s="3">
        <f t="shared" ca="1" si="13"/>
        <v>0</v>
      </c>
    </row>
    <row r="108" spans="7:28">
      <c r="G108" t="b">
        <f t="shared" ca="1" si="10"/>
        <v>1</v>
      </c>
      <c r="H108" t="b">
        <f t="shared" ca="1" si="7"/>
        <v>1</v>
      </c>
      <c r="I108" s="2">
        <f ca="1"/>
        <v>45225</v>
      </c>
      <c r="J108">
        <f ca="1"/>
        <v>58.246874202704454</v>
      </c>
      <c r="K108">
        <f ca="1"/>
        <v>0.2635384069417932</v>
      </c>
      <c r="L108">
        <f ca="1"/>
        <v>-1.6397439024213867E-3</v>
      </c>
      <c r="M108">
        <f ca="1"/>
        <v>0.16977099081170077</v>
      </c>
      <c r="N108">
        <f ca="1"/>
        <v>0</v>
      </c>
      <c r="O108">
        <f ca="1"/>
        <v>4.0234118470743292</v>
      </c>
      <c r="P108">
        <f ca="1"/>
        <v>2.1981567164503648</v>
      </c>
      <c r="Q108">
        <f ca="1"/>
        <v>0</v>
      </c>
      <c r="R108">
        <f ca="1"/>
        <v>9.1233461325233703E-2</v>
      </c>
      <c r="S108">
        <f ca="1"/>
        <v>0</v>
      </c>
      <c r="T108">
        <f ca="1"/>
        <v>0</v>
      </c>
      <c r="U108">
        <f ca="1"/>
        <v>0.15108154009643635</v>
      </c>
      <c r="W108" s="2">
        <f t="shared" ca="1" si="8"/>
        <v>45225</v>
      </c>
      <c r="X108">
        <f t="shared" ca="1" si="9"/>
        <v>0</v>
      </c>
      <c r="Z108" s="63">
        <f t="shared" ca="1" si="11"/>
        <v>58.510412609646245</v>
      </c>
      <c r="AA108" s="63">
        <f t="shared" ca="1" si="12"/>
        <v>58.510412609646245</v>
      </c>
      <c r="AB108" s="3">
        <f t="shared" ca="1" si="13"/>
        <v>0</v>
      </c>
    </row>
    <row r="109" spans="7:28">
      <c r="G109" t="b">
        <f t="shared" ca="1" si="10"/>
        <v>1</v>
      </c>
      <c r="H109" t="b">
        <f t="shared" ca="1" si="7"/>
        <v>1</v>
      </c>
      <c r="I109" s="2">
        <f ca="1"/>
        <v>45226</v>
      </c>
      <c r="J109">
        <f ca="1"/>
        <v>58.143655757925892</v>
      </c>
      <c r="K109">
        <f ca="1"/>
        <v>0.26374524703346314</v>
      </c>
      <c r="L109">
        <f ca="1"/>
        <v>-1.4472006840833274E-3</v>
      </c>
      <c r="M109">
        <f ca="1"/>
        <v>0.16197400293898151</v>
      </c>
      <c r="N109">
        <f ca="1"/>
        <v>0</v>
      </c>
      <c r="O109">
        <f ca="1"/>
        <v>4.2871570941077923</v>
      </c>
      <c r="P109">
        <f ca="1"/>
        <v>2.3422516806832814</v>
      </c>
      <c r="Q109">
        <f ca="1"/>
        <v>0</v>
      </c>
      <c r="R109">
        <f ca="1"/>
        <v>8.5749080068948005E-2</v>
      </c>
      <c r="S109">
        <f ca="1"/>
        <v>0</v>
      </c>
      <c r="T109">
        <f ca="1"/>
        <v>0</v>
      </c>
      <c r="U109">
        <f ca="1"/>
        <v>0.17176351443187476</v>
      </c>
      <c r="W109" s="2">
        <f t="shared" ca="1" si="8"/>
        <v>45226</v>
      </c>
      <c r="X109">
        <f t="shared" ca="1" si="9"/>
        <v>0</v>
      </c>
      <c r="Z109" s="63">
        <f t="shared" ca="1" si="11"/>
        <v>58.407401004959354</v>
      </c>
      <c r="AA109" s="63">
        <f t="shared" ca="1" si="12"/>
        <v>58.407401004959354</v>
      </c>
      <c r="AB109" s="3">
        <f t="shared" ca="1" si="13"/>
        <v>0</v>
      </c>
    </row>
    <row r="110" spans="7:28">
      <c r="G110" t="b">
        <f t="shared" ca="1" si="10"/>
        <v>1</v>
      </c>
      <c r="H110" t="b">
        <f t="shared" ca="1" si="7"/>
        <v>1</v>
      </c>
      <c r="I110" s="2">
        <f ca="1"/>
        <v>45227</v>
      </c>
      <c r="J110">
        <f ca="1"/>
        <v>58.00790588692098</v>
      </c>
      <c r="K110">
        <f ca="1"/>
        <v>0.30518646451076847</v>
      </c>
      <c r="L110">
        <f ca="1"/>
        <v>-1.3930341088173037E-3</v>
      </c>
      <c r="M110">
        <f ca="1"/>
        <v>0.17082962761467146</v>
      </c>
      <c r="N110">
        <f ca="1"/>
        <v>0</v>
      </c>
      <c r="O110">
        <f ca="1"/>
        <v>4.5923435586185608</v>
      </c>
      <c r="P110">
        <f ca="1"/>
        <v>2.5089877003184329</v>
      </c>
      <c r="Q110">
        <f ca="1"/>
        <v>0</v>
      </c>
      <c r="R110">
        <f ca="1"/>
        <v>8.1313699109939117E-2</v>
      </c>
      <c r="S110">
        <f ca="1"/>
        <v>0</v>
      </c>
      <c r="T110">
        <f ca="1"/>
        <v>0</v>
      </c>
      <c r="U110">
        <f ca="1"/>
        <v>0.19637094778040354</v>
      </c>
      <c r="W110" s="2">
        <f t="shared" ca="1" si="8"/>
        <v>45227</v>
      </c>
      <c r="X110">
        <f t="shared" ca="1" si="9"/>
        <v>0</v>
      </c>
      <c r="Z110" s="63">
        <f t="shared" ca="1" si="11"/>
        <v>58.313092351431749</v>
      </c>
      <c r="AA110" s="63">
        <f t="shared" ca="1" si="12"/>
        <v>58.313092351431749</v>
      </c>
      <c r="AB110" s="3">
        <f t="shared" ca="1" si="13"/>
        <v>0</v>
      </c>
    </row>
    <row r="111" spans="7:28">
      <c r="G111" t="b">
        <f t="shared" ca="1" si="10"/>
        <v>1</v>
      </c>
      <c r="H111" t="b">
        <f t="shared" ca="1" si="7"/>
        <v>1</v>
      </c>
      <c r="I111" s="2">
        <f ca="1"/>
        <v>45228</v>
      </c>
      <c r="J111">
        <f ca="1"/>
        <v>57.845381979639491</v>
      </c>
      <c r="K111">
        <f ca="1"/>
        <v>0.33413952657604895</v>
      </c>
      <c r="L111">
        <f ca="1"/>
        <v>-1.2527949685310347E-3</v>
      </c>
      <c r="M111">
        <f ca="1"/>
        <v>0.17286841426309554</v>
      </c>
      <c r="N111">
        <f ca="1"/>
        <v>0</v>
      </c>
      <c r="O111">
        <f ca="1"/>
        <v>4.9264830851946098</v>
      </c>
      <c r="P111">
        <f ca="1"/>
        <v>2.6915419782526646</v>
      </c>
      <c r="Q111">
        <f ca="1"/>
        <v>0</v>
      </c>
      <c r="R111">
        <f ca="1"/>
        <v>7.4226296277044523E-2</v>
      </c>
      <c r="S111">
        <f ca="1"/>
        <v>0</v>
      </c>
      <c r="T111">
        <f ca="1"/>
        <v>0</v>
      </c>
      <c r="U111">
        <f ca="1"/>
        <v>0.22380254295341784</v>
      </c>
      <c r="W111" s="2">
        <f t="shared" ca="1" si="8"/>
        <v>45228</v>
      </c>
      <c r="X111">
        <f t="shared" ca="1" si="9"/>
        <v>0</v>
      </c>
      <c r="Z111" s="63">
        <f t="shared" ca="1" si="11"/>
        <v>58.179521506215544</v>
      </c>
      <c r="AA111" s="63">
        <f t="shared" ca="1" si="12"/>
        <v>58.179521506215536</v>
      </c>
      <c r="AB111" s="3">
        <f t="shared" ca="1" si="13"/>
        <v>0</v>
      </c>
    </row>
    <row r="112" spans="7:28">
      <c r="G112" t="b">
        <f t="shared" ca="1" si="10"/>
        <v>1</v>
      </c>
      <c r="H112" t="b">
        <f t="shared" ca="1" si="7"/>
        <v>1</v>
      </c>
      <c r="I112" s="2">
        <f ca="1"/>
        <v>45229</v>
      </c>
      <c r="J112">
        <f ca="1"/>
        <v>57.669334952564625</v>
      </c>
      <c r="K112">
        <f ca="1"/>
        <v>0.34224160602450571</v>
      </c>
      <c r="L112">
        <f ca="1"/>
        <v>-1.1320716250331486E-3</v>
      </c>
      <c r="M112">
        <f ca="1"/>
        <v>0.16732665057466939</v>
      </c>
      <c r="N112">
        <f ca="1"/>
        <v>0</v>
      </c>
      <c r="O112">
        <f ca="1"/>
        <v>5.2687246912191155</v>
      </c>
      <c r="P112">
        <f ca="1"/>
        <v>2.8785227581294675</v>
      </c>
      <c r="Q112">
        <f ca="1"/>
        <v>0</v>
      </c>
      <c r="R112">
        <f ca="1"/>
        <v>7.0520644550902928E-2</v>
      </c>
      <c r="S112">
        <f ca="1"/>
        <v>0</v>
      </c>
      <c r="T112">
        <f ca="1"/>
        <v>0</v>
      </c>
      <c r="U112">
        <f ca="1"/>
        <v>0.25205288190091402</v>
      </c>
      <c r="W112" s="2">
        <f t="shared" ca="1" si="8"/>
        <v>45229</v>
      </c>
      <c r="X112">
        <f t="shared" ca="1" si="9"/>
        <v>0</v>
      </c>
      <c r="Z112" s="63">
        <f t="shared" ca="1" si="11"/>
        <v>58.011576558589134</v>
      </c>
      <c r="AA112" s="63">
        <f t="shared" ca="1" si="12"/>
        <v>58.011576558589134</v>
      </c>
      <c r="AB112" s="3">
        <f t="shared" ca="1" si="13"/>
        <v>0</v>
      </c>
    </row>
    <row r="113" spans="7:28">
      <c r="G113" t="b">
        <f t="shared" ca="1" si="10"/>
        <v>1</v>
      </c>
      <c r="H113" t="b">
        <f t="shared" ca="1" si="7"/>
        <v>1</v>
      </c>
      <c r="I113" s="2">
        <f ca="1"/>
        <v>45230</v>
      </c>
      <c r="J113">
        <f ca="1"/>
        <v>57.471975534378174</v>
      </c>
      <c r="K113">
        <f ca="1"/>
        <v>0.36170389302044814</v>
      </c>
      <c r="L113">
        <f ca="1"/>
        <v>-9.5899069588156749E-4</v>
      </c>
      <c r="M113">
        <f ca="1"/>
        <v>0.16530346552987069</v>
      </c>
      <c r="N113">
        <f ca="1"/>
        <v>0</v>
      </c>
      <c r="O113">
        <f ca="1"/>
        <v>5.6304285842395636</v>
      </c>
      <c r="P113">
        <f ca="1"/>
        <v>3.0761365923650295</v>
      </c>
      <c r="Q113">
        <f ca="1"/>
        <v>0</v>
      </c>
      <c r="R113">
        <f ca="1"/>
        <v>6.1507723904552239E-2</v>
      </c>
      <c r="S113">
        <f ca="1"/>
        <v>0</v>
      </c>
      <c r="T113">
        <f ca="1"/>
        <v>0</v>
      </c>
      <c r="U113">
        <f ca="1"/>
        <v>0.28168605562414567</v>
      </c>
      <c r="W113" s="2">
        <f t="shared" ca="1" si="8"/>
        <v>45230</v>
      </c>
      <c r="X113">
        <f t="shared" ca="1" si="9"/>
        <v>0</v>
      </c>
      <c r="Z113" s="63">
        <f t="shared" ca="1" si="11"/>
        <v>57.833679427398621</v>
      </c>
      <c r="AA113" s="63">
        <f t="shared" ca="1" si="12"/>
        <v>57.833679427398621</v>
      </c>
      <c r="AB113" s="3">
        <f t="shared" ca="1" si="13"/>
        <v>0</v>
      </c>
    </row>
    <row r="114" spans="7:28">
      <c r="G114" t="b">
        <f t="shared" ca="1" si="10"/>
        <v>1</v>
      </c>
      <c r="H114" t="b">
        <f t="shared" ca="1" si="7"/>
        <v>1</v>
      </c>
      <c r="I114" s="2">
        <f ca="1"/>
        <v>45231</v>
      </c>
      <c r="J114">
        <f ca="1"/>
        <v>57.227220922887021</v>
      </c>
      <c r="K114">
        <f ca="1"/>
        <v>0.41818525832623887</v>
      </c>
      <c r="L114">
        <f ca="1"/>
        <v>-8.9744654049184192E-4</v>
      </c>
      <c r="M114">
        <f ca="1"/>
        <v>0.1743280933755752</v>
      </c>
      <c r="N114">
        <f ca="1"/>
        <v>0</v>
      </c>
      <c r="O114">
        <f ca="1"/>
        <v>6.0486138425658025</v>
      </c>
      <c r="P114">
        <f ca="1"/>
        <v>3.3046085383774133</v>
      </c>
      <c r="Q114">
        <f ca="1"/>
        <v>0</v>
      </c>
      <c r="R114">
        <f ca="1"/>
        <v>5.6316662351477399E-2</v>
      </c>
      <c r="S114">
        <f ca="1"/>
        <v>0</v>
      </c>
      <c r="T114">
        <f ca="1"/>
        <v>0</v>
      </c>
      <c r="U114">
        <f ca="1"/>
        <v>0.31519943935613359</v>
      </c>
      <c r="W114" s="2">
        <f t="shared" ca="1" si="8"/>
        <v>45231</v>
      </c>
      <c r="X114">
        <f t="shared" ca="1" si="9"/>
        <v>0</v>
      </c>
      <c r="Z114" s="63">
        <f t="shared" ca="1" si="11"/>
        <v>57.645406181213261</v>
      </c>
      <c r="AA114" s="63">
        <f t="shared" ca="1" si="12"/>
        <v>57.645406181213261</v>
      </c>
      <c r="AB114" s="3">
        <f t="shared" ca="1" si="13"/>
        <v>0</v>
      </c>
    </row>
    <row r="115" spans="7:28">
      <c r="G115" t="b">
        <f t="shared" ca="1" si="10"/>
        <v>1</v>
      </c>
      <c r="H115" t="b">
        <f t="shared" ca="1" si="7"/>
        <v>1</v>
      </c>
      <c r="I115" s="2">
        <f ca="1"/>
        <v>45232</v>
      </c>
      <c r="J115">
        <f ca="1"/>
        <v>56.97999069435911</v>
      </c>
      <c r="K115">
        <f ca="1"/>
        <v>0.41057084234987951</v>
      </c>
      <c r="L115">
        <f ca="1"/>
        <v>-8.3887635384805037E-4</v>
      </c>
      <c r="M115">
        <f ca="1"/>
        <v>0.16417949017581068</v>
      </c>
      <c r="N115">
        <f ca="1"/>
        <v>0</v>
      </c>
      <c r="O115">
        <f ca="1"/>
        <v>6.459184684915682</v>
      </c>
      <c r="P115">
        <f ca="1"/>
        <v>3.5289204132222256</v>
      </c>
      <c r="Q115">
        <f ca="1"/>
        <v>0</v>
      </c>
      <c r="R115">
        <f ca="1"/>
        <v>5.6403562570642711E-2</v>
      </c>
      <c r="S115">
        <f ca="1"/>
        <v>0</v>
      </c>
      <c r="T115">
        <f ca="1"/>
        <v>0</v>
      </c>
      <c r="U115">
        <f ca="1"/>
        <v>0.34691693635859666</v>
      </c>
      <c r="W115" s="2">
        <f t="shared" ca="1" si="8"/>
        <v>45232</v>
      </c>
      <c r="X115">
        <f t="shared" ca="1" si="9"/>
        <v>0</v>
      </c>
      <c r="Z115" s="63">
        <f t="shared" ca="1" si="11"/>
        <v>57.390561536708987</v>
      </c>
      <c r="AA115" s="63">
        <f t="shared" ca="1" si="12"/>
        <v>57.390561536708987</v>
      </c>
      <c r="AB115" s="3">
        <f t="shared" ca="1" si="13"/>
        <v>0</v>
      </c>
    </row>
    <row r="116" spans="7:28">
      <c r="G116" t="b">
        <f t="shared" ca="1" si="10"/>
        <v>1</v>
      </c>
      <c r="H116" t="b">
        <f t="shared" ca="1" si="7"/>
        <v>1</v>
      </c>
      <c r="I116" s="2">
        <f ca="1"/>
        <v>45233</v>
      </c>
      <c r="J116">
        <f ca="1"/>
        <v>56.69726305398305</v>
      </c>
      <c r="K116">
        <f ca="1"/>
        <v>0.44867635989968768</v>
      </c>
      <c r="L116">
        <f ca="1"/>
        <v>-7.7554177764049825E-4</v>
      </c>
      <c r="M116">
        <f ca="1"/>
        <v>0.1667242613012658</v>
      </c>
      <c r="N116">
        <f ca="1"/>
        <v>0</v>
      </c>
      <c r="O116">
        <f ca="1"/>
        <v>6.9078610448153697</v>
      </c>
      <c r="P116">
        <f ca="1"/>
        <v>3.7740509122893724</v>
      </c>
      <c r="Q116">
        <f ca="1"/>
        <v>0</v>
      </c>
      <c r="R116">
        <f ca="1"/>
        <v>5.2526303493573553E-2</v>
      </c>
      <c r="S116">
        <f ca="1"/>
        <v>0</v>
      </c>
      <c r="T116">
        <f ca="1"/>
        <v>0</v>
      </c>
      <c r="U116">
        <f ca="1"/>
        <v>0.37987296715553309</v>
      </c>
      <c r="W116" s="2">
        <f t="shared" ca="1" si="8"/>
        <v>45233</v>
      </c>
      <c r="X116">
        <f t="shared" ca="1" si="9"/>
        <v>0</v>
      </c>
      <c r="Z116" s="63">
        <f t="shared" ca="1" si="11"/>
        <v>57.145939413882736</v>
      </c>
      <c r="AA116" s="63">
        <f t="shared" ca="1" si="12"/>
        <v>57.145939413882736</v>
      </c>
      <c r="AB116" s="3">
        <f t="shared" ca="1" si="13"/>
        <v>0</v>
      </c>
    </row>
    <row r="117" spans="7:28">
      <c r="G117" t="b">
        <f t="shared" ca="1" si="10"/>
        <v>1</v>
      </c>
      <c r="H117" t="b">
        <f t="shared" ca="1" si="7"/>
        <v>1</v>
      </c>
      <c r="I117" s="2">
        <f ca="1"/>
        <v>45234</v>
      </c>
      <c r="J117">
        <f ca="1"/>
        <v>56.381996371803851</v>
      </c>
      <c r="K117">
        <f ca="1"/>
        <v>0.48189252042307995</v>
      </c>
      <c r="L117">
        <f ca="1"/>
        <v>-7.2620394019295986E-4</v>
      </c>
      <c r="M117">
        <f ca="1"/>
        <v>0.16735204218407188</v>
      </c>
      <c r="N117">
        <f ca="1"/>
        <v>0</v>
      </c>
      <c r="O117">
        <f ca="1"/>
        <v>7.3897535652384496</v>
      </c>
      <c r="P117">
        <f ca="1"/>
        <v>4.0373287771058841</v>
      </c>
      <c r="Q117">
        <f ca="1"/>
        <v>0</v>
      </c>
      <c r="R117">
        <f ca="1"/>
        <v>4.9990374607368403E-2</v>
      </c>
      <c r="S117">
        <f ca="1"/>
        <v>0</v>
      </c>
      <c r="T117">
        <f ca="1"/>
        <v>0</v>
      </c>
      <c r="U117">
        <f ca="1"/>
        <v>0.41300015830743519</v>
      </c>
      <c r="W117" s="2">
        <f t="shared" ca="1" si="8"/>
        <v>45234</v>
      </c>
      <c r="X117">
        <f t="shared" ca="1" si="9"/>
        <v>0</v>
      </c>
      <c r="Z117" s="63">
        <f t="shared" ca="1" si="11"/>
        <v>56.863888892226932</v>
      </c>
      <c r="AA117" s="63">
        <f t="shared" ca="1" si="12"/>
        <v>56.863888892226932</v>
      </c>
      <c r="AB117" s="3">
        <f t="shared" ca="1" si="13"/>
        <v>0</v>
      </c>
    </row>
    <row r="118" spans="7:28">
      <c r="G118" t="b">
        <f t="shared" ca="1" si="10"/>
        <v>1</v>
      </c>
      <c r="H118" t="b">
        <f t="shared" ca="1" si="7"/>
        <v>1</v>
      </c>
      <c r="I118" s="2">
        <f ca="1"/>
        <v>45235</v>
      </c>
      <c r="J118">
        <f ca="1"/>
        <v>56.044487997353016</v>
      </c>
      <c r="K118">
        <f ca="1"/>
        <v>0.50168736443024553</v>
      </c>
      <c r="L118">
        <f ca="1"/>
        <v>-7.3213475978306519E-4</v>
      </c>
      <c r="M118">
        <f ca="1"/>
        <v>0.16491112473919844</v>
      </c>
      <c r="N118">
        <f ca="1"/>
        <v>0</v>
      </c>
      <c r="O118">
        <f ca="1"/>
        <v>7.8914409296686951</v>
      </c>
      <c r="P118">
        <f ca="1"/>
        <v>4.3114213859653354</v>
      </c>
      <c r="Q118">
        <f ca="1"/>
        <v>0</v>
      </c>
      <c r="R118">
        <f ca="1"/>
        <v>5.2091153183453684E-2</v>
      </c>
      <c r="S118">
        <f ca="1"/>
        <v>0</v>
      </c>
      <c r="T118">
        <f ca="1"/>
        <v>0</v>
      </c>
      <c r="U118">
        <f ca="1"/>
        <v>0.44481845933252007</v>
      </c>
      <c r="W118" s="2">
        <f t="shared" ca="1" si="8"/>
        <v>45235</v>
      </c>
      <c r="X118">
        <f t="shared" ca="1" si="9"/>
        <v>0</v>
      </c>
      <c r="Z118" s="63">
        <f t="shared" ca="1" si="11"/>
        <v>56.546175361783263</v>
      </c>
      <c r="AA118" s="63">
        <f t="shared" ca="1" si="12"/>
        <v>56.546175361783263</v>
      </c>
      <c r="AB118" s="3">
        <f t="shared" ca="1" si="13"/>
        <v>0</v>
      </c>
    </row>
    <row r="119" spans="7:28">
      <c r="G119" t="b">
        <f t="shared" ca="1" si="10"/>
        <v>1</v>
      </c>
      <c r="H119" t="b">
        <f t="shared" ca="1" si="7"/>
        <v>1</v>
      </c>
      <c r="I119" s="2">
        <f ca="1"/>
        <v>45236</v>
      </c>
      <c r="J119">
        <f ca="1"/>
        <v>55.703891431242198</v>
      </c>
      <c r="K119">
        <f ca="1"/>
        <v>0.49723026781265744</v>
      </c>
      <c r="L119">
        <f ca="1"/>
        <v>-6.8266519969384376E-4</v>
      </c>
      <c r="M119">
        <f ca="1"/>
        <v>0.15731636690152337</v>
      </c>
      <c r="N119">
        <f ca="1"/>
        <v>0</v>
      </c>
      <c r="O119">
        <f ca="1"/>
        <v>8.3886711974813526</v>
      </c>
      <c r="P119">
        <f ca="1"/>
        <v>4.5830788981361534</v>
      </c>
      <c r="Q119">
        <f ca="1"/>
        <v>0</v>
      </c>
      <c r="R119">
        <f ca="1"/>
        <v>5.1405919685014657E-2</v>
      </c>
      <c r="S119">
        <f ca="1"/>
        <v>0</v>
      </c>
      <c r="T119">
        <f ca="1"/>
        <v>0</v>
      </c>
      <c r="U119">
        <f ca="1"/>
        <v>0.47362421332409399</v>
      </c>
      <c r="W119" s="2">
        <f t="shared" ca="1" si="8"/>
        <v>45236</v>
      </c>
      <c r="X119">
        <f t="shared" ca="1" si="9"/>
        <v>0</v>
      </c>
      <c r="Z119" s="63">
        <f t="shared" ca="1" si="11"/>
        <v>56.201121699054852</v>
      </c>
      <c r="AA119" s="63">
        <f t="shared" ca="1" si="12"/>
        <v>56.201121699054852</v>
      </c>
      <c r="AB119" s="3">
        <f t="shared" ca="1" si="13"/>
        <v>0</v>
      </c>
    </row>
    <row r="120" spans="7:28">
      <c r="G120" t="b">
        <f t="shared" ca="1" si="10"/>
        <v>1</v>
      </c>
      <c r="H120" t="b">
        <f t="shared" ca="1" si="7"/>
        <v>1</v>
      </c>
      <c r="I120" s="2">
        <f ca="1"/>
        <v>45237</v>
      </c>
      <c r="J120">
        <f ca="1"/>
        <v>55.317793991748502</v>
      </c>
      <c r="K120">
        <f ca="1"/>
        <v>0.54725215156844875</v>
      </c>
      <c r="L120">
        <f ca="1"/>
        <v>-7.5585702670011301E-4</v>
      </c>
      <c r="M120">
        <f ca="1"/>
        <v>0.16191056910145404</v>
      </c>
      <c r="N120">
        <f ca="1"/>
        <v>0</v>
      </c>
      <c r="O120">
        <f ca="1"/>
        <v>8.9359233490498013</v>
      </c>
      <c r="P120">
        <f ca="1"/>
        <v>4.8820654394808658</v>
      </c>
      <c r="Q120">
        <f ca="1"/>
        <v>0</v>
      </c>
      <c r="R120">
        <f ca="1"/>
        <v>5.7056457122190436E-2</v>
      </c>
      <c r="S120">
        <f ca="1"/>
        <v>0</v>
      </c>
      <c r="T120">
        <f ca="1"/>
        <v>0</v>
      </c>
      <c r="U120">
        <f ca="1"/>
        <v>0.50226009174281461</v>
      </c>
      <c r="W120" s="2">
        <f t="shared" ca="1" si="8"/>
        <v>45237</v>
      </c>
      <c r="X120">
        <f t="shared" ca="1" si="9"/>
        <v>0</v>
      </c>
      <c r="Z120" s="63">
        <f t="shared" ca="1" si="11"/>
        <v>55.865046143316945</v>
      </c>
      <c r="AA120" s="63">
        <f t="shared" ca="1" si="12"/>
        <v>55.865046143316953</v>
      </c>
      <c r="AB120" s="3">
        <f t="shared" ca="1" si="13"/>
        <v>0</v>
      </c>
    </row>
    <row r="121" spans="7:28">
      <c r="G121" t="b">
        <f t="shared" ca="1" si="10"/>
        <v>1</v>
      </c>
      <c r="H121" t="b">
        <f t="shared" ca="1" si="7"/>
        <v>1</v>
      </c>
      <c r="I121" s="2">
        <f ca="1"/>
        <v>45238</v>
      </c>
      <c r="J121">
        <f ca="1"/>
        <v>54.901492555686175</v>
      </c>
      <c r="K121">
        <f ca="1"/>
        <v>0.57652117441766926</v>
      </c>
      <c r="L121">
        <f ca="1"/>
        <v>-7.0262930876729968E-4</v>
      </c>
      <c r="M121">
        <f ca="1"/>
        <v>0.16092236766411577</v>
      </c>
      <c r="N121">
        <f ca="1"/>
        <v>0</v>
      </c>
      <c r="O121">
        <f ca="1"/>
        <v>9.5124445234674706</v>
      </c>
      <c r="P121">
        <f ca="1"/>
        <v>5.1970428616017399</v>
      </c>
      <c r="Q121">
        <f ca="1"/>
        <v>0</v>
      </c>
      <c r="R121">
        <f ca="1"/>
        <v>5.446275334675095E-2</v>
      </c>
      <c r="S121">
        <f ca="1"/>
        <v>0</v>
      </c>
      <c r="T121">
        <f ca="1"/>
        <v>0</v>
      </c>
      <c r="U121">
        <f ca="1"/>
        <v>0.52913917939647925</v>
      </c>
      <c r="W121" s="2">
        <f t="shared" ca="1" si="8"/>
        <v>45238</v>
      </c>
      <c r="X121">
        <f t="shared" ca="1" si="9"/>
        <v>0</v>
      </c>
      <c r="Z121" s="63">
        <f t="shared" ca="1" si="11"/>
        <v>55.478013730103847</v>
      </c>
      <c r="AA121" s="63">
        <f t="shared" ca="1" si="12"/>
        <v>55.478013730103847</v>
      </c>
      <c r="AB121" s="3">
        <f t="shared" ca="1" si="13"/>
        <v>0</v>
      </c>
    </row>
    <row r="122" spans="7:28">
      <c r="G122" t="b">
        <f t="shared" ca="1" si="10"/>
        <v>1</v>
      </c>
      <c r="H122" t="b">
        <f t="shared" ca="1" si="7"/>
        <v>1</v>
      </c>
      <c r="I122" s="2">
        <f ca="1"/>
        <v>45239</v>
      </c>
      <c r="J122">
        <f ca="1"/>
        <v>54.432056277500472</v>
      </c>
      <c r="K122">
        <f ca="1"/>
        <v>0.63343975952437503</v>
      </c>
      <c r="L122">
        <f ca="1"/>
        <v>-6.7735203864494054E-4</v>
      </c>
      <c r="M122">
        <f ca="1"/>
        <v>0.16468083337730741</v>
      </c>
      <c r="N122">
        <f ca="1"/>
        <v>0</v>
      </c>
      <c r="O122">
        <f ca="1"/>
        <v>10.145884282991846</v>
      </c>
      <c r="P122">
        <f ca="1"/>
        <v>5.5431172668053001</v>
      </c>
      <c r="Q122">
        <f ca="1"/>
        <v>0</v>
      </c>
      <c r="R122">
        <f ca="1"/>
        <v>5.2713302021156927E-2</v>
      </c>
      <c r="S122">
        <f ca="1"/>
        <v>0</v>
      </c>
      <c r="T122">
        <f ca="1"/>
        <v>0</v>
      </c>
      <c r="U122">
        <f ca="1"/>
        <v>0.5551012511620862</v>
      </c>
      <c r="W122" s="2">
        <f t="shared" ca="1" si="8"/>
        <v>45239</v>
      </c>
      <c r="X122">
        <f t="shared" ca="1" si="9"/>
        <v>0</v>
      </c>
      <c r="Z122" s="63">
        <f t="shared" ca="1" si="11"/>
        <v>55.065496037024843</v>
      </c>
      <c r="AA122" s="63">
        <f t="shared" ca="1" si="12"/>
        <v>55.065496037024843</v>
      </c>
      <c r="AB122" s="3">
        <f t="shared" ca="1" si="13"/>
        <v>0</v>
      </c>
    </row>
    <row r="123" spans="7:28">
      <c r="G123" t="b">
        <f t="shared" ca="1" si="10"/>
        <v>1</v>
      </c>
      <c r="H123" t="b">
        <f t="shared" ca="1" si="7"/>
        <v>1</v>
      </c>
      <c r="I123" s="2">
        <f ca="1"/>
        <v>45240</v>
      </c>
      <c r="J123">
        <f ca="1"/>
        <v>53.811971045063039</v>
      </c>
      <c r="K123">
        <f ca="1"/>
        <v>0.80666748306833824</v>
      </c>
      <c r="L123">
        <f ca="1"/>
        <v>-6.7224844696056607E-4</v>
      </c>
      <c r="M123">
        <f ca="1"/>
        <v>0.18725449907786451</v>
      </c>
      <c r="N123">
        <f ca="1"/>
        <v>0</v>
      </c>
      <c r="O123">
        <f ca="1"/>
        <v>10.952551766060184</v>
      </c>
      <c r="P123">
        <f ca="1"/>
        <v>5.9838331599938552</v>
      </c>
      <c r="Q123">
        <f ca="1"/>
        <v>0</v>
      </c>
      <c r="R123">
        <f ca="1"/>
        <v>4.822005564054118E-2</v>
      </c>
      <c r="S123">
        <f ca="1"/>
        <v>0</v>
      </c>
      <c r="T123">
        <f ca="1"/>
        <v>0</v>
      </c>
      <c r="U123">
        <f ca="1"/>
        <v>0.58336638368207683</v>
      </c>
      <c r="W123" s="2">
        <f t="shared" ca="1" si="8"/>
        <v>45240</v>
      </c>
      <c r="X123">
        <f t="shared" ca="1" si="9"/>
        <v>0</v>
      </c>
      <c r="Z123" s="63">
        <f t="shared" ca="1" si="11"/>
        <v>54.618638528131378</v>
      </c>
      <c r="AA123" s="63">
        <f t="shared" ca="1" si="12"/>
        <v>54.618638528131378</v>
      </c>
      <c r="AB123" s="3">
        <f t="shared" ca="1" si="13"/>
        <v>0</v>
      </c>
    </row>
    <row r="124" spans="7:28">
      <c r="G124" t="b">
        <f t="shared" ca="1" si="10"/>
        <v>1</v>
      </c>
      <c r="H124" t="b">
        <f t="shared" ca="1" si="7"/>
        <v>1</v>
      </c>
      <c r="I124" s="2">
        <f ca="1"/>
        <v>45241</v>
      </c>
      <c r="J124">
        <f ca="1"/>
        <v>53.187011318250129</v>
      </c>
      <c r="K124">
        <f ca="1"/>
        <v>0.80100251070417094</v>
      </c>
      <c r="L124">
        <f ca="1"/>
        <v>-6.0794891831861264E-4</v>
      </c>
      <c r="M124">
        <f ca="1"/>
        <v>0.17665073280957691</v>
      </c>
      <c r="N124">
        <f ca="1"/>
        <v>0</v>
      </c>
      <c r="O124">
        <f ca="1"/>
        <v>11.753554276764355</v>
      </c>
      <c r="P124">
        <f ca="1"/>
        <v>6.4214540438907681</v>
      </c>
      <c r="Q124">
        <f ca="1"/>
        <v>0</v>
      </c>
      <c r="R124">
        <f ca="1"/>
        <v>4.673695955919193E-2</v>
      </c>
      <c r="S124">
        <f ca="1"/>
        <v>0</v>
      </c>
      <c r="T124">
        <f ca="1"/>
        <v>0</v>
      </c>
      <c r="U124">
        <f ca="1"/>
        <v>0.6068683964268764</v>
      </c>
      <c r="W124" s="2">
        <f t="shared" ca="1" si="8"/>
        <v>45241</v>
      </c>
      <c r="X124">
        <f t="shared" ca="1" si="9"/>
        <v>0</v>
      </c>
      <c r="Z124" s="63">
        <f t="shared" ca="1" si="11"/>
        <v>53.988013828954294</v>
      </c>
      <c r="AA124" s="63">
        <f t="shared" ca="1" si="12"/>
        <v>53.988013828954301</v>
      </c>
      <c r="AB124" s="3">
        <f t="shared" ca="1" si="13"/>
        <v>0</v>
      </c>
    </row>
    <row r="125" spans="7:28">
      <c r="G125" t="b">
        <f t="shared" ca="1" si="10"/>
        <v>1</v>
      </c>
      <c r="H125" t="b">
        <f t="shared" ca="1" si="7"/>
        <v>1</v>
      </c>
      <c r="I125" s="2">
        <f ca="1"/>
        <v>45242</v>
      </c>
      <c r="J125">
        <f ca="1"/>
        <v>52.54077221471929</v>
      </c>
      <c r="K125">
        <f ca="1"/>
        <v>0.81744673623840569</v>
      </c>
      <c r="L125">
        <f ca="1"/>
        <v>-6.5867919972184552E-4</v>
      </c>
      <c r="M125">
        <f ca="1"/>
        <v>0.17186631190729326</v>
      </c>
      <c r="N125">
        <f ca="1"/>
        <v>0</v>
      </c>
      <c r="O125">
        <f ca="1"/>
        <v>12.571001013002761</v>
      </c>
      <c r="P125">
        <f ca="1"/>
        <v>6.8680590900307754</v>
      </c>
      <c r="Q125">
        <f ca="1"/>
        <v>0</v>
      </c>
      <c r="R125">
        <f ca="1"/>
        <v>5.3156132745998896E-2</v>
      </c>
      <c r="S125">
        <f ca="1"/>
        <v>0</v>
      </c>
      <c r="T125">
        <f ca="1"/>
        <v>0</v>
      </c>
      <c r="U125">
        <f ca="1"/>
        <v>0.62693343472540841</v>
      </c>
      <c r="W125" s="2">
        <f t="shared" ca="1" si="8"/>
        <v>45242</v>
      </c>
      <c r="X125">
        <f t="shared" ca="1" si="9"/>
        <v>0</v>
      </c>
      <c r="Z125" s="63">
        <f t="shared" ca="1" si="11"/>
        <v>53.358218950957699</v>
      </c>
      <c r="AA125" s="63">
        <f t="shared" ca="1" si="12"/>
        <v>53.358218950957692</v>
      </c>
      <c r="AB125" s="3">
        <f t="shared" ca="1" si="13"/>
        <v>0</v>
      </c>
    </row>
    <row r="126" spans="7:28">
      <c r="G126" t="b">
        <f t="shared" ca="1" si="10"/>
        <v>1</v>
      </c>
      <c r="H126" t="b">
        <f t="shared" ca="1" si="7"/>
        <v>1</v>
      </c>
      <c r="I126" s="2">
        <f ca="1"/>
        <v>45243</v>
      </c>
      <c r="J126">
        <f ca="1"/>
        <v>51.925106608162451</v>
      </c>
      <c r="K126">
        <f ca="1"/>
        <v>0.77395397470290384</v>
      </c>
      <c r="L126">
        <f ca="1"/>
        <v>-6.0142032946330914E-4</v>
      </c>
      <c r="M126">
        <f ca="1"/>
        <v>0.15888978847553656</v>
      </c>
      <c r="N126">
        <f ca="1"/>
        <v>0</v>
      </c>
      <c r="O126">
        <f ca="1"/>
        <v>13.344954987705664</v>
      </c>
      <c r="P126">
        <f ca="1"/>
        <v>7.2909022371855325</v>
      </c>
      <c r="Q126">
        <f ca="1"/>
        <v>0</v>
      </c>
      <c r="R126">
        <f ca="1"/>
        <v>5.2866962571310884E-2</v>
      </c>
      <c r="S126">
        <f ca="1"/>
        <v>0</v>
      </c>
      <c r="T126">
        <f ca="1"/>
        <v>0</v>
      </c>
      <c r="U126">
        <f ca="1"/>
        <v>0.64289942334649774</v>
      </c>
      <c r="W126" s="2">
        <f t="shared" ca="1" si="8"/>
        <v>45243</v>
      </c>
      <c r="X126">
        <f t="shared" ca="1" si="9"/>
        <v>0</v>
      </c>
      <c r="Z126" s="63">
        <f t="shared" ca="1" si="11"/>
        <v>52.699060582865357</v>
      </c>
      <c r="AA126" s="63">
        <f t="shared" ca="1" si="12"/>
        <v>52.699060582865357</v>
      </c>
      <c r="AB126" s="3">
        <f t="shared" ca="1" si="13"/>
        <v>0</v>
      </c>
    </row>
    <row r="127" spans="7:28">
      <c r="G127" t="b">
        <f t="shared" ca="1" si="10"/>
        <v>1</v>
      </c>
      <c r="H127" t="b">
        <f t="shared" ca="1" si="7"/>
        <v>1</v>
      </c>
      <c r="I127" s="2">
        <f ca="1"/>
        <v>45244</v>
      </c>
      <c r="J127">
        <f ca="1"/>
        <v>51.209246594638309</v>
      </c>
      <c r="K127">
        <f ca="1"/>
        <v>0.8821412861186726</v>
      </c>
      <c r="L127">
        <f ca="1"/>
        <v>-5.5303554695207424E-4</v>
      </c>
      <c r="M127">
        <f ca="1"/>
        <v>0.16683430814147912</v>
      </c>
      <c r="N127">
        <f ca="1"/>
        <v>0</v>
      </c>
      <c r="O127">
        <f ca="1"/>
        <v>14.227096273824337</v>
      </c>
      <c r="P127">
        <f ca="1"/>
        <v>7.7728525983820758</v>
      </c>
      <c r="Q127">
        <f ca="1"/>
        <v>0</v>
      </c>
      <c r="R127">
        <f ca="1"/>
        <v>4.7805096438214227E-2</v>
      </c>
      <c r="S127">
        <f ca="1"/>
        <v>0</v>
      </c>
      <c r="T127">
        <f ca="1"/>
        <v>0</v>
      </c>
      <c r="U127">
        <f ca="1"/>
        <v>0.65814004029362172</v>
      </c>
      <c r="W127" s="2">
        <f t="shared" ca="1" si="8"/>
        <v>45244</v>
      </c>
      <c r="X127">
        <f t="shared" ca="1" si="9"/>
        <v>0</v>
      </c>
      <c r="Z127" s="63">
        <f t="shared" ca="1" si="11"/>
        <v>52.091387880756983</v>
      </c>
      <c r="AA127" s="63">
        <f t="shared" ca="1" si="12"/>
        <v>52.091387880756983</v>
      </c>
      <c r="AB127" s="3">
        <f t="shared" ca="1" si="13"/>
        <v>0</v>
      </c>
    </row>
    <row r="128" spans="7:28">
      <c r="G128" t="b">
        <f t="shared" ca="1" si="10"/>
        <v>1</v>
      </c>
      <c r="H128" t="b">
        <f t="shared" ca="1" si="7"/>
        <v>1</v>
      </c>
      <c r="I128" s="2">
        <f ca="1"/>
        <v>45245</v>
      </c>
      <c r="J128">
        <f ca="1"/>
        <v>50.396233193637435</v>
      </c>
      <c r="K128">
        <f ca="1"/>
        <v>0.98538588244958625</v>
      </c>
      <c r="L128">
        <f ca="1"/>
        <v>-5.1468363557916064E-4</v>
      </c>
      <c r="M128">
        <f ca="1"/>
        <v>0.17288716508429114</v>
      </c>
      <c r="N128">
        <f ca="1"/>
        <v>0</v>
      </c>
      <c r="O128">
        <f ca="1"/>
        <v>15.212482156273923</v>
      </c>
      <c r="P128">
        <f ca="1"/>
        <v>8.3112097634277031</v>
      </c>
      <c r="Q128">
        <f ca="1"/>
        <v>0</v>
      </c>
      <c r="R128">
        <f ca="1"/>
        <v>4.4169959479330362E-2</v>
      </c>
      <c r="S128">
        <f ca="1"/>
        <v>0</v>
      </c>
      <c r="T128">
        <f ca="1"/>
        <v>0</v>
      </c>
      <c r="U128">
        <f ca="1"/>
        <v>0.67214285202494517</v>
      </c>
      <c r="W128" s="2">
        <f t="shared" ca="1" si="8"/>
        <v>45245</v>
      </c>
      <c r="X128">
        <f t="shared" ca="1" si="9"/>
        <v>0</v>
      </c>
      <c r="Z128" s="63">
        <f t="shared" ca="1" si="11"/>
        <v>51.38161907608702</v>
      </c>
      <c r="AA128" s="63">
        <f t="shared" ca="1" si="12"/>
        <v>51.38161907608702</v>
      </c>
      <c r="AB128" s="3">
        <f t="shared" ca="1" si="13"/>
        <v>0</v>
      </c>
    </row>
    <row r="129" spans="7:28">
      <c r="G129" t="b">
        <f t="shared" ca="1" si="10"/>
        <v>1</v>
      </c>
      <c r="H129" t="b">
        <f t="shared" ca="1" si="7"/>
        <v>1</v>
      </c>
      <c r="I129" s="2">
        <f ca="1"/>
        <v>45246</v>
      </c>
      <c r="J129">
        <f ca="1"/>
        <v>49.485660367771004</v>
      </c>
      <c r="K129">
        <f ca="1"/>
        <v>1.0885379891848554</v>
      </c>
      <c r="L129">
        <f ca="1"/>
        <v>-5.6512591543622648E-4</v>
      </c>
      <c r="M129">
        <f ca="1"/>
        <v>0.17853028923386063</v>
      </c>
      <c r="N129">
        <f ca="1"/>
        <v>0</v>
      </c>
      <c r="O129">
        <f ca="1"/>
        <v>16.301020145458779</v>
      </c>
      <c r="P129">
        <f ca="1"/>
        <v>8.9059232014213787</v>
      </c>
      <c r="Q129">
        <f ca="1"/>
        <v>0</v>
      </c>
      <c r="R129">
        <f ca="1"/>
        <v>4.851234660048874E-2</v>
      </c>
      <c r="S129">
        <f ca="1"/>
        <v>0</v>
      </c>
      <c r="T129">
        <f ca="1"/>
        <v>0</v>
      </c>
      <c r="U129">
        <f ca="1"/>
        <v>0.68467428703483701</v>
      </c>
      <c r="W129" s="2">
        <f t="shared" ca="1" si="8"/>
        <v>45246</v>
      </c>
      <c r="X129">
        <f t="shared" ca="1" si="9"/>
        <v>0</v>
      </c>
      <c r="Z129" s="63">
        <f t="shared" ca="1" si="11"/>
        <v>50.574198356955861</v>
      </c>
      <c r="AA129" s="63">
        <f t="shared" ca="1" si="12"/>
        <v>50.574198356955861</v>
      </c>
      <c r="AB129" s="3">
        <f t="shared" ca="1" si="13"/>
        <v>0</v>
      </c>
    </row>
    <row r="130" spans="7:28">
      <c r="G130" t="b">
        <f t="shared" ca="1" si="10"/>
        <v>1</v>
      </c>
      <c r="H130" t="b">
        <f t="shared" ca="1" si="7"/>
        <v>1</v>
      </c>
      <c r="I130" s="2">
        <f ca="1"/>
        <v>45247</v>
      </c>
      <c r="J130">
        <f ca="1"/>
        <v>48.613825583315617</v>
      </c>
      <c r="K130">
        <f ca="1"/>
        <v>1.0367884573063826</v>
      </c>
      <c r="L130">
        <f ca="1"/>
        <v>-5.4054226773914138E-4</v>
      </c>
      <c r="M130">
        <f ca="1"/>
        <v>0.16549421511873746</v>
      </c>
      <c r="N130">
        <f ca="1"/>
        <v>0</v>
      </c>
      <c r="O130">
        <f ca="1"/>
        <v>17.337808602765161</v>
      </c>
      <c r="P130">
        <f ca="1"/>
        <v>9.4723637244375496</v>
      </c>
      <c r="Q130">
        <f ca="1"/>
        <v>0</v>
      </c>
      <c r="R130">
        <f ca="1"/>
        <v>5.0594908508158121E-2</v>
      </c>
      <c r="S130">
        <f ca="1"/>
        <v>0</v>
      </c>
      <c r="T130">
        <f ca="1"/>
        <v>0</v>
      </c>
      <c r="U130">
        <f ca="1"/>
        <v>0.69435840597149789</v>
      </c>
      <c r="W130" s="2">
        <f t="shared" ca="1" si="8"/>
        <v>45247</v>
      </c>
      <c r="X130">
        <f t="shared" ca="1" si="9"/>
        <v>0</v>
      </c>
      <c r="Z130" s="63">
        <f t="shared" ca="1" si="11"/>
        <v>49.650614040621996</v>
      </c>
      <c r="AA130" s="63">
        <f t="shared" ca="1" si="12"/>
        <v>49.650614040622003</v>
      </c>
      <c r="AB130" s="3">
        <f t="shared" ca="1" si="13"/>
        <v>0</v>
      </c>
    </row>
    <row r="131" spans="7:28">
      <c r="G131" t="b">
        <f t="shared" ca="1" si="10"/>
        <v>1</v>
      </c>
      <c r="H131" t="b">
        <f t="shared" ca="1" si="7"/>
        <v>1</v>
      </c>
      <c r="I131" s="2">
        <f ca="1"/>
        <v>45248</v>
      </c>
      <c r="J131">
        <f ca="1"/>
        <v>47.753877242529526</v>
      </c>
      <c r="K131">
        <f ca="1"/>
        <v>1.0179873653962517</v>
      </c>
      <c r="L131">
        <f ca="1"/>
        <v>-5.9009404667520471E-4</v>
      </c>
      <c r="M131">
        <f ca="1"/>
        <v>0.15862911865683035</v>
      </c>
      <c r="N131">
        <f ca="1"/>
        <v>0</v>
      </c>
      <c r="O131">
        <f ca="1"/>
        <v>18.355795968161413</v>
      </c>
      <c r="P131">
        <f ca="1"/>
        <v>10.028532431385747</v>
      </c>
      <c r="Q131">
        <f ca="1"/>
        <v>0</v>
      </c>
      <c r="R131">
        <f ca="1"/>
        <v>5.8891116088876053E-2</v>
      </c>
      <c r="S131">
        <f ca="1"/>
        <v>0</v>
      </c>
      <c r="T131">
        <f ca="1"/>
        <v>0</v>
      </c>
      <c r="U131">
        <f ca="1"/>
        <v>0.70218400171707773</v>
      </c>
      <c r="W131" s="2">
        <f t="shared" ca="1" si="8"/>
        <v>45248</v>
      </c>
      <c r="X131">
        <f t="shared" ca="1" si="9"/>
        <v>0</v>
      </c>
      <c r="Z131" s="63">
        <f t="shared" ca="1" si="11"/>
        <v>48.771864607925778</v>
      </c>
      <c r="AA131" s="63">
        <f t="shared" ca="1" si="12"/>
        <v>48.771864607925778</v>
      </c>
      <c r="AB131" s="3">
        <f t="shared" ca="1" si="13"/>
        <v>0</v>
      </c>
    </row>
    <row r="132" spans="7:28">
      <c r="G132" t="b">
        <f t="shared" ca="1" si="10"/>
        <v>1</v>
      </c>
      <c r="H132" t="b">
        <f t="shared" ca="1" si="7"/>
        <v>1</v>
      </c>
      <c r="I132" s="2">
        <f ca="1"/>
        <v>45249</v>
      </c>
      <c r="J132">
        <f ca="1"/>
        <v>46.870955473440134</v>
      </c>
      <c r="K132">
        <f ca="1"/>
        <v>1.0388880836623784</v>
      </c>
      <c r="L132">
        <f ca="1"/>
        <v>-6.4288097373221831E-4</v>
      </c>
      <c r="M132">
        <f ca="1"/>
        <v>0.15660919554672068</v>
      </c>
      <c r="N132">
        <f ca="1"/>
        <v>0</v>
      </c>
      <c r="O132">
        <f ca="1"/>
        <v>19.394684051823791</v>
      </c>
      <c r="P132">
        <f ca="1"/>
        <v>10.596120067337875</v>
      </c>
      <c r="Q132">
        <f ca="1"/>
        <v>0</v>
      </c>
      <c r="R132">
        <f ca="1"/>
        <v>6.7138046213834249E-2</v>
      </c>
      <c r="S132">
        <f ca="1"/>
        <v>0</v>
      </c>
      <c r="T132">
        <f ca="1"/>
        <v>0</v>
      </c>
      <c r="U132">
        <f ca="1"/>
        <v>0.70880213001536307</v>
      </c>
      <c r="W132" s="2">
        <f t="shared" ca="1" si="8"/>
        <v>45249</v>
      </c>
      <c r="X132">
        <f t="shared" ca="1" si="9"/>
        <v>0</v>
      </c>
      <c r="Z132" s="63">
        <f t="shared" ca="1" si="11"/>
        <v>47.909843557102519</v>
      </c>
      <c r="AA132" s="63">
        <f t="shared" ca="1" si="12"/>
        <v>47.909843557102512</v>
      </c>
      <c r="AB132" s="3">
        <f t="shared" ca="1" si="13"/>
        <v>0</v>
      </c>
    </row>
    <row r="133" spans="7:28">
      <c r="G133" t="b">
        <f t="shared" ca="1" si="10"/>
        <v>1</v>
      </c>
      <c r="H133" t="b">
        <f t="shared" ca="1" si="7"/>
        <v>1</v>
      </c>
      <c r="I133" s="2">
        <f ca="1"/>
        <v>45250</v>
      </c>
      <c r="J133">
        <f ca="1"/>
        <v>45.813057239471206</v>
      </c>
      <c r="K133">
        <f ca="1"/>
        <v>1.226875066841238</v>
      </c>
      <c r="L133">
        <f ca="1"/>
        <v>-6.5999327259724794E-4</v>
      </c>
      <c r="M133">
        <f ca="1"/>
        <v>0.16963682614490713</v>
      </c>
      <c r="N133">
        <f ca="1"/>
        <v>0</v>
      </c>
      <c r="O133">
        <f ca="1"/>
        <v>20.621559118665029</v>
      </c>
      <c r="P133">
        <f ca="1"/>
        <v>11.266412786782842</v>
      </c>
      <c r="Q133">
        <f ca="1"/>
        <v>0</v>
      </c>
      <c r="R133">
        <f ca="1"/>
        <v>6.7135891560314215E-2</v>
      </c>
      <c r="S133">
        <f ca="1"/>
        <v>0</v>
      </c>
      <c r="T133">
        <f ca="1"/>
        <v>0</v>
      </c>
      <c r="U133">
        <f ca="1"/>
        <v>0.71520940360998941</v>
      </c>
      <c r="W133" s="2">
        <f t="shared" ca="1" si="8"/>
        <v>45250</v>
      </c>
      <c r="X133">
        <f t="shared" ca="1" si="9"/>
        <v>0</v>
      </c>
      <c r="Z133" s="63">
        <f t="shared" ca="1" si="11"/>
        <v>47.039932306312444</v>
      </c>
      <c r="AA133" s="63">
        <f t="shared" ca="1" si="12"/>
        <v>47.039932306312444</v>
      </c>
      <c r="AB133" s="3">
        <f t="shared" ca="1" si="13"/>
        <v>0</v>
      </c>
    </row>
    <row r="134" spans="7:28">
      <c r="G134" t="b">
        <f t="shared" ca="1" si="10"/>
        <v>1</v>
      </c>
      <c r="H134" t="b">
        <f t="shared" ca="1" si="7"/>
        <v>1</v>
      </c>
      <c r="I134" s="2">
        <f ca="1"/>
        <v>45251</v>
      </c>
      <c r="J134">
        <f ca="1"/>
        <v>44.705455731544134</v>
      </c>
      <c r="K134">
        <f ca="1"/>
        <v>1.276069472716209</v>
      </c>
      <c r="L134">
        <f ca="1"/>
        <v>-7.0331792506728164E-4</v>
      </c>
      <c r="M134">
        <f ca="1"/>
        <v>0.16917128271420359</v>
      </c>
      <c r="N134">
        <f ca="1"/>
        <v>0</v>
      </c>
      <c r="O134">
        <f ca="1"/>
        <v>21.897628591381238</v>
      </c>
      <c r="P134">
        <f ca="1"/>
        <v>11.963582449925358</v>
      </c>
      <c r="Q134">
        <f ca="1"/>
        <v>0</v>
      </c>
      <c r="R134">
        <f ca="1"/>
        <v>7.4904363257973214E-2</v>
      </c>
      <c r="S134">
        <f ca="1"/>
        <v>0</v>
      </c>
      <c r="T134">
        <f ca="1"/>
        <v>0</v>
      </c>
      <c r="U134">
        <f ca="1"/>
        <v>0.72060527100697724</v>
      </c>
      <c r="W134" s="2">
        <f t="shared" ca="1" si="8"/>
        <v>45251</v>
      </c>
      <c r="X134">
        <f t="shared" ca="1" si="9"/>
        <v>0</v>
      </c>
      <c r="Z134" s="63">
        <f t="shared" ca="1" si="11"/>
        <v>45.981525204260343</v>
      </c>
      <c r="AA134" s="63">
        <f t="shared" ca="1" si="12"/>
        <v>45.981525204260343</v>
      </c>
      <c r="AB134" s="3">
        <f t="shared" ca="1" si="13"/>
        <v>0</v>
      </c>
    </row>
    <row r="135" spans="7:28">
      <c r="G135" t="b">
        <f t="shared" ca="1" si="10"/>
        <v>1</v>
      </c>
      <c r="H135" t="b">
        <f t="shared" ref="H135:H198" ca="1" si="14">AND(IF(I135&gt;($I$3-1),TRUE,FALSE),IF(I135&lt;($I$4+1),TRUE,FALSE))</f>
        <v>1</v>
      </c>
      <c r="I135" s="2">
        <f ca="1"/>
        <v>45252</v>
      </c>
      <c r="J135">
        <f ca="1"/>
        <v>43.642268356227476</v>
      </c>
      <c r="K135">
        <f ca="1"/>
        <v>1.2214409807810931</v>
      </c>
      <c r="L135">
        <f ca="1"/>
        <v>-6.3302045480284619E-4</v>
      </c>
      <c r="M135">
        <f ca="1"/>
        <v>0.15888662591923178</v>
      </c>
      <c r="N135">
        <f ca="1"/>
        <v>0</v>
      </c>
      <c r="O135">
        <f ca="1"/>
        <v>23.119069572162331</v>
      </c>
      <c r="P135">
        <f ca="1"/>
        <v>12.630906302839906</v>
      </c>
      <c r="Q135">
        <f ca="1"/>
        <v>0</v>
      </c>
      <c r="R135">
        <f ca="1"/>
        <v>7.3742078023439309E-2</v>
      </c>
      <c r="S135">
        <f ca="1"/>
        <v>0</v>
      </c>
      <c r="T135">
        <f ca="1"/>
        <v>0</v>
      </c>
      <c r="U135">
        <f ca="1"/>
        <v>0.72482463017343757</v>
      </c>
      <c r="W135" s="2">
        <f t="shared" ref="W135:W198" ca="1" si="15">IFERROR(I135,$W$5)</f>
        <v>45252</v>
      </c>
      <c r="X135">
        <f t="shared" ref="X135:X198" ca="1" si="16">IFERROR(N135,0)</f>
        <v>0</v>
      </c>
      <c r="Z135" s="63">
        <f t="shared" ca="1" si="11"/>
        <v>44.863709337008565</v>
      </c>
      <c r="AA135" s="63">
        <f t="shared" ca="1" si="12"/>
        <v>44.863709337008572</v>
      </c>
      <c r="AB135" s="3">
        <f t="shared" ca="1" si="13"/>
        <v>0</v>
      </c>
    </row>
    <row r="136" spans="7:28">
      <c r="G136" t="b">
        <f t="shared" ref="G136:G199" ca="1" si="17">IF(I136&lt;$I$4,TRUE,FALSE)</f>
        <v>1</v>
      </c>
      <c r="H136" t="b">
        <f t="shared" ca="1" si="14"/>
        <v>1</v>
      </c>
      <c r="I136" s="2">
        <f ca="1"/>
        <v>45253</v>
      </c>
      <c r="J136">
        <f ca="1"/>
        <v>42.30289977903702</v>
      </c>
      <c r="K136">
        <f ca="1"/>
        <v>1.5172021490808447</v>
      </c>
      <c r="L136">
        <f ca="1"/>
        <v>-6.2848481869615114E-4</v>
      </c>
      <c r="M136">
        <f ca="1"/>
        <v>0.17846205670908655</v>
      </c>
      <c r="N136">
        <f ca="1"/>
        <v>0</v>
      </c>
      <c r="O136">
        <f ca="1"/>
        <v>24.636271721243176</v>
      </c>
      <c r="P136">
        <f ca="1"/>
        <v>13.459816745264561</v>
      </c>
      <c r="Q136">
        <f ca="1"/>
        <v>0</v>
      </c>
      <c r="R136">
        <f ca="1"/>
        <v>6.9632707371700131E-2</v>
      </c>
      <c r="S136">
        <f ca="1"/>
        <v>0</v>
      </c>
      <c r="T136">
        <f ca="1"/>
        <v>0</v>
      </c>
      <c r="U136">
        <f ca="1"/>
        <v>0.72906798699566688</v>
      </c>
      <c r="W136" s="2">
        <f t="shared" ca="1" si="15"/>
        <v>45253</v>
      </c>
      <c r="X136">
        <f t="shared" ca="1" si="16"/>
        <v>0</v>
      </c>
      <c r="Z136" s="63">
        <f t="shared" ca="1" si="11"/>
        <v>43.820101928117865</v>
      </c>
      <c r="AA136" s="63">
        <f t="shared" ca="1" si="12"/>
        <v>43.820101928117865</v>
      </c>
      <c r="AB136" s="3">
        <f t="shared" ca="1" si="13"/>
        <v>0</v>
      </c>
    </row>
    <row r="137" spans="7:28">
      <c r="G137" t="b">
        <f t="shared" ca="1" si="17"/>
        <v>1</v>
      </c>
      <c r="H137" t="b">
        <f t="shared" ca="1" si="14"/>
        <v>1</v>
      </c>
      <c r="I137" s="2">
        <f ca="1"/>
        <v>45254</v>
      </c>
      <c r="J137">
        <f ca="1"/>
        <v>40.834683515962276</v>
      </c>
      <c r="K137">
        <f ca="1"/>
        <v>1.6503045288004756</v>
      </c>
      <c r="L137">
        <f ca="1"/>
        <v>-5.9080800233779485E-4</v>
      </c>
      <c r="M137">
        <f ca="1"/>
        <v>0.1826790737280643</v>
      </c>
      <c r="N137">
        <f ca="1"/>
        <v>0</v>
      </c>
      <c r="O137">
        <f ca="1"/>
        <v>26.286576250043652</v>
      </c>
      <c r="P137">
        <f ca="1"/>
        <v>14.361446536609211</v>
      </c>
      <c r="Q137">
        <f ca="1"/>
        <v>0</v>
      </c>
      <c r="R137">
        <f ca="1"/>
        <v>6.7091744625720262E-2</v>
      </c>
      <c r="S137">
        <f ca="1"/>
        <v>0</v>
      </c>
      <c r="T137">
        <f ca="1"/>
        <v>0</v>
      </c>
      <c r="U137">
        <f ca="1"/>
        <v>0.732721871783936</v>
      </c>
      <c r="W137" s="2">
        <f t="shared" ca="1" si="15"/>
        <v>45254</v>
      </c>
      <c r="X137">
        <f t="shared" ca="1" si="16"/>
        <v>0</v>
      </c>
      <c r="Z137" s="63">
        <f t="shared" ref="Z137:Z200" ca="1" si="18">J136+L137+M137+N137</f>
        <v>42.484988044762751</v>
      </c>
      <c r="AA137" s="63">
        <f t="shared" ref="AA137:AA200" ca="1" si="19">J137+K137+Q137</f>
        <v>42.484988044762751</v>
      </c>
      <c r="AB137" s="3">
        <f t="shared" ref="AB137:AB200" ca="1" si="20">AA137-Z137</f>
        <v>0</v>
      </c>
    </row>
    <row r="138" spans="7:28">
      <c r="G138" t="b">
        <f t="shared" ca="1" si="17"/>
        <v>1</v>
      </c>
      <c r="H138" t="b">
        <f t="shared" ca="1" si="14"/>
        <v>1</v>
      </c>
      <c r="I138" s="2">
        <f ca="1"/>
        <v>45255</v>
      </c>
      <c r="J138">
        <f ca="1"/>
        <v>39.222089461173766</v>
      </c>
      <c r="K138">
        <f ca="1"/>
        <v>1.8009189811722699</v>
      </c>
      <c r="L138">
        <f ca="1"/>
        <v>-6.4732787805610315E-4</v>
      </c>
      <c r="M138">
        <f ca="1"/>
        <v>0.18897225426181877</v>
      </c>
      <c r="N138">
        <f ca="1"/>
        <v>0</v>
      </c>
      <c r="O138">
        <f ca="1"/>
        <v>28.087495231215922</v>
      </c>
      <c r="P138">
        <f ca="1"/>
        <v>15.345363248274062</v>
      </c>
      <c r="Q138">
        <f ca="1"/>
        <v>0</v>
      </c>
      <c r="R138">
        <f ca="1"/>
        <v>7.5506990176130537E-2</v>
      </c>
      <c r="S138">
        <f ca="1"/>
        <v>0</v>
      </c>
      <c r="T138">
        <f ca="1"/>
        <v>0</v>
      </c>
      <c r="U138">
        <f ca="1"/>
        <v>0.73585206884284382</v>
      </c>
      <c r="W138" s="2">
        <f t="shared" ca="1" si="15"/>
        <v>45255</v>
      </c>
      <c r="X138">
        <f t="shared" ca="1" si="16"/>
        <v>0</v>
      </c>
      <c r="Z138" s="63">
        <f t="shared" ca="1" si="18"/>
        <v>41.02300844234604</v>
      </c>
      <c r="AA138" s="63">
        <f t="shared" ca="1" si="19"/>
        <v>41.02300844234604</v>
      </c>
      <c r="AB138" s="3">
        <f t="shared" ca="1" si="20"/>
        <v>0</v>
      </c>
    </row>
    <row r="139" spans="7:28">
      <c r="G139" t="b">
        <f t="shared" ca="1" si="17"/>
        <v>1</v>
      </c>
      <c r="H139" t="b">
        <f t="shared" ca="1" si="14"/>
        <v>1</v>
      </c>
      <c r="I139" s="2">
        <f ca="1"/>
        <v>45256</v>
      </c>
      <c r="J139">
        <f ca="1"/>
        <v>37.573915516136211</v>
      </c>
      <c r="K139">
        <f ca="1"/>
        <v>1.8320554983262483</v>
      </c>
      <c r="L139">
        <f ca="1"/>
        <v>-6.09099520929135E-4</v>
      </c>
      <c r="M139">
        <f ca="1"/>
        <v>0.18449065280962304</v>
      </c>
      <c r="N139">
        <f ca="1"/>
        <v>0</v>
      </c>
      <c r="O139">
        <f ca="1"/>
        <v>29.91955072954217</v>
      </c>
      <c r="P139">
        <f ca="1"/>
        <v>16.346291130286453</v>
      </c>
      <c r="Q139">
        <f ca="1"/>
        <v>0</v>
      </c>
      <c r="R139">
        <f ca="1"/>
        <v>7.6625646537768835E-2</v>
      </c>
      <c r="S139">
        <f ca="1"/>
        <v>0</v>
      </c>
      <c r="T139">
        <f ca="1"/>
        <v>0</v>
      </c>
      <c r="U139">
        <f ca="1"/>
        <v>0.73835081487064547</v>
      </c>
      <c r="W139" s="2">
        <f t="shared" ca="1" si="15"/>
        <v>45256</v>
      </c>
      <c r="X139">
        <f t="shared" ca="1" si="16"/>
        <v>0</v>
      </c>
      <c r="Z139" s="63">
        <f t="shared" ca="1" si="18"/>
        <v>39.405971014462459</v>
      </c>
      <c r="AA139" s="63">
        <f t="shared" ca="1" si="19"/>
        <v>39.405971014462459</v>
      </c>
      <c r="AB139" s="3">
        <f t="shared" ca="1" si="20"/>
        <v>0</v>
      </c>
    </row>
    <row r="140" spans="7:28">
      <c r="G140" t="b">
        <f t="shared" ca="1" si="17"/>
        <v>1</v>
      </c>
      <c r="H140" t="b">
        <f t="shared" ca="1" si="14"/>
        <v>1</v>
      </c>
      <c r="I140" s="2">
        <f ca="1"/>
        <v>45257</v>
      </c>
      <c r="J140">
        <f ca="1"/>
        <v>35.903692536463538</v>
      </c>
      <c r="K140">
        <f ca="1"/>
        <v>1.8486147462418714</v>
      </c>
      <c r="L140">
        <f ca="1"/>
        <v>-5.3070733755333777E-4</v>
      </c>
      <c r="M140">
        <f ca="1"/>
        <v>0.17892247390675359</v>
      </c>
      <c r="N140">
        <f ca="1"/>
        <v>0</v>
      </c>
      <c r="O140">
        <f ca="1"/>
        <v>31.768165475784041</v>
      </c>
      <c r="P140">
        <f ca="1"/>
        <v>17.356266016038106</v>
      </c>
      <c r="Q140">
        <f ca="1"/>
        <v>0</v>
      </c>
      <c r="R140">
        <f ca="1"/>
        <v>7.2175829129142027E-2</v>
      </c>
      <c r="S140">
        <f ca="1"/>
        <v>0</v>
      </c>
      <c r="T140">
        <f ca="1"/>
        <v>0</v>
      </c>
      <c r="U140">
        <f ca="1"/>
        <v>0.74034678491818595</v>
      </c>
      <c r="W140" s="2">
        <f t="shared" ca="1" si="15"/>
        <v>45257</v>
      </c>
      <c r="X140">
        <f t="shared" ca="1" si="16"/>
        <v>0</v>
      </c>
      <c r="Z140" s="63">
        <f t="shared" ca="1" si="18"/>
        <v>37.752307282705409</v>
      </c>
      <c r="AA140" s="63">
        <f t="shared" ca="1" si="19"/>
        <v>37.752307282705409</v>
      </c>
      <c r="AB140" s="3">
        <f t="shared" ca="1" si="20"/>
        <v>0</v>
      </c>
    </row>
    <row r="141" spans="7:28">
      <c r="G141" t="b">
        <f t="shared" ca="1" si="17"/>
        <v>1</v>
      </c>
      <c r="H141" t="b">
        <f t="shared" ca="1" si="14"/>
        <v>1</v>
      </c>
      <c r="I141" s="2">
        <f ca="1"/>
        <v>45258</v>
      </c>
      <c r="J141">
        <f ca="1"/>
        <v>34.198437180373098</v>
      </c>
      <c r="K141">
        <f ca="1"/>
        <v>1.8812088736277808</v>
      </c>
      <c r="L141">
        <f ca="1"/>
        <v>-5.3937178967977673E-4</v>
      </c>
      <c r="M141">
        <f ca="1"/>
        <v>0.17649288932701349</v>
      </c>
      <c r="N141">
        <f ca="1"/>
        <v>0</v>
      </c>
      <c r="O141">
        <f ca="1"/>
        <v>33.649374349411822</v>
      </c>
      <c r="P141">
        <f ca="1"/>
        <v>18.384048425044504</v>
      </c>
      <c r="Q141">
        <f ca="1"/>
        <v>0</v>
      </c>
      <c r="R141">
        <f ca="1"/>
        <v>7.8903196685119401E-2</v>
      </c>
      <c r="S141">
        <f ca="1"/>
        <v>0</v>
      </c>
      <c r="T141">
        <f ca="1"/>
        <v>0</v>
      </c>
      <c r="U141">
        <f ca="1"/>
        <v>0.74196764623801337</v>
      </c>
      <c r="W141" s="2">
        <f t="shared" ca="1" si="15"/>
        <v>45258</v>
      </c>
      <c r="X141">
        <f t="shared" ca="1" si="16"/>
        <v>0</v>
      </c>
      <c r="Z141" s="63">
        <f t="shared" ca="1" si="18"/>
        <v>36.079646054000875</v>
      </c>
      <c r="AA141" s="63">
        <f t="shared" ca="1" si="19"/>
        <v>36.079646054000875</v>
      </c>
      <c r="AB141" s="3">
        <f t="shared" ca="1" si="20"/>
        <v>0</v>
      </c>
    </row>
    <row r="142" spans="7:28">
      <c r="G142" t="b">
        <f t="shared" ca="1" si="17"/>
        <v>1</v>
      </c>
      <c r="H142" t="b">
        <f t="shared" ca="1" si="14"/>
        <v>1</v>
      </c>
      <c r="I142" s="2">
        <f ca="1"/>
        <v>45259</v>
      </c>
      <c r="J142">
        <f ca="1"/>
        <v>32.481041780972689</v>
      </c>
      <c r="K142">
        <f ca="1"/>
        <v>1.8885831738994057</v>
      </c>
      <c r="L142">
        <f ca="1"/>
        <v>-4.7608827116008001E-4</v>
      </c>
      <c r="M142">
        <f ca="1"/>
        <v>0.17166386277015716</v>
      </c>
      <c r="N142">
        <f ca="1"/>
        <v>0</v>
      </c>
      <c r="O142">
        <f ca="1"/>
        <v>35.537957523311228</v>
      </c>
      <c r="P142">
        <f ca="1"/>
        <v>19.415859720052957</v>
      </c>
      <c r="Q142">
        <f ca="1"/>
        <v>0</v>
      </c>
      <c r="R142">
        <f ca="1"/>
        <v>7.5595125091849263E-2</v>
      </c>
      <c r="S142">
        <f ca="1"/>
        <v>0</v>
      </c>
      <c r="T142">
        <f ca="1"/>
        <v>0</v>
      </c>
      <c r="U142">
        <f ca="1"/>
        <v>0.74327620228784252</v>
      </c>
      <c r="W142" s="2">
        <f t="shared" ca="1" si="15"/>
        <v>45259</v>
      </c>
      <c r="X142">
        <f t="shared" ca="1" si="16"/>
        <v>0</v>
      </c>
      <c r="Z142" s="63">
        <f t="shared" ca="1" si="18"/>
        <v>34.369624954872094</v>
      </c>
      <c r="AA142" s="63">
        <f t="shared" ca="1" si="19"/>
        <v>34.369624954872094</v>
      </c>
      <c r="AB142" s="3">
        <f t="shared" ca="1" si="20"/>
        <v>0</v>
      </c>
    </row>
    <row r="143" spans="7:28">
      <c r="G143" t="b">
        <f t="shared" ca="1" si="17"/>
        <v>1</v>
      </c>
      <c r="H143" t="b">
        <f t="shared" ca="1" si="14"/>
        <v>1</v>
      </c>
      <c r="I143" s="2">
        <f ca="1"/>
        <v>45260</v>
      </c>
      <c r="J143">
        <f ca="1"/>
        <v>30.599168264943483</v>
      </c>
      <c r="K143">
        <f ca="1"/>
        <v>2.0593669255304548</v>
      </c>
      <c r="L143">
        <f ca="1"/>
        <v>-4.5984652438946227E-4</v>
      </c>
      <c r="M143">
        <f ca="1"/>
        <v>0.17795325602563694</v>
      </c>
      <c r="N143">
        <f ca="1"/>
        <v>0</v>
      </c>
      <c r="O143">
        <f ca="1"/>
        <v>37.597324448841682</v>
      </c>
      <c r="P143">
        <f ca="1"/>
        <v>20.540977259854966</v>
      </c>
      <c r="Q143">
        <f ca="1"/>
        <v>0</v>
      </c>
      <c r="R143">
        <f ca="1"/>
        <v>7.5683585771499889E-2</v>
      </c>
      <c r="S143">
        <f ca="1"/>
        <v>0</v>
      </c>
      <c r="T143">
        <f ca="1"/>
        <v>0</v>
      </c>
      <c r="U143">
        <f ca="1"/>
        <v>0.74442361167291404</v>
      </c>
      <c r="W143" s="2">
        <f t="shared" ca="1" si="15"/>
        <v>45260</v>
      </c>
      <c r="X143">
        <f t="shared" ca="1" si="16"/>
        <v>0</v>
      </c>
      <c r="Z143" s="63">
        <f t="shared" ca="1" si="18"/>
        <v>32.658535190473934</v>
      </c>
      <c r="AA143" s="63">
        <f t="shared" ca="1" si="19"/>
        <v>32.658535190473941</v>
      </c>
      <c r="AB143" s="3">
        <f t="shared" ca="1" si="20"/>
        <v>0</v>
      </c>
    </row>
    <row r="144" spans="7:28">
      <c r="G144" t="b">
        <f t="shared" ca="1" si="17"/>
        <v>1</v>
      </c>
      <c r="H144" t="b">
        <f t="shared" ca="1" si="14"/>
        <v>1</v>
      </c>
      <c r="I144" s="2">
        <f ca="1"/>
        <v>45261</v>
      </c>
      <c r="J144">
        <f ca="1"/>
        <v>28.404343502701757</v>
      </c>
      <c r="K144">
        <f ca="1"/>
        <v>2.3876863787331004</v>
      </c>
      <c r="L144">
        <f ca="1"/>
        <v>-4.413215297258688E-4</v>
      </c>
      <c r="M144">
        <f ca="1"/>
        <v>0.19330293802109666</v>
      </c>
      <c r="N144">
        <f ca="1"/>
        <v>0</v>
      </c>
      <c r="O144">
        <f ca="1"/>
        <v>39.985010827574783</v>
      </c>
      <c r="P144">
        <f ca="1"/>
        <v>21.845469330187193</v>
      </c>
      <c r="Q144">
        <f ca="1"/>
        <v>0</v>
      </c>
      <c r="R144">
        <f ca="1"/>
        <v>7.2756150733780986E-2</v>
      </c>
      <c r="S144">
        <f ca="1"/>
        <v>0</v>
      </c>
      <c r="T144">
        <f ca="1"/>
        <v>0</v>
      </c>
      <c r="U144">
        <f ca="1"/>
        <v>0.74547596536416183</v>
      </c>
      <c r="W144" s="2">
        <f t="shared" ca="1" si="15"/>
        <v>45261</v>
      </c>
      <c r="X144">
        <f t="shared" ca="1" si="16"/>
        <v>0</v>
      </c>
      <c r="Z144" s="63">
        <f t="shared" ca="1" si="18"/>
        <v>30.792029881434857</v>
      </c>
      <c r="AA144" s="63">
        <f t="shared" ca="1" si="19"/>
        <v>30.792029881434857</v>
      </c>
      <c r="AB144" s="3">
        <f t="shared" ca="1" si="20"/>
        <v>0</v>
      </c>
    </row>
    <row r="145" spans="7:28">
      <c r="G145" t="b">
        <f t="shared" ca="1" si="17"/>
        <v>1</v>
      </c>
      <c r="H145" t="b">
        <f t="shared" ca="1" si="14"/>
        <v>1</v>
      </c>
      <c r="I145" s="2">
        <f ca="1"/>
        <v>45262</v>
      </c>
      <c r="J145">
        <f ca="1"/>
        <v>26.050488576399069</v>
      </c>
      <c r="K145">
        <f ca="1"/>
        <v>2.5505304832096556</v>
      </c>
      <c r="L145">
        <f ca="1"/>
        <v>-3.8876963509260065E-4</v>
      </c>
      <c r="M145">
        <f ca="1"/>
        <v>0.19706432654205855</v>
      </c>
      <c r="N145">
        <f ca="1"/>
        <v>0</v>
      </c>
      <c r="O145">
        <f ca="1"/>
        <v>42.535541310784438</v>
      </c>
      <c r="P145">
        <f ca="1"/>
        <v>23.238929886867592</v>
      </c>
      <c r="Q145">
        <f ca="1"/>
        <v>0</v>
      </c>
      <c r="R145">
        <f ca="1"/>
        <v>6.774436750147389E-2</v>
      </c>
      <c r="S145">
        <f ca="1"/>
        <v>0</v>
      </c>
      <c r="T145">
        <f ca="1"/>
        <v>0</v>
      </c>
      <c r="U145">
        <f ca="1"/>
        <v>0.7463524415482079</v>
      </c>
      <c r="W145" s="2">
        <f t="shared" ca="1" si="15"/>
        <v>45262</v>
      </c>
      <c r="X145">
        <f t="shared" ca="1" si="16"/>
        <v>0</v>
      </c>
      <c r="Z145" s="63">
        <f t="shared" ca="1" si="18"/>
        <v>28.601019059608721</v>
      </c>
      <c r="AA145" s="63">
        <f t="shared" ca="1" si="19"/>
        <v>28.601019059608724</v>
      </c>
      <c r="AB145" s="3">
        <f t="shared" ca="1" si="20"/>
        <v>0</v>
      </c>
    </row>
    <row r="146" spans="7:28">
      <c r="G146" t="b">
        <f t="shared" ca="1" si="17"/>
        <v>1</v>
      </c>
      <c r="H146" t="b">
        <f t="shared" ca="1" si="14"/>
        <v>1</v>
      </c>
      <c r="I146" s="2">
        <f ca="1"/>
        <v>45263</v>
      </c>
      <c r="J146">
        <f ca="1"/>
        <v>47.641539012456334</v>
      </c>
      <c r="K146">
        <f ca="1"/>
        <v>2.818556406149554</v>
      </c>
      <c r="L146">
        <f ca="1"/>
        <v>-3.590190172246821E-4</v>
      </c>
      <c r="M146">
        <f ca="1"/>
        <v>0.20733547832235838</v>
      </c>
      <c r="N146">
        <f ca="1"/>
        <v>24.202630382901685</v>
      </c>
      <c r="O146">
        <f ca="1"/>
        <v>45.354097716933993</v>
      </c>
      <c r="P146">
        <f ca="1"/>
        <v>24.778824118520031</v>
      </c>
      <c r="Q146">
        <f ca="1"/>
        <v>0</v>
      </c>
      <c r="R146">
        <f ca="1"/>
        <v>6.4647056508140358E-2</v>
      </c>
      <c r="S146">
        <f ca="1"/>
        <v>0</v>
      </c>
      <c r="T146">
        <f ca="1"/>
        <v>0</v>
      </c>
      <c r="U146">
        <f ca="1"/>
        <v>0.74710094570768271</v>
      </c>
      <c r="W146" s="2">
        <f t="shared" ca="1" si="15"/>
        <v>45263</v>
      </c>
      <c r="X146">
        <f t="shared" ca="1" si="16"/>
        <v>24.202630382901685</v>
      </c>
      <c r="Z146" s="63">
        <f t="shared" ca="1" si="18"/>
        <v>50.460095418605889</v>
      </c>
      <c r="AA146" s="63">
        <f t="shared" ca="1" si="19"/>
        <v>50.460095418605889</v>
      </c>
      <c r="AB146" s="3">
        <f t="shared" ca="1" si="20"/>
        <v>0</v>
      </c>
    </row>
    <row r="147" spans="7:28">
      <c r="G147" t="b">
        <f t="shared" ca="1" si="17"/>
        <v>1</v>
      </c>
      <c r="H147" t="b">
        <f t="shared" ca="1" si="14"/>
        <v>1</v>
      </c>
      <c r="I147" s="2">
        <f ca="1"/>
        <v>45264</v>
      </c>
      <c r="J147">
        <f ca="1"/>
        <v>45.046451407560859</v>
      </c>
      <c r="K147">
        <f ca="1"/>
        <v>2.7945757630150752</v>
      </c>
      <c r="L147">
        <f ca="1"/>
        <v>-3.0905569135519784E-4</v>
      </c>
      <c r="M147">
        <f ca="1"/>
        <v>0.19979721381095164</v>
      </c>
      <c r="N147">
        <f ca="1"/>
        <v>0</v>
      </c>
      <c r="O147">
        <f ca="1"/>
        <v>48.148673479949068</v>
      </c>
      <c r="P147">
        <f ca="1"/>
        <v>26.305616730508753</v>
      </c>
      <c r="Q147">
        <f ca="1"/>
        <v>0</v>
      </c>
      <c r="R147">
        <f ca="1"/>
        <v>6.210853445998215E-2</v>
      </c>
      <c r="S147">
        <f ca="1"/>
        <v>0</v>
      </c>
      <c r="T147">
        <f ca="1"/>
        <v>0</v>
      </c>
      <c r="U147">
        <f ca="1"/>
        <v>0.74767438126313057</v>
      </c>
      <c r="W147" s="2">
        <f t="shared" ca="1" si="15"/>
        <v>45264</v>
      </c>
      <c r="X147">
        <f t="shared" ca="1" si="16"/>
        <v>0</v>
      </c>
      <c r="Z147" s="63">
        <f t="shared" ca="1" si="18"/>
        <v>47.841027170575934</v>
      </c>
      <c r="AA147" s="63">
        <f t="shared" ca="1" si="19"/>
        <v>47.841027170575934</v>
      </c>
      <c r="AB147" s="3">
        <f t="shared" ca="1" si="20"/>
        <v>0</v>
      </c>
    </row>
    <row r="148" spans="7:28">
      <c r="G148" t="b">
        <f t="shared" ca="1" si="17"/>
        <v>1</v>
      </c>
      <c r="H148" t="b">
        <f t="shared" ca="1" si="14"/>
        <v>1</v>
      </c>
      <c r="I148" s="2">
        <f ca="1"/>
        <v>45265</v>
      </c>
      <c r="J148">
        <f ca="1"/>
        <v>42.395734304475369</v>
      </c>
      <c r="K148">
        <f ca="1"/>
        <v>2.8487313416005264</v>
      </c>
      <c r="L148">
        <f ca="1"/>
        <v>-2.878051514478841E-4</v>
      </c>
      <c r="M148">
        <f ca="1"/>
        <v>0.19830204366648183</v>
      </c>
      <c r="N148">
        <f ca="1"/>
        <v>0</v>
      </c>
      <c r="O148">
        <f ca="1"/>
        <v>50.997404821549594</v>
      </c>
      <c r="P148">
        <f ca="1"/>
        <v>27.86199678055392</v>
      </c>
      <c r="Q148">
        <f ca="1"/>
        <v>0</v>
      </c>
      <c r="R148">
        <f ca="1"/>
        <v>6.3325504931882534E-2</v>
      </c>
      <c r="S148">
        <f ca="1"/>
        <v>0</v>
      </c>
      <c r="T148">
        <f ca="1"/>
        <v>0</v>
      </c>
      <c r="U148">
        <f ca="1"/>
        <v>0.74813055421255314</v>
      </c>
      <c r="W148" s="2">
        <f t="shared" ca="1" si="15"/>
        <v>45265</v>
      </c>
      <c r="X148">
        <f t="shared" ca="1" si="16"/>
        <v>0</v>
      </c>
      <c r="Z148" s="63">
        <f t="shared" ca="1" si="18"/>
        <v>45.244465646075888</v>
      </c>
      <c r="AA148" s="63">
        <f t="shared" ca="1" si="19"/>
        <v>45.244465646075895</v>
      </c>
      <c r="AB148" s="3">
        <f t="shared" ca="1" si="20"/>
        <v>0</v>
      </c>
    </row>
    <row r="149" spans="7:28">
      <c r="G149" t="b">
        <f t="shared" ca="1" si="17"/>
        <v>1</v>
      </c>
      <c r="H149" t="b">
        <f t="shared" ca="1" si="14"/>
        <v>1</v>
      </c>
      <c r="I149" s="2">
        <f ca="1"/>
        <v>45266</v>
      </c>
      <c r="J149">
        <f ca="1"/>
        <v>39.840764809033693</v>
      </c>
      <c r="K149">
        <f ca="1"/>
        <v>2.7435999683072509</v>
      </c>
      <c r="L149">
        <f ca="1"/>
        <v>-2.6277000774399539E-4</v>
      </c>
      <c r="M149">
        <f ca="1"/>
        <v>0.18889324287331954</v>
      </c>
      <c r="N149">
        <f ca="1"/>
        <v>0</v>
      </c>
      <c r="O149">
        <f ca="1"/>
        <v>53.741004789856845</v>
      </c>
      <c r="P149">
        <f ca="1"/>
        <v>29.36093920226325</v>
      </c>
      <c r="Q149">
        <f ca="1"/>
        <v>0</v>
      </c>
      <c r="R149">
        <f ca="1"/>
        <v>6.6034853242861902E-2</v>
      </c>
      <c r="S149">
        <f ca="1"/>
        <v>0</v>
      </c>
      <c r="T149">
        <f ca="1"/>
        <v>0</v>
      </c>
      <c r="U149">
        <f ca="1"/>
        <v>0.74847739692862214</v>
      </c>
      <c r="W149" s="2">
        <f t="shared" ca="1" si="15"/>
        <v>45266</v>
      </c>
      <c r="X149">
        <f t="shared" ca="1" si="16"/>
        <v>0</v>
      </c>
      <c r="Z149" s="63">
        <f t="shared" ca="1" si="18"/>
        <v>42.584364777340944</v>
      </c>
      <c r="AA149" s="63">
        <f t="shared" ca="1" si="19"/>
        <v>42.584364777340944</v>
      </c>
      <c r="AB149" s="3">
        <f t="shared" ca="1" si="20"/>
        <v>0</v>
      </c>
    </row>
    <row r="150" spans="7:28">
      <c r="G150" t="b">
        <f t="shared" ca="1" si="17"/>
        <v>1</v>
      </c>
      <c r="H150" t="b">
        <f t="shared" ca="1" si="14"/>
        <v>1</v>
      </c>
      <c r="I150" s="2">
        <f ca="1"/>
        <v>45267</v>
      </c>
      <c r="J150">
        <f ca="1"/>
        <v>37.074852841067759</v>
      </c>
      <c r="K150">
        <f ca="1"/>
        <v>2.9629322667982976</v>
      </c>
      <c r="L150">
        <f ca="1"/>
        <v>-2.3969022498171455E-4</v>
      </c>
      <c r="M150">
        <f ca="1"/>
        <v>0.19725998905734471</v>
      </c>
      <c r="N150">
        <f ca="1"/>
        <v>0</v>
      </c>
      <c r="O150">
        <f ca="1"/>
        <v>56.703937056655143</v>
      </c>
      <c r="P150">
        <f ca="1"/>
        <v>30.979711952904264</v>
      </c>
      <c r="Q150">
        <f ca="1"/>
        <v>0</v>
      </c>
      <c r="R150">
        <f ca="1"/>
        <v>6.418202726142952E-2</v>
      </c>
      <c r="S150">
        <f ca="1"/>
        <v>0</v>
      </c>
      <c r="T150">
        <f ca="1"/>
        <v>0</v>
      </c>
      <c r="U150">
        <f ca="1"/>
        <v>0.74877442234132663</v>
      </c>
      <c r="W150" s="2">
        <f t="shared" ca="1" si="15"/>
        <v>45267</v>
      </c>
      <c r="X150">
        <f t="shared" ca="1" si="16"/>
        <v>0</v>
      </c>
      <c r="Z150" s="63">
        <f t="shared" ca="1" si="18"/>
        <v>40.037785107866057</v>
      </c>
      <c r="AA150" s="63">
        <f t="shared" ca="1" si="19"/>
        <v>40.037785107866057</v>
      </c>
      <c r="AB150" s="3">
        <f t="shared" ca="1" si="20"/>
        <v>0</v>
      </c>
    </row>
    <row r="151" spans="7:28">
      <c r="G151" t="b">
        <f t="shared" ca="1" si="17"/>
        <v>1</v>
      </c>
      <c r="H151" t="b">
        <f t="shared" ca="1" si="14"/>
        <v>1</v>
      </c>
      <c r="I151" s="2">
        <f ca="1"/>
        <v>45268</v>
      </c>
      <c r="J151">
        <f ca="1"/>
        <v>34.239785320576416</v>
      </c>
      <c r="K151">
        <f ca="1"/>
        <v>3.0339417570126557</v>
      </c>
      <c r="L151">
        <f ca="1"/>
        <v>-2.3969423908098975E-4</v>
      </c>
      <c r="M151">
        <f ca="1"/>
        <v>0.19911393076038847</v>
      </c>
      <c r="N151">
        <f ca="1"/>
        <v>0</v>
      </c>
      <c r="O151">
        <f ca="1"/>
        <v>59.737878813667798</v>
      </c>
      <c r="P151">
        <f ca="1"/>
        <v>32.637280132345332</v>
      </c>
      <c r="Q151">
        <f ca="1"/>
        <v>0</v>
      </c>
      <c r="R151">
        <f ca="1"/>
        <v>7.2001585654837261E-2</v>
      </c>
      <c r="S151">
        <f ca="1"/>
        <v>0</v>
      </c>
      <c r="T151">
        <f ca="1"/>
        <v>0</v>
      </c>
      <c r="U151">
        <f ca="1"/>
        <v>0.74901466995366106</v>
      </c>
      <c r="W151" s="2">
        <f t="shared" ca="1" si="15"/>
        <v>45268</v>
      </c>
      <c r="X151">
        <f t="shared" ca="1" si="16"/>
        <v>0</v>
      </c>
      <c r="Z151" s="63">
        <f t="shared" ca="1" si="18"/>
        <v>37.273727077589072</v>
      </c>
      <c r="AA151" s="63">
        <f t="shared" ca="1" si="19"/>
        <v>37.273727077589072</v>
      </c>
      <c r="AB151" s="3">
        <f t="shared" ca="1" si="20"/>
        <v>0</v>
      </c>
    </row>
    <row r="152" spans="7:28">
      <c r="G152" t="b">
        <f t="shared" ca="1" si="17"/>
        <v>1</v>
      </c>
      <c r="H152" t="b">
        <f t="shared" ca="1" si="14"/>
        <v>1</v>
      </c>
      <c r="I152" s="2">
        <f ca="1"/>
        <v>45269</v>
      </c>
      <c r="J152">
        <f ca="1"/>
        <v>31.554389270741844</v>
      </c>
      <c r="K152">
        <f ca="1"/>
        <v>2.872811595193447</v>
      </c>
      <c r="L152">
        <f ca="1"/>
        <v>-1.8364281266691762E-4</v>
      </c>
      <c r="M152">
        <f ca="1"/>
        <v>0.1875991881715372</v>
      </c>
      <c r="N152">
        <f ca="1"/>
        <v>0</v>
      </c>
      <c r="O152">
        <f ca="1"/>
        <v>62.610690408861245</v>
      </c>
      <c r="P152">
        <f ca="1"/>
        <v>34.206816223377849</v>
      </c>
      <c r="Q152">
        <f ca="1"/>
        <v>0</v>
      </c>
      <c r="R152">
        <f ca="1"/>
        <v>6.5911781631668984E-2</v>
      </c>
      <c r="S152">
        <f ca="1"/>
        <v>0</v>
      </c>
      <c r="T152">
        <f ca="1"/>
        <v>0</v>
      </c>
      <c r="U152">
        <f ca="1"/>
        <v>0.74919623715467087</v>
      </c>
      <c r="W152" s="2">
        <f t="shared" ca="1" si="15"/>
        <v>45269</v>
      </c>
      <c r="X152">
        <f t="shared" ca="1" si="16"/>
        <v>0</v>
      </c>
      <c r="Z152" s="63">
        <f t="shared" ca="1" si="18"/>
        <v>34.427200865935291</v>
      </c>
      <c r="AA152" s="63">
        <f t="shared" ca="1" si="19"/>
        <v>34.427200865935291</v>
      </c>
      <c r="AB152" s="3">
        <f t="shared" ca="1" si="20"/>
        <v>0</v>
      </c>
    </row>
    <row r="153" spans="7:28">
      <c r="G153" t="b">
        <f t="shared" ca="1" si="17"/>
        <v>1</v>
      </c>
      <c r="H153" t="b">
        <f t="shared" ca="1" si="14"/>
        <v>1</v>
      </c>
      <c r="I153" s="2">
        <f ca="1"/>
        <v>45270</v>
      </c>
      <c r="J153">
        <f ca="1"/>
        <v>54.822465848358249</v>
      </c>
      <c r="K153">
        <f ca="1"/>
        <v>3.1221369981076919</v>
      </c>
      <c r="L153">
        <f ca="1"/>
        <v>-1.5705401739296576E-4</v>
      </c>
      <c r="M153">
        <f ca="1"/>
        <v>0.1982651861859574</v>
      </c>
      <c r="N153">
        <f ca="1"/>
        <v>26.192105443555533</v>
      </c>
      <c r="O153">
        <f ca="1"/>
        <v>65.732827406968937</v>
      </c>
      <c r="P153">
        <f ca="1"/>
        <v>35.912569119904973</v>
      </c>
      <c r="Q153">
        <f ca="1"/>
        <v>0</v>
      </c>
      <c r="R153">
        <f ca="1"/>
        <v>6.1755325388387634E-2</v>
      </c>
      <c r="S153">
        <f ca="1"/>
        <v>0</v>
      </c>
      <c r="T153">
        <f ca="1"/>
        <v>0</v>
      </c>
      <c r="U153">
        <f ca="1"/>
        <v>0.7493542967747352</v>
      </c>
      <c r="W153" s="2">
        <f t="shared" ca="1" si="15"/>
        <v>45270</v>
      </c>
      <c r="X153">
        <f t="shared" ca="1" si="16"/>
        <v>26.192105443555533</v>
      </c>
      <c r="Z153" s="63">
        <f t="shared" ca="1" si="18"/>
        <v>57.944602846465941</v>
      </c>
      <c r="AA153" s="63">
        <f t="shared" ca="1" si="19"/>
        <v>57.944602846465941</v>
      </c>
      <c r="AB153" s="3">
        <f t="shared" ca="1" si="20"/>
        <v>0</v>
      </c>
    </row>
    <row r="154" spans="7:28">
      <c r="G154" t="b">
        <f t="shared" ca="1" si="17"/>
        <v>1</v>
      </c>
      <c r="H154" t="b">
        <f t="shared" ca="1" si="14"/>
        <v>1</v>
      </c>
      <c r="I154" s="2">
        <f ca="1"/>
        <v>45271</v>
      </c>
      <c r="J154">
        <f ca="1"/>
        <v>51.562765272060261</v>
      </c>
      <c r="K154">
        <f ca="1"/>
        <v>3.474365372341552</v>
      </c>
      <c r="L154">
        <f ca="1"/>
        <v>-1.2925860311341353E-4</v>
      </c>
      <c r="M154">
        <f ca="1"/>
        <v>0.2147940546466707</v>
      </c>
      <c r="N154">
        <f ca="1"/>
        <v>0</v>
      </c>
      <c r="O154">
        <f ca="1"/>
        <v>69.207192779310489</v>
      </c>
      <c r="P154">
        <f ca="1"/>
        <v>37.810758981867188</v>
      </c>
      <c r="Q154">
        <f ca="1"/>
        <v>0</v>
      </c>
      <c r="R154">
        <f ca="1"/>
        <v>5.5292243695290247E-2</v>
      </c>
      <c r="S154">
        <f ca="1"/>
        <v>0</v>
      </c>
      <c r="T154">
        <f ca="1"/>
        <v>0</v>
      </c>
      <c r="U154">
        <f ca="1"/>
        <v>0.74949297021233274</v>
      </c>
      <c r="W154" s="2">
        <f t="shared" ca="1" si="15"/>
        <v>45271</v>
      </c>
      <c r="X154">
        <f t="shared" ca="1" si="16"/>
        <v>0</v>
      </c>
      <c r="Z154" s="63">
        <f t="shared" ca="1" si="18"/>
        <v>55.037130644401813</v>
      </c>
      <c r="AA154" s="63">
        <f t="shared" ca="1" si="19"/>
        <v>55.037130644401813</v>
      </c>
      <c r="AB154" s="3">
        <f t="shared" ca="1" si="20"/>
        <v>0</v>
      </c>
    </row>
    <row r="155" spans="7:28">
      <c r="G155" t="b">
        <f t="shared" ca="1" si="17"/>
        <v>1</v>
      </c>
      <c r="H155" t="b">
        <f t="shared" ca="1" si="14"/>
        <v>1</v>
      </c>
      <c r="I155" s="2">
        <f ca="1"/>
        <v>45272</v>
      </c>
      <c r="J155">
        <f ca="1"/>
        <v>48.081556477681694</v>
      </c>
      <c r="K155">
        <f ca="1"/>
        <v>3.7079863279668359</v>
      </c>
      <c r="L155">
        <f ca="1"/>
        <v>-1.1263480146084248E-4</v>
      </c>
      <c r="M155">
        <f ca="1"/>
        <v>0.226890168389733</v>
      </c>
      <c r="N155">
        <f ca="1"/>
        <v>0</v>
      </c>
      <c r="O155">
        <f ca="1"/>
        <v>72.915179107277325</v>
      </c>
      <c r="P155">
        <f ca="1"/>
        <v>39.836585658610041</v>
      </c>
      <c r="Q155">
        <f ca="1"/>
        <v>0</v>
      </c>
      <c r="R155">
        <f ca="1"/>
        <v>5.5194780636295883E-2</v>
      </c>
      <c r="S155">
        <f ca="1"/>
        <v>0</v>
      </c>
      <c r="T155">
        <f ca="1"/>
        <v>0</v>
      </c>
      <c r="U155">
        <f ca="1"/>
        <v>0.74960790373734665</v>
      </c>
      <c r="W155" s="2">
        <f t="shared" ca="1" si="15"/>
        <v>45272</v>
      </c>
      <c r="X155">
        <f t="shared" ca="1" si="16"/>
        <v>0</v>
      </c>
      <c r="Z155" s="63">
        <f t="shared" ca="1" si="18"/>
        <v>51.78954280564853</v>
      </c>
      <c r="AA155" s="63">
        <f t="shared" ca="1" si="19"/>
        <v>51.78954280564853</v>
      </c>
      <c r="AB155" s="3">
        <f t="shared" ca="1" si="20"/>
        <v>0</v>
      </c>
    </row>
    <row r="156" spans="7:28">
      <c r="G156" t="b">
        <f t="shared" ca="1" si="17"/>
        <v>1</v>
      </c>
      <c r="H156" t="b">
        <f t="shared" ca="1" si="14"/>
        <v>1</v>
      </c>
      <c r="I156" s="2">
        <f ca="1"/>
        <v>45273</v>
      </c>
      <c r="J156">
        <f ca="1"/>
        <v>44.909033008994321</v>
      </c>
      <c r="K156">
        <f ca="1"/>
        <v>3.3827500385379494</v>
      </c>
      <c r="L156">
        <f ca="1"/>
        <v>-9.4303130673267788E-5</v>
      </c>
      <c r="M156">
        <f ca="1"/>
        <v>0.21032087298124694</v>
      </c>
      <c r="N156">
        <f ca="1"/>
        <v>0</v>
      </c>
      <c r="O156">
        <f ca="1"/>
        <v>76.297929145815274</v>
      </c>
      <c r="P156">
        <f ca="1"/>
        <v>41.684722265030771</v>
      </c>
      <c r="Q156">
        <f ca="1"/>
        <v>0</v>
      </c>
      <c r="R156">
        <f ca="1"/>
        <v>6.2832830050320754E-2</v>
      </c>
      <c r="S156">
        <f ca="1"/>
        <v>0</v>
      </c>
      <c r="T156">
        <f ca="1"/>
        <v>0</v>
      </c>
      <c r="U156">
        <f ca="1"/>
        <v>0.74968994836622826</v>
      </c>
      <c r="W156" s="2">
        <f t="shared" ca="1" si="15"/>
        <v>45273</v>
      </c>
      <c r="X156">
        <f t="shared" ca="1" si="16"/>
        <v>0</v>
      </c>
      <c r="Z156" s="63">
        <f t="shared" ca="1" si="18"/>
        <v>48.29178304753227</v>
      </c>
      <c r="AA156" s="63">
        <f t="shared" ca="1" si="19"/>
        <v>48.29178304753227</v>
      </c>
      <c r="AB156" s="3">
        <f t="shared" ca="1" si="20"/>
        <v>0</v>
      </c>
    </row>
    <row r="157" spans="7:28">
      <c r="G157" t="b">
        <f t="shared" ca="1" si="17"/>
        <v>1</v>
      </c>
      <c r="H157" t="b">
        <f t="shared" ca="1" si="14"/>
        <v>1</v>
      </c>
      <c r="I157" s="2">
        <f ca="1"/>
        <v>45274</v>
      </c>
      <c r="J157">
        <f ca="1"/>
        <v>41.972806230337198</v>
      </c>
      <c r="K157">
        <f ca="1"/>
        <v>3.1339888370366964</v>
      </c>
      <c r="L157">
        <f ca="1"/>
        <v>-6.4032154275750486E-5</v>
      </c>
      <c r="M157">
        <f ca="1"/>
        <v>0.19782609053385097</v>
      </c>
      <c r="N157">
        <f ca="1"/>
        <v>0</v>
      </c>
      <c r="O157">
        <f ca="1"/>
        <v>79.431917982851971</v>
      </c>
      <c r="P157">
        <f ca="1"/>
        <v>43.396950312582533</v>
      </c>
      <c r="Q157">
        <f ca="1"/>
        <v>0</v>
      </c>
      <c r="R157">
        <f ca="1"/>
        <v>6.0894937064177618E-2</v>
      </c>
      <c r="S157">
        <f ca="1"/>
        <v>0</v>
      </c>
      <c r="T157">
        <f ca="1"/>
        <v>0</v>
      </c>
      <c r="U157">
        <f ca="1"/>
        <v>0.74975084201210151</v>
      </c>
      <c r="W157" s="2">
        <f t="shared" ca="1" si="15"/>
        <v>45274</v>
      </c>
      <c r="X157">
        <f t="shared" ca="1" si="16"/>
        <v>0</v>
      </c>
      <c r="Z157" s="63">
        <f t="shared" ca="1" si="18"/>
        <v>45.106795067373895</v>
      </c>
      <c r="AA157" s="63">
        <f t="shared" ca="1" si="19"/>
        <v>45.106795067373895</v>
      </c>
      <c r="AB157" s="3">
        <f t="shared" ca="1" si="20"/>
        <v>0</v>
      </c>
    </row>
    <row r="158" spans="7:28">
      <c r="G158" t="b">
        <f t="shared" ca="1" si="17"/>
        <v>1</v>
      </c>
      <c r="H158" t="b">
        <f t="shared" ca="1" si="14"/>
        <v>1</v>
      </c>
      <c r="I158" s="2">
        <f ca="1"/>
        <v>45275</v>
      </c>
      <c r="J158">
        <f ca="1"/>
        <v>38.736415699058028</v>
      </c>
      <c r="K158">
        <f ca="1"/>
        <v>3.4526908026982426</v>
      </c>
      <c r="L158">
        <f ca="1"/>
        <v>-4.3725853371867629E-5</v>
      </c>
      <c r="M158">
        <f ca="1"/>
        <v>0.21634399727244316</v>
      </c>
      <c r="N158">
        <f ca="1"/>
        <v>0</v>
      </c>
      <c r="O158">
        <f ca="1"/>
        <v>82.884608785550213</v>
      </c>
      <c r="P158">
        <f ca="1"/>
        <v>45.283298458446936</v>
      </c>
      <c r="Q158">
        <f ca="1"/>
        <v>0</v>
      </c>
      <c r="R158">
        <f ca="1"/>
        <v>5.904555096078444E-2</v>
      </c>
      <c r="S158">
        <f ca="1"/>
        <v>0</v>
      </c>
      <c r="T158">
        <f ca="1"/>
        <v>0</v>
      </c>
      <c r="U158">
        <f ca="1"/>
        <v>0.74980463362264838</v>
      </c>
      <c r="W158" s="2">
        <f t="shared" ca="1" si="15"/>
        <v>45275</v>
      </c>
      <c r="X158">
        <f t="shared" ca="1" si="16"/>
        <v>0</v>
      </c>
      <c r="Z158" s="63">
        <f t="shared" ca="1" si="18"/>
        <v>42.189106501756271</v>
      </c>
      <c r="AA158" s="63">
        <f t="shared" ca="1" si="19"/>
        <v>42.189106501756271</v>
      </c>
      <c r="AB158" s="3">
        <f t="shared" ca="1" si="20"/>
        <v>0</v>
      </c>
    </row>
    <row r="159" spans="7:28">
      <c r="G159" t="b">
        <f t="shared" ca="1" si="17"/>
        <v>1</v>
      </c>
      <c r="H159" t="b">
        <f t="shared" ca="1" si="14"/>
        <v>1</v>
      </c>
      <c r="I159" s="2">
        <f ca="1"/>
        <v>45276</v>
      </c>
      <c r="J159">
        <f ca="1"/>
        <v>35.677743692455266</v>
      </c>
      <c r="K159">
        <f ca="1"/>
        <v>3.2679187621044292</v>
      </c>
      <c r="L159">
        <f ca="1"/>
        <v>-2.0252446301327609E-5</v>
      </c>
      <c r="M159">
        <f ca="1"/>
        <v>0.20926700794796488</v>
      </c>
      <c r="N159">
        <f ca="1"/>
        <v>0</v>
      </c>
      <c r="O159">
        <f ca="1"/>
        <v>86.152527547654643</v>
      </c>
      <c r="P159">
        <f ca="1"/>
        <v>47.068697977255205</v>
      </c>
      <c r="Q159">
        <f ca="1"/>
        <v>0</v>
      </c>
      <c r="R159">
        <f ca="1"/>
        <v>6.2607723793256173E-2</v>
      </c>
      <c r="S159">
        <f ca="1"/>
        <v>0</v>
      </c>
      <c r="T159">
        <f ca="1"/>
        <v>0</v>
      </c>
      <c r="U159">
        <f ca="1"/>
        <v>0.74984531668043697</v>
      </c>
      <c r="W159" s="2">
        <f t="shared" ca="1" si="15"/>
        <v>45276</v>
      </c>
      <c r="X159">
        <f t="shared" ca="1" si="16"/>
        <v>0</v>
      </c>
      <c r="Z159" s="63">
        <f t="shared" ca="1" si="18"/>
        <v>38.945662454559688</v>
      </c>
      <c r="AA159" s="63">
        <f t="shared" ca="1" si="19"/>
        <v>38.945662454559695</v>
      </c>
      <c r="AB159" s="3">
        <f t="shared" ca="1" si="20"/>
        <v>0</v>
      </c>
    </row>
    <row r="160" spans="7:28">
      <c r="G160" t="b">
        <f t="shared" ca="1" si="17"/>
        <v>1</v>
      </c>
      <c r="H160" t="b">
        <f t="shared" ca="1" si="14"/>
        <v>1</v>
      </c>
      <c r="I160" s="2">
        <f ca="1"/>
        <v>45277</v>
      </c>
      <c r="J160">
        <f ca="1"/>
        <v>32.766751974610216</v>
      </c>
      <c r="K160">
        <f ca="1"/>
        <v>3.1157966744665231</v>
      </c>
      <c r="L160">
        <f ca="1"/>
        <v>5.856576745344455E-6</v>
      </c>
      <c r="M160">
        <f ca="1"/>
        <v>0.20479910004472329</v>
      </c>
      <c r="N160">
        <f ca="1"/>
        <v>0</v>
      </c>
      <c r="O160">
        <f ca="1"/>
        <v>89.268324222121166</v>
      </c>
      <c r="P160">
        <f ca="1"/>
        <v>48.770986892085702</v>
      </c>
      <c r="Q160">
        <f ca="1"/>
        <v>0</v>
      </c>
      <c r="R160">
        <f ca="1"/>
        <v>6.8352571104398976E-2</v>
      </c>
      <c r="S160">
        <f ca="1"/>
        <v>0</v>
      </c>
      <c r="T160">
        <f ca="1"/>
        <v>0</v>
      </c>
      <c r="U160">
        <f ca="1"/>
        <v>0.74987668686719089</v>
      </c>
      <c r="W160" s="2">
        <f t="shared" ca="1" si="15"/>
        <v>45277</v>
      </c>
      <c r="X160">
        <f t="shared" ca="1" si="16"/>
        <v>0</v>
      </c>
      <c r="Z160" s="63">
        <f t="shared" ca="1" si="18"/>
        <v>35.882548649076739</v>
      </c>
      <c r="AA160" s="63">
        <f t="shared" ca="1" si="19"/>
        <v>35.882548649076739</v>
      </c>
      <c r="AB160" s="3">
        <f t="shared" ca="1" si="20"/>
        <v>0</v>
      </c>
    </row>
    <row r="161" spans="7:28">
      <c r="G161" t="b">
        <f t="shared" ca="1" si="17"/>
        <v>1</v>
      </c>
      <c r="H161" t="b">
        <f t="shared" ca="1" si="14"/>
        <v>1</v>
      </c>
      <c r="I161" s="2">
        <f ca="1"/>
        <v>45278</v>
      </c>
      <c r="J161">
        <f ca="1"/>
        <v>57.250636173120753</v>
      </c>
      <c r="K161">
        <f ca="1"/>
        <v>3.122790792442899</v>
      </c>
      <c r="L161">
        <f ca="1"/>
        <v>3.6608776049718017E-5</v>
      </c>
      <c r="M161">
        <f ca="1"/>
        <v>0.20936197244077326</v>
      </c>
      <c r="N161">
        <f ca="1"/>
        <v>27.397276409736612</v>
      </c>
      <c r="O161">
        <f ca="1"/>
        <v>92.391115014564065</v>
      </c>
      <c r="P161">
        <f ca="1"/>
        <v>50.477096983566703</v>
      </c>
      <c r="Q161">
        <f ca="1"/>
        <v>0</v>
      </c>
      <c r="R161">
        <f ca="1"/>
        <v>7.0702740473815695E-2</v>
      </c>
      <c r="S161">
        <f ca="1"/>
        <v>0</v>
      </c>
      <c r="T161">
        <f ca="1"/>
        <v>0</v>
      </c>
      <c r="U161">
        <f ca="1"/>
        <v>0.74990223789774002</v>
      </c>
      <c r="W161" s="2">
        <f t="shared" ca="1" si="15"/>
        <v>45278</v>
      </c>
      <c r="X161">
        <f t="shared" ca="1" si="16"/>
        <v>27.397276409736612</v>
      </c>
      <c r="Z161" s="63">
        <f t="shared" ca="1" si="18"/>
        <v>60.373426965563652</v>
      </c>
      <c r="AA161" s="63">
        <f t="shared" ca="1" si="19"/>
        <v>60.373426965563652</v>
      </c>
      <c r="AB161" s="3">
        <f t="shared" ca="1" si="20"/>
        <v>0</v>
      </c>
    </row>
    <row r="162" spans="7:28">
      <c r="G162" t="b">
        <f t="shared" ca="1" si="17"/>
        <v>1</v>
      </c>
      <c r="H162" t="b">
        <f t="shared" ca="1" si="14"/>
        <v>1</v>
      </c>
      <c r="I162" s="2">
        <f ca="1"/>
        <v>45279</v>
      </c>
      <c r="J162">
        <f ca="1"/>
        <v>54.412546169779354</v>
      </c>
      <c r="K162">
        <f ca="1"/>
        <v>3.0480299112029599</v>
      </c>
      <c r="L162">
        <f ca="1"/>
        <v>6.9092109256985168E-5</v>
      </c>
      <c r="M162">
        <f ca="1"/>
        <v>0.20987081575230074</v>
      </c>
      <c r="N162">
        <f ca="1"/>
        <v>0</v>
      </c>
      <c r="O162">
        <f ca="1"/>
        <v>95.439144925767025</v>
      </c>
      <c r="P162">
        <f ca="1"/>
        <v>52.142362105784898</v>
      </c>
      <c r="Q162">
        <f ca="1"/>
        <v>0</v>
      </c>
      <c r="R162">
        <f ca="1"/>
        <v>7.188748492893822E-2</v>
      </c>
      <c r="S162">
        <f ca="1"/>
        <v>0</v>
      </c>
      <c r="T162">
        <f ca="1"/>
        <v>0</v>
      </c>
      <c r="U162">
        <f ca="1"/>
        <v>0.7499225294598062</v>
      </c>
      <c r="W162" s="2">
        <f t="shared" ca="1" si="15"/>
        <v>45279</v>
      </c>
      <c r="X162">
        <f t="shared" ca="1" si="16"/>
        <v>0</v>
      </c>
      <c r="Z162" s="63">
        <f t="shared" ca="1" si="18"/>
        <v>57.460576080982314</v>
      </c>
      <c r="AA162" s="63">
        <f t="shared" ca="1" si="19"/>
        <v>57.460576080982314</v>
      </c>
      <c r="AB162" s="3">
        <f t="shared" ca="1" si="20"/>
        <v>0</v>
      </c>
    </row>
    <row r="163" spans="7:28">
      <c r="G163" t="b">
        <f t="shared" ca="1" si="17"/>
        <v>1</v>
      </c>
      <c r="H163" t="b">
        <f t="shared" ca="1" si="14"/>
        <v>1</v>
      </c>
      <c r="I163" s="2">
        <f ca="1"/>
        <v>45280</v>
      </c>
      <c r="J163">
        <f ca="1"/>
        <v>51.752621033031005</v>
      </c>
      <c r="K163">
        <f ca="1"/>
        <v>2.8663636961619261</v>
      </c>
      <c r="L163">
        <f ca="1"/>
        <v>1.2148857107163735E-4</v>
      </c>
      <c r="M163">
        <f ca="1"/>
        <v>0.20631707084251244</v>
      </c>
      <c r="N163">
        <f ca="1"/>
        <v>0</v>
      </c>
      <c r="O163">
        <f ca="1"/>
        <v>98.305508621928951</v>
      </c>
      <c r="P163">
        <f ca="1"/>
        <v>53.708375442224593</v>
      </c>
      <c r="Q163">
        <f ca="1"/>
        <v>0</v>
      </c>
      <c r="R163">
        <f ca="1"/>
        <v>8.6207587224126039E-2</v>
      </c>
      <c r="S163">
        <f ca="1"/>
        <v>0</v>
      </c>
      <c r="T163">
        <f ca="1"/>
        <v>0</v>
      </c>
      <c r="U163">
        <f ca="1"/>
        <v>0.74993815997998636</v>
      </c>
      <c r="W163" s="2">
        <f t="shared" ca="1" si="15"/>
        <v>45280</v>
      </c>
      <c r="X163">
        <f t="shared" ca="1" si="16"/>
        <v>0</v>
      </c>
      <c r="Z163" s="63">
        <f t="shared" ca="1" si="18"/>
        <v>54.618984729192938</v>
      </c>
      <c r="AA163" s="63">
        <f t="shared" ca="1" si="19"/>
        <v>54.618984729192931</v>
      </c>
      <c r="AB163" s="3">
        <f t="shared" ca="1" si="20"/>
        <v>0</v>
      </c>
    </row>
    <row r="164" spans="7:28">
      <c r="G164" t="b">
        <f t="shared" ca="1" si="17"/>
        <v>1</v>
      </c>
      <c r="H164" t="b">
        <f t="shared" ca="1" si="14"/>
        <v>1</v>
      </c>
      <c r="I164" s="2">
        <f ca="1"/>
        <v>45281</v>
      </c>
      <c r="J164">
        <f ca="1"/>
        <v>49.235714153824446</v>
      </c>
      <c r="K164">
        <f ca="1"/>
        <v>2.7205554099790277</v>
      </c>
      <c r="L164">
        <f ca="1"/>
        <v>1.7015139699338988E-4</v>
      </c>
      <c r="M164">
        <f ca="1"/>
        <v>0.20347837937547303</v>
      </c>
      <c r="N164">
        <f ca="1"/>
        <v>0</v>
      </c>
      <c r="O164">
        <f ca="1"/>
        <v>101.02606403190798</v>
      </c>
      <c r="P164">
        <f ca="1"/>
        <v>55.194727666213133</v>
      </c>
      <c r="Q164">
        <f ca="1"/>
        <v>0</v>
      </c>
      <c r="R164">
        <f ca="1"/>
        <v>8.9915574668795614E-2</v>
      </c>
      <c r="S164">
        <f ca="1"/>
        <v>0</v>
      </c>
      <c r="T164">
        <f ca="1"/>
        <v>0</v>
      </c>
      <c r="U164">
        <f ca="1"/>
        <v>0.74995041826423792</v>
      </c>
      <c r="W164" s="2">
        <f t="shared" ca="1" si="15"/>
        <v>45281</v>
      </c>
      <c r="X164">
        <f t="shared" ca="1" si="16"/>
        <v>0</v>
      </c>
      <c r="Z164" s="63">
        <f t="shared" ca="1" si="18"/>
        <v>51.956269563803474</v>
      </c>
      <c r="AA164" s="63">
        <f t="shared" ca="1" si="19"/>
        <v>51.956269563803474</v>
      </c>
      <c r="AB164" s="3">
        <f t="shared" ca="1" si="20"/>
        <v>0</v>
      </c>
    </row>
    <row r="165" spans="7:28">
      <c r="G165" t="b">
        <f t="shared" ca="1" si="17"/>
        <v>1</v>
      </c>
      <c r="H165" t="b">
        <f t="shared" ca="1" si="14"/>
        <v>1</v>
      </c>
      <c r="I165" s="2">
        <f ca="1"/>
        <v>45282</v>
      </c>
      <c r="J165">
        <f ca="1"/>
        <v>46.734177241343893</v>
      </c>
      <c r="K165">
        <f ca="1"/>
        <v>2.7109482173175508</v>
      </c>
      <c r="L165">
        <f ca="1"/>
        <v>2.2278252742502502E-4</v>
      </c>
      <c r="M165">
        <f ca="1"/>
        <v>0.2091885223095763</v>
      </c>
      <c r="N165">
        <f ca="1"/>
        <v>0</v>
      </c>
      <c r="O165">
        <f ca="1"/>
        <v>103.73701224922553</v>
      </c>
      <c r="P165">
        <f ca="1"/>
        <v>56.675831082503699</v>
      </c>
      <c r="Q165">
        <f ca="1"/>
        <v>0</v>
      </c>
      <c r="R165">
        <f ca="1"/>
        <v>9.0559067306698021E-2</v>
      </c>
      <c r="S165">
        <f ca="1"/>
        <v>0</v>
      </c>
      <c r="T165">
        <f ca="1"/>
        <v>0</v>
      </c>
      <c r="U165">
        <f ca="1"/>
        <v>0.74996053583599309</v>
      </c>
      <c r="W165" s="2">
        <f t="shared" ca="1" si="15"/>
        <v>45282</v>
      </c>
      <c r="X165">
        <f t="shared" ca="1" si="16"/>
        <v>0</v>
      </c>
      <c r="Z165" s="63">
        <f t="shared" ca="1" si="18"/>
        <v>49.445125458661444</v>
      </c>
      <c r="AA165" s="63">
        <f t="shared" ca="1" si="19"/>
        <v>49.445125458661444</v>
      </c>
      <c r="AB165" s="3">
        <f t="shared" ca="1" si="20"/>
        <v>0</v>
      </c>
    </row>
    <row r="166" spans="7:28">
      <c r="G166" t="b">
        <f t="shared" ca="1" si="17"/>
        <v>1</v>
      </c>
      <c r="H166" t="b">
        <f t="shared" ca="1" si="14"/>
        <v>1</v>
      </c>
      <c r="I166" s="2">
        <f ca="1"/>
        <v>45283</v>
      </c>
      <c r="J166">
        <f ca="1"/>
        <v>44.389458321959147</v>
      </c>
      <c r="K166">
        <f ca="1"/>
        <v>2.5502158364751608</v>
      </c>
      <c r="L166">
        <f ca="1"/>
        <v>2.6172384721157016E-4</v>
      </c>
      <c r="M166">
        <f ca="1"/>
        <v>0.20523519324320286</v>
      </c>
      <c r="N166">
        <f ca="1"/>
        <v>0</v>
      </c>
      <c r="O166">
        <f ca="1"/>
        <v>106.28722808570069</v>
      </c>
      <c r="P166">
        <f ca="1"/>
        <v>58.069119734626703</v>
      </c>
      <c r="Q166">
        <f ca="1"/>
        <v>0</v>
      </c>
      <c r="R166">
        <f ca="1"/>
        <v>8.9217943608014078E-2</v>
      </c>
      <c r="S166">
        <f ca="1"/>
        <v>0</v>
      </c>
      <c r="T166">
        <f ca="1"/>
        <v>0</v>
      </c>
      <c r="U166">
        <f ca="1"/>
        <v>0.74996843571712657</v>
      </c>
      <c r="W166" s="2">
        <f t="shared" ca="1" si="15"/>
        <v>45283</v>
      </c>
      <c r="X166">
        <f t="shared" ca="1" si="16"/>
        <v>0</v>
      </c>
      <c r="Z166" s="63">
        <f t="shared" ca="1" si="18"/>
        <v>46.939674158434308</v>
      </c>
      <c r="AA166" s="63">
        <f t="shared" ca="1" si="19"/>
        <v>46.939674158434308</v>
      </c>
      <c r="AB166" s="3">
        <f t="shared" ca="1" si="20"/>
        <v>0</v>
      </c>
    </row>
    <row r="167" spans="7:28">
      <c r="G167" t="b">
        <f t="shared" ca="1" si="17"/>
        <v>1</v>
      </c>
      <c r="H167" t="b">
        <f t="shared" ca="1" si="14"/>
        <v>1</v>
      </c>
      <c r="I167" s="2">
        <f ca="1"/>
        <v>45284</v>
      </c>
      <c r="J167">
        <f ca="1"/>
        <v>42.006703052667035</v>
      </c>
      <c r="K167">
        <f ca="1"/>
        <v>2.598159442569397</v>
      </c>
      <c r="L167">
        <f ca="1"/>
        <v>2.8831811372143079E-4</v>
      </c>
      <c r="M167">
        <f ca="1"/>
        <v>0.21511585516356999</v>
      </c>
      <c r="N167">
        <f ca="1"/>
        <v>0</v>
      </c>
      <c r="O167">
        <f ca="1"/>
        <v>108.88538752827009</v>
      </c>
      <c r="P167">
        <f ca="1"/>
        <v>59.488601966664625</v>
      </c>
      <c r="Q167">
        <f ca="1"/>
        <v>0</v>
      </c>
      <c r="R167">
        <f ca="1"/>
        <v>8.0639834321532336E-2</v>
      </c>
      <c r="S167">
        <f ca="1"/>
        <v>0</v>
      </c>
      <c r="T167">
        <f ca="1"/>
        <v>0</v>
      </c>
      <c r="U167">
        <f ca="1"/>
        <v>0.74997511458307309</v>
      </c>
      <c r="W167" s="2">
        <f t="shared" ca="1" si="15"/>
        <v>45284</v>
      </c>
      <c r="X167">
        <f t="shared" ca="1" si="16"/>
        <v>0</v>
      </c>
      <c r="Z167" s="63">
        <f t="shared" ca="1" si="18"/>
        <v>44.604862495236439</v>
      </c>
      <c r="AA167" s="63">
        <f t="shared" ca="1" si="19"/>
        <v>44.604862495236432</v>
      </c>
      <c r="AB167" s="3">
        <f t="shared" ca="1" si="20"/>
        <v>0</v>
      </c>
    </row>
    <row r="168" spans="7:28">
      <c r="G168" t="b">
        <f t="shared" ca="1" si="17"/>
        <v>1</v>
      </c>
      <c r="H168" t="b">
        <f t="shared" ca="1" si="14"/>
        <v>1</v>
      </c>
      <c r="I168" s="2">
        <f ca="1"/>
        <v>45285</v>
      </c>
      <c r="J168">
        <f ca="1"/>
        <v>39.735762646874036</v>
      </c>
      <c r="K168">
        <f ca="1"/>
        <v>2.486445253664769</v>
      </c>
      <c r="L168">
        <f ca="1"/>
        <v>3.0610825342947123E-4</v>
      </c>
      <c r="M168">
        <f ca="1"/>
        <v>0.21519873961833705</v>
      </c>
      <c r="N168">
        <f ca="1"/>
        <v>0</v>
      </c>
      <c r="O168">
        <f ca="1"/>
        <v>111.37183278193486</v>
      </c>
      <c r="P168">
        <f ca="1"/>
        <v>60.847050105252201</v>
      </c>
      <c r="Q168">
        <f ca="1"/>
        <v>0</v>
      </c>
      <c r="R168">
        <f ca="1"/>
        <v>7.535942776138628E-2</v>
      </c>
      <c r="S168">
        <f ca="1"/>
        <v>0</v>
      </c>
      <c r="T168">
        <f ca="1"/>
        <v>0</v>
      </c>
      <c r="U168">
        <f ca="1"/>
        <v>0.74998040195030102</v>
      </c>
      <c r="W168" s="2">
        <f t="shared" ca="1" si="15"/>
        <v>45285</v>
      </c>
      <c r="X168">
        <f t="shared" ca="1" si="16"/>
        <v>0</v>
      </c>
      <c r="Z168" s="63">
        <f t="shared" ca="1" si="18"/>
        <v>42.222207900538798</v>
      </c>
      <c r="AA168" s="63">
        <f t="shared" ca="1" si="19"/>
        <v>42.222207900538805</v>
      </c>
      <c r="AB168" s="3">
        <f t="shared" ca="1" si="20"/>
        <v>0</v>
      </c>
    </row>
    <row r="169" spans="7:28">
      <c r="G169" t="b">
        <f t="shared" ca="1" si="17"/>
        <v>1</v>
      </c>
      <c r="H169" t="b">
        <f t="shared" ca="1" si="14"/>
        <v>1</v>
      </c>
      <c r="I169" s="2">
        <f ca="1"/>
        <v>45286</v>
      </c>
      <c r="J169">
        <f ca="1"/>
        <v>37.719368962864145</v>
      </c>
      <c r="K169">
        <f ca="1"/>
        <v>2.2198534226505018</v>
      </c>
      <c r="L169">
        <f ca="1"/>
        <v>2.998094034989407E-4</v>
      </c>
      <c r="M169">
        <f ca="1"/>
        <v>0.20315992923711321</v>
      </c>
      <c r="N169">
        <f ca="1"/>
        <v>0</v>
      </c>
      <c r="O169">
        <f ca="1"/>
        <v>113.59168620458536</v>
      </c>
      <c r="P169">
        <f ca="1"/>
        <v>62.059848072749062</v>
      </c>
      <c r="Q169">
        <f ca="1"/>
        <v>0</v>
      </c>
      <c r="R169">
        <f ca="1"/>
        <v>6.9884634934346809E-2</v>
      </c>
      <c r="S169">
        <f ca="1"/>
        <v>0</v>
      </c>
      <c r="T169">
        <f ca="1"/>
        <v>0</v>
      </c>
      <c r="U169">
        <f ca="1"/>
        <v>0.74998433900412786</v>
      </c>
      <c r="W169" s="2">
        <f t="shared" ca="1" si="15"/>
        <v>45286</v>
      </c>
      <c r="X169">
        <f t="shared" ca="1" si="16"/>
        <v>0</v>
      </c>
      <c r="Z169" s="63">
        <f t="shared" ca="1" si="18"/>
        <v>39.939222385514647</v>
      </c>
      <c r="AA169" s="63">
        <f t="shared" ca="1" si="19"/>
        <v>39.939222385514647</v>
      </c>
      <c r="AB169" s="3">
        <f t="shared" ca="1" si="20"/>
        <v>0</v>
      </c>
    </row>
    <row r="170" spans="7:28">
      <c r="G170" t="b">
        <f t="shared" ca="1" si="17"/>
        <v>1</v>
      </c>
      <c r="H170" t="b">
        <f t="shared" ca="1" si="14"/>
        <v>1</v>
      </c>
      <c r="I170" s="2">
        <f ca="1"/>
        <v>45287</v>
      </c>
      <c r="J170">
        <f ca="1"/>
        <v>35.490433469139091</v>
      </c>
      <c r="K170">
        <f ca="1"/>
        <v>2.4628368083564425</v>
      </c>
      <c r="L170">
        <f ca="1"/>
        <v>3.5629369093825858E-4</v>
      </c>
      <c r="M170">
        <f ca="1"/>
        <v>0.23354502094044524</v>
      </c>
      <c r="N170">
        <f ca="1"/>
        <v>0</v>
      </c>
      <c r="O170">
        <f ca="1"/>
        <v>116.0545230129418</v>
      </c>
      <c r="P170">
        <f ca="1"/>
        <v>63.405397938777945</v>
      </c>
      <c r="Q170">
        <f ca="1"/>
        <v>0</v>
      </c>
      <c r="R170">
        <f ca="1"/>
        <v>6.7267655891741662E-2</v>
      </c>
      <c r="S170">
        <f ca="1"/>
        <v>0</v>
      </c>
      <c r="T170">
        <f ca="1"/>
        <v>0</v>
      </c>
      <c r="U170">
        <f ca="1"/>
        <v>0.74998796293154713</v>
      </c>
      <c r="W170" s="2">
        <f t="shared" ca="1" si="15"/>
        <v>45287</v>
      </c>
      <c r="X170">
        <f t="shared" ca="1" si="16"/>
        <v>0</v>
      </c>
      <c r="Z170" s="63">
        <f t="shared" ca="1" si="18"/>
        <v>37.953270277495527</v>
      </c>
      <c r="AA170" s="63">
        <f t="shared" ca="1" si="19"/>
        <v>37.953270277495534</v>
      </c>
      <c r="AB170" s="3">
        <f t="shared" ca="1" si="20"/>
        <v>0</v>
      </c>
    </row>
    <row r="171" spans="7:28">
      <c r="G171" t="b">
        <f t="shared" ca="1" si="17"/>
        <v>1</v>
      </c>
      <c r="H171" t="b">
        <f t="shared" ca="1" si="14"/>
        <v>1</v>
      </c>
      <c r="I171" s="2">
        <f ca="1"/>
        <v>45288</v>
      </c>
      <c r="J171">
        <f ca="1"/>
        <v>33.375186706820486</v>
      </c>
      <c r="K171">
        <f ca="1"/>
        <v>2.3549079495941498</v>
      </c>
      <c r="L171">
        <f ca="1"/>
        <v>4.4319556824845563E-4</v>
      </c>
      <c r="M171">
        <f ca="1"/>
        <v>0.23921799170729097</v>
      </c>
      <c r="N171">
        <f ca="1"/>
        <v>0</v>
      </c>
      <c r="O171">
        <f ca="1"/>
        <v>118.40943096253595</v>
      </c>
      <c r="P171">
        <f ca="1"/>
        <v>64.691981794165983</v>
      </c>
      <c r="Q171">
        <f ca="1"/>
        <v>0</v>
      </c>
      <c r="R171">
        <f ca="1"/>
        <v>7.5240791397982384E-2</v>
      </c>
      <c r="S171">
        <f ca="1"/>
        <v>0</v>
      </c>
      <c r="T171">
        <f ca="1"/>
        <v>0</v>
      </c>
      <c r="U171">
        <f ca="1"/>
        <v>0.74999079727587381</v>
      </c>
      <c r="W171" s="2">
        <f t="shared" ca="1" si="15"/>
        <v>45288</v>
      </c>
      <c r="X171">
        <f t="shared" ca="1" si="16"/>
        <v>0</v>
      </c>
      <c r="Z171" s="63">
        <f t="shared" ca="1" si="18"/>
        <v>35.730094656414636</v>
      </c>
      <c r="AA171" s="63">
        <f t="shared" ca="1" si="19"/>
        <v>35.730094656414636</v>
      </c>
      <c r="AB171" s="3">
        <f t="shared" ca="1" si="20"/>
        <v>0</v>
      </c>
    </row>
    <row r="172" spans="7:28">
      <c r="G172" t="b">
        <f t="shared" ca="1" si="17"/>
        <v>1</v>
      </c>
      <c r="H172" t="b">
        <f t="shared" ca="1" si="14"/>
        <v>1</v>
      </c>
      <c r="I172" s="2">
        <f ca="1"/>
        <v>45289</v>
      </c>
      <c r="J172">
        <f ca="1"/>
        <v>31.627202738017218</v>
      </c>
      <c r="K172">
        <f ca="1"/>
        <v>1.9630547703308707</v>
      </c>
      <c r="L172">
        <f ca="1"/>
        <v>4.169398781748157E-4</v>
      </c>
      <c r="M172">
        <f ca="1"/>
        <v>0.21465386164943243</v>
      </c>
      <c r="N172">
        <f ca="1"/>
        <v>0</v>
      </c>
      <c r="O172">
        <f ca="1"/>
        <v>120.37248573286682</v>
      </c>
      <c r="P172">
        <f ca="1"/>
        <v>65.764480010151615</v>
      </c>
      <c r="Q172">
        <f ca="1"/>
        <v>0</v>
      </c>
      <c r="R172">
        <f ca="1"/>
        <v>7.1627889543903436E-2</v>
      </c>
      <c r="S172">
        <f ca="1"/>
        <v>0</v>
      </c>
      <c r="T172">
        <f ca="1"/>
        <v>0</v>
      </c>
      <c r="U172">
        <f ca="1"/>
        <v>0.74999275259707243</v>
      </c>
      <c r="W172" s="2">
        <f t="shared" ca="1" si="15"/>
        <v>45289</v>
      </c>
      <c r="X172">
        <f t="shared" ca="1" si="16"/>
        <v>0</v>
      </c>
      <c r="Z172" s="63">
        <f t="shared" ca="1" si="18"/>
        <v>33.590257508348095</v>
      </c>
      <c r="AA172" s="63">
        <f t="shared" ca="1" si="19"/>
        <v>33.590257508348088</v>
      </c>
      <c r="AB172" s="3">
        <f t="shared" ca="1" si="20"/>
        <v>0</v>
      </c>
    </row>
    <row r="173" spans="7:28">
      <c r="G173" t="b">
        <f t="shared" ca="1" si="17"/>
        <v>1</v>
      </c>
      <c r="H173" t="b">
        <f t="shared" ca="1" si="14"/>
        <v>1</v>
      </c>
      <c r="I173" s="2">
        <f ca="1"/>
        <v>45290</v>
      </c>
      <c r="J173">
        <f ca="1"/>
        <v>29.922237775529602</v>
      </c>
      <c r="K173">
        <f ca="1"/>
        <v>1.9304467143397233</v>
      </c>
      <c r="L173">
        <f ca="1"/>
        <v>5.0156033120352106E-4</v>
      </c>
      <c r="M173">
        <f ca="1"/>
        <v>0.22498019152090684</v>
      </c>
      <c r="N173">
        <f ca="1"/>
        <v>0</v>
      </c>
      <c r="O173">
        <f ca="1"/>
        <v>122.30293244720654</v>
      </c>
      <c r="P173">
        <f ca="1"/>
        <v>66.81916309310796</v>
      </c>
      <c r="Q173">
        <f ca="1"/>
        <v>0</v>
      </c>
      <c r="R173">
        <f ca="1"/>
        <v>7.7147795399742536E-2</v>
      </c>
      <c r="S173">
        <f ca="1"/>
        <v>0</v>
      </c>
      <c r="T173">
        <f ca="1"/>
        <v>0</v>
      </c>
      <c r="U173">
        <f ca="1"/>
        <v>0.74999436022921839</v>
      </c>
      <c r="W173" s="2">
        <f t="shared" ca="1" si="15"/>
        <v>45290</v>
      </c>
      <c r="X173">
        <f t="shared" ca="1" si="16"/>
        <v>0</v>
      </c>
      <c r="Z173" s="63">
        <f t="shared" ca="1" si="18"/>
        <v>31.852684489869326</v>
      </c>
      <c r="AA173" s="63">
        <f t="shared" ca="1" si="19"/>
        <v>31.852684489869326</v>
      </c>
      <c r="AB173" s="3">
        <f t="shared" ca="1" si="20"/>
        <v>0</v>
      </c>
    </row>
    <row r="174" spans="7:28">
      <c r="G174" t="b">
        <f t="shared" ca="1" si="17"/>
        <v>0</v>
      </c>
      <c r="H174" t="b">
        <f t="shared" ca="1" si="14"/>
        <v>1</v>
      </c>
      <c r="I174" s="2">
        <f ca="1"/>
        <v>45291</v>
      </c>
      <c r="J174">
        <f ca="1"/>
        <v>28.416053257738323</v>
      </c>
      <c r="K174">
        <f ca="1"/>
        <v>1.7220675527934333</v>
      </c>
      <c r="L174">
        <f ca="1"/>
        <v>4.9128553365918037E-4</v>
      </c>
      <c r="M174">
        <f ca="1"/>
        <v>0.21539174946849318</v>
      </c>
      <c r="N174">
        <f ca="1"/>
        <v>0</v>
      </c>
      <c r="O174">
        <f ca="1"/>
        <v>124.02499999999998</v>
      </c>
      <c r="P174">
        <f ca="1"/>
        <v>67.759999999999977</v>
      </c>
      <c r="Q174">
        <f ca="1"/>
        <v>0</v>
      </c>
      <c r="R174">
        <f ca="1"/>
        <v>7.3122541284840498E-2</v>
      </c>
      <c r="S174">
        <f ca="1"/>
        <v>0</v>
      </c>
      <c r="T174">
        <f ca="1"/>
        <v>0</v>
      </c>
      <c r="U174">
        <f ca="1"/>
        <v>0.7499955614729874</v>
      </c>
      <c r="W174" s="2">
        <f t="shared" ca="1" si="15"/>
        <v>45291</v>
      </c>
      <c r="X174">
        <f t="shared" ca="1" si="16"/>
        <v>0</v>
      </c>
      <c r="Z174" s="63">
        <f t="shared" ca="1" si="18"/>
        <v>30.138120810531756</v>
      </c>
      <c r="AA174" s="63">
        <f t="shared" ca="1" si="19"/>
        <v>30.138120810531756</v>
      </c>
      <c r="AB174" s="3">
        <f t="shared" ca="1" si="20"/>
        <v>0</v>
      </c>
    </row>
    <row r="175" spans="7:28">
      <c r="G175" t="b">
        <f t="shared" ca="1" si="17"/>
        <v>0</v>
      </c>
      <c r="H175" t="b">
        <f t="shared" ca="1" si="14"/>
        <v>0</v>
      </c>
      <c r="I175" s="2">
        <f ca="1"/>
        <v>45292</v>
      </c>
      <c r="J175">
        <f ca="1"/>
        <v>28.325642118551357</v>
      </c>
      <c r="K175">
        <f ca="1"/>
        <v>0</v>
      </c>
      <c r="L175">
        <f ca="1"/>
        <v>-0.31271099654285273</v>
      </c>
      <c r="M175">
        <f ca="1"/>
        <v>0.22229985735588864</v>
      </c>
      <c r="N175">
        <f ca="1"/>
        <v>0</v>
      </c>
      <c r="O175">
        <f ca="1"/>
        <v>0</v>
      </c>
      <c r="P175">
        <f ca="1"/>
        <v>0</v>
      </c>
      <c r="Q175">
        <f ca="1"/>
        <v>0</v>
      </c>
      <c r="R175">
        <f ca="1"/>
        <v>7.8222452227710015E-2</v>
      </c>
      <c r="S175">
        <f ca="1"/>
        <v>0</v>
      </c>
      <c r="T175">
        <f ca="1"/>
        <v>0</v>
      </c>
      <c r="U175">
        <f ca="1"/>
        <v>0</v>
      </c>
      <c r="W175" s="2">
        <f t="shared" ca="1" si="15"/>
        <v>45292</v>
      </c>
      <c r="X175">
        <f t="shared" ca="1" si="16"/>
        <v>0</v>
      </c>
      <c r="Z175" s="63">
        <f t="shared" ca="1" si="18"/>
        <v>28.325642118551361</v>
      </c>
      <c r="AA175" s="63">
        <f t="shared" ca="1" si="19"/>
        <v>28.325642118551357</v>
      </c>
      <c r="AB175" s="3">
        <f t="shared" ca="1" si="20"/>
        <v>0</v>
      </c>
    </row>
    <row r="176" spans="7:28">
      <c r="G176" t="b">
        <f t="shared" ca="1" si="17"/>
        <v>0</v>
      </c>
      <c r="H176" t="b">
        <f t="shared" ca="1" si="14"/>
        <v>0</v>
      </c>
      <c r="I176" s="2">
        <f ca="1"/>
        <v>45293</v>
      </c>
      <c r="J176">
        <f ca="1"/>
        <v>28.148592412710109</v>
      </c>
      <c r="K176">
        <f ca="1"/>
        <v>0</v>
      </c>
      <c r="L176">
        <f ca="1"/>
        <v>-0.42082564862362837</v>
      </c>
      <c r="M176">
        <f ca="1"/>
        <v>0.24377594278238032</v>
      </c>
      <c r="N176">
        <f ca="1"/>
        <v>0</v>
      </c>
      <c r="O176">
        <f ca="1"/>
        <v>0</v>
      </c>
      <c r="P176">
        <f ca="1"/>
        <v>0</v>
      </c>
      <c r="Q176">
        <f ca="1"/>
        <v>0</v>
      </c>
      <c r="R176">
        <f ca="1"/>
        <v>9.9372881603903104E-2</v>
      </c>
      <c r="S176">
        <f ca="1"/>
        <v>0</v>
      </c>
      <c r="T176">
        <f ca="1"/>
        <v>0</v>
      </c>
      <c r="U176">
        <f ca="1"/>
        <v>0</v>
      </c>
      <c r="W176" s="2">
        <f t="shared" ca="1" si="15"/>
        <v>45293</v>
      </c>
      <c r="X176">
        <f t="shared" ca="1" si="16"/>
        <v>0</v>
      </c>
      <c r="Z176" s="63">
        <f t="shared" ca="1" si="18"/>
        <v>28.148592412710112</v>
      </c>
      <c r="AA176" s="63">
        <f t="shared" ca="1" si="19"/>
        <v>28.148592412710109</v>
      </c>
      <c r="AB176" s="3">
        <f t="shared" ca="1" si="20"/>
        <v>0</v>
      </c>
    </row>
    <row r="177" spans="7:28">
      <c r="G177" t="b">
        <f t="shared" ca="1" si="17"/>
        <v>0</v>
      </c>
      <c r="H177" t="b">
        <f t="shared" ca="1" si="14"/>
        <v>0</v>
      </c>
      <c r="I177" s="2">
        <f ca="1"/>
        <v>45294</v>
      </c>
      <c r="J177">
        <f ca="1"/>
        <v>27.850971449427341</v>
      </c>
      <c r="K177">
        <f ca="1"/>
        <v>0</v>
      </c>
      <c r="L177">
        <f ca="1"/>
        <v>-0.54123158993243159</v>
      </c>
      <c r="M177">
        <f ca="1"/>
        <v>0.24361062664966682</v>
      </c>
      <c r="N177">
        <f ca="1"/>
        <v>0</v>
      </c>
      <c r="O177">
        <f ca="1"/>
        <v>0</v>
      </c>
      <c r="P177">
        <f ca="1"/>
        <v>0</v>
      </c>
      <c r="Q177">
        <f ca="1"/>
        <v>0</v>
      </c>
      <c r="R177">
        <f ca="1"/>
        <v>0.13275168572172708</v>
      </c>
      <c r="S177">
        <f ca="1"/>
        <v>0</v>
      </c>
      <c r="T177">
        <f ca="1"/>
        <v>0</v>
      </c>
      <c r="U177">
        <f ca="1"/>
        <v>0</v>
      </c>
      <c r="W177" s="2">
        <f t="shared" ca="1" si="15"/>
        <v>45294</v>
      </c>
      <c r="X177">
        <f t="shared" ca="1" si="16"/>
        <v>0</v>
      </c>
      <c r="Z177" s="63">
        <f t="shared" ca="1" si="18"/>
        <v>27.850971449427345</v>
      </c>
      <c r="AA177" s="63">
        <f t="shared" ca="1" si="19"/>
        <v>27.850971449427341</v>
      </c>
      <c r="AB177" s="3">
        <f t="shared" ca="1" si="20"/>
        <v>0</v>
      </c>
    </row>
    <row r="178" spans="7:28">
      <c r="G178" t="b">
        <f t="shared" ca="1" si="17"/>
        <v>0</v>
      </c>
      <c r="H178" t="b">
        <f t="shared" ca="1" si="14"/>
        <v>0</v>
      </c>
      <c r="I178" s="2">
        <f ca="1"/>
        <v>45295</v>
      </c>
      <c r="J178">
        <f ca="1"/>
        <v>27.494946817823944</v>
      </c>
      <c r="K178">
        <f ca="1"/>
        <v>0</v>
      </c>
      <c r="L178">
        <f ca="1"/>
        <v>-0.58502020532768562</v>
      </c>
      <c r="M178">
        <f ca="1"/>
        <v>0.22899557372429136</v>
      </c>
      <c r="N178">
        <f ca="1"/>
        <v>0</v>
      </c>
      <c r="O178">
        <f ca="1"/>
        <v>0</v>
      </c>
      <c r="P178">
        <f ca="1"/>
        <v>0</v>
      </c>
      <c r="Q178">
        <f ca="1"/>
        <v>0</v>
      </c>
      <c r="R178">
        <f ca="1"/>
        <v>0.15675615926601161</v>
      </c>
      <c r="S178">
        <f ca="1"/>
        <v>0</v>
      </c>
      <c r="T178">
        <f ca="1"/>
        <v>0</v>
      </c>
      <c r="U178">
        <f ca="1"/>
        <v>0</v>
      </c>
      <c r="W178" s="2">
        <f t="shared" ca="1" si="15"/>
        <v>45295</v>
      </c>
      <c r="X178">
        <f t="shared" ca="1" si="16"/>
        <v>0</v>
      </c>
      <c r="Z178" s="63">
        <f t="shared" ca="1" si="18"/>
        <v>27.494946817823944</v>
      </c>
      <c r="AA178" s="63">
        <f t="shared" ca="1" si="19"/>
        <v>27.494946817823944</v>
      </c>
      <c r="AB178" s="3">
        <f t="shared" ca="1" si="20"/>
        <v>0</v>
      </c>
    </row>
    <row r="179" spans="7:28">
      <c r="G179" t="b">
        <f t="shared" ca="1" si="17"/>
        <v>0</v>
      </c>
      <c r="H179" t="b">
        <f t="shared" ca="1" si="14"/>
        <v>0</v>
      </c>
      <c r="I179" s="2">
        <f ca="1"/>
        <v>45296</v>
      </c>
      <c r="J179">
        <f ca="1"/>
        <v>27.094261937837334</v>
      </c>
      <c r="K179">
        <f ca="1"/>
        <v>0</v>
      </c>
      <c r="L179">
        <f ca="1"/>
        <v>-0.63788795852532232</v>
      </c>
      <c r="M179">
        <f ca="1"/>
        <v>0.23720307853871148</v>
      </c>
      <c r="N179">
        <f ca="1"/>
        <v>0</v>
      </c>
      <c r="O179">
        <f ca="1"/>
        <v>0</v>
      </c>
      <c r="P179">
        <f ca="1"/>
        <v>0</v>
      </c>
      <c r="Q179">
        <f ca="1"/>
        <v>0</v>
      </c>
      <c r="R179">
        <f ca="1"/>
        <v>0.17069515518786421</v>
      </c>
      <c r="S179">
        <f ca="1"/>
        <v>0</v>
      </c>
      <c r="T179">
        <f ca="1"/>
        <v>0</v>
      </c>
      <c r="U179">
        <f ca="1"/>
        <v>0</v>
      </c>
      <c r="W179" s="2">
        <f t="shared" ca="1" si="15"/>
        <v>45296</v>
      </c>
      <c r="X179">
        <f t="shared" ca="1" si="16"/>
        <v>0</v>
      </c>
      <c r="Z179" s="63">
        <f t="shared" ca="1" si="18"/>
        <v>27.094261937837334</v>
      </c>
      <c r="AA179" s="63">
        <f t="shared" ca="1" si="19"/>
        <v>27.094261937837334</v>
      </c>
      <c r="AB179" s="3">
        <f t="shared" ca="1" si="20"/>
        <v>0</v>
      </c>
    </row>
    <row r="180" spans="7:28">
      <c r="G180" t="b">
        <f t="shared" ca="1" si="17"/>
        <v>0</v>
      </c>
      <c r="H180" t="b">
        <f t="shared" ca="1" si="14"/>
        <v>0</v>
      </c>
      <c r="I180" s="2">
        <f ca="1"/>
        <v>45297</v>
      </c>
      <c r="J180">
        <f ca="1"/>
        <v>26.729856783650838</v>
      </c>
      <c r="K180">
        <f ca="1"/>
        <v>0</v>
      </c>
      <c r="L180">
        <f ca="1"/>
        <v>-0.60269893734753843</v>
      </c>
      <c r="M180">
        <f ca="1"/>
        <v>0.23829378316104227</v>
      </c>
      <c r="N180">
        <f ca="1"/>
        <v>0</v>
      </c>
      <c r="O180">
        <f ca="1"/>
        <v>0</v>
      </c>
      <c r="P180">
        <f ca="1"/>
        <v>0</v>
      </c>
      <c r="Q180">
        <f ca="1"/>
        <v>0</v>
      </c>
      <c r="R180">
        <f ca="1"/>
        <v>0.16262726359316523</v>
      </c>
      <c r="S180">
        <f ca="1"/>
        <v>0</v>
      </c>
      <c r="T180">
        <f ca="1"/>
        <v>0</v>
      </c>
      <c r="U180">
        <f ca="1"/>
        <v>0</v>
      </c>
      <c r="W180" s="2">
        <f t="shared" ca="1" si="15"/>
        <v>45297</v>
      </c>
      <c r="X180">
        <f t="shared" ca="1" si="16"/>
        <v>0</v>
      </c>
      <c r="Z180" s="63">
        <f t="shared" ca="1" si="18"/>
        <v>26.729856783650838</v>
      </c>
      <c r="AA180" s="63">
        <f t="shared" ca="1" si="19"/>
        <v>26.729856783650838</v>
      </c>
      <c r="AB180" s="3">
        <f t="shared" ca="1" si="20"/>
        <v>0</v>
      </c>
    </row>
    <row r="181" spans="7:28">
      <c r="G181" t="b">
        <f t="shared" ca="1" si="17"/>
        <v>0</v>
      </c>
      <c r="H181" t="b">
        <f t="shared" ca="1" si="14"/>
        <v>0</v>
      </c>
      <c r="I181" s="2">
        <f ca="1"/>
        <v>45298</v>
      </c>
      <c r="J181">
        <f ca="1"/>
        <v>26.346113822004053</v>
      </c>
      <c r="K181">
        <f ca="1"/>
        <v>0</v>
      </c>
      <c r="L181">
        <f ca="1"/>
        <v>-0.64567217731411475</v>
      </c>
      <c r="M181">
        <f ca="1"/>
        <v>0.26192921566733002</v>
      </c>
      <c r="N181">
        <f ca="1"/>
        <v>0</v>
      </c>
      <c r="O181">
        <f ca="1"/>
        <v>0</v>
      </c>
      <c r="P181">
        <f ca="1"/>
        <v>0</v>
      </c>
      <c r="Q181">
        <f ca="1"/>
        <v>0</v>
      </c>
      <c r="R181">
        <f ca="1"/>
        <v>0.16343617865644761</v>
      </c>
      <c r="S181">
        <f ca="1"/>
        <v>0</v>
      </c>
      <c r="T181">
        <f ca="1"/>
        <v>0</v>
      </c>
      <c r="U181">
        <f ca="1"/>
        <v>0</v>
      </c>
      <c r="W181" s="2">
        <f t="shared" ca="1" si="15"/>
        <v>45298</v>
      </c>
      <c r="X181">
        <f t="shared" ca="1" si="16"/>
        <v>0</v>
      </c>
      <c r="Z181" s="63">
        <f t="shared" ca="1" si="18"/>
        <v>26.346113822004053</v>
      </c>
      <c r="AA181" s="63">
        <f t="shared" ca="1" si="19"/>
        <v>26.346113822004053</v>
      </c>
      <c r="AB181" s="3">
        <f t="shared" ca="1" si="20"/>
        <v>0</v>
      </c>
    </row>
    <row r="182" spans="7:28">
      <c r="G182" t="b">
        <f t="shared" ca="1" si="17"/>
        <v>0</v>
      </c>
      <c r="H182" t="b">
        <f t="shared" ca="1" si="14"/>
        <v>0</v>
      </c>
      <c r="I182" s="2">
        <f ca="1"/>
        <v>45299</v>
      </c>
      <c r="J182">
        <f ca="1"/>
        <v>25.890747289073019</v>
      </c>
      <c r="K182">
        <f ca="1"/>
        <v>0</v>
      </c>
      <c r="L182">
        <f ca="1"/>
        <v>-0.71764687877323041</v>
      </c>
      <c r="M182">
        <f ca="1"/>
        <v>0.26228034584219512</v>
      </c>
      <c r="N182">
        <f ca="1"/>
        <v>0</v>
      </c>
      <c r="O182">
        <f ca="1"/>
        <v>0</v>
      </c>
      <c r="P182">
        <f ca="1"/>
        <v>0</v>
      </c>
      <c r="Q182">
        <f ca="1"/>
        <v>0</v>
      </c>
      <c r="R182">
        <f ca="1"/>
        <v>0.18951073649157765</v>
      </c>
      <c r="S182">
        <f ca="1"/>
        <v>0</v>
      </c>
      <c r="T182">
        <f ca="1"/>
        <v>0</v>
      </c>
      <c r="U182">
        <f ca="1"/>
        <v>0</v>
      </c>
      <c r="W182" s="2">
        <f t="shared" ca="1" si="15"/>
        <v>45299</v>
      </c>
      <c r="X182">
        <f t="shared" ca="1" si="16"/>
        <v>0</v>
      </c>
      <c r="Z182" s="63">
        <f t="shared" ca="1" si="18"/>
        <v>25.890747289073019</v>
      </c>
      <c r="AA182" s="63">
        <f t="shared" ca="1" si="19"/>
        <v>25.890747289073019</v>
      </c>
      <c r="AB182" s="3">
        <f t="shared" ca="1" si="20"/>
        <v>0</v>
      </c>
    </row>
    <row r="183" spans="7:28">
      <c r="G183" t="b">
        <f t="shared" ca="1" si="17"/>
        <v>0</v>
      </c>
      <c r="H183" t="b">
        <f t="shared" ca="1" si="14"/>
        <v>0</v>
      </c>
      <c r="I183" s="2">
        <f ca="1"/>
        <v>45300</v>
      </c>
      <c r="J183">
        <f ca="1"/>
        <v>25.479408768060125</v>
      </c>
      <c r="K183">
        <f ca="1"/>
        <v>0</v>
      </c>
      <c r="L183">
        <f ca="1"/>
        <v>-0.65562003714679129</v>
      </c>
      <c r="M183">
        <f ca="1"/>
        <v>0.24428151613389926</v>
      </c>
      <c r="N183">
        <f ca="1"/>
        <v>0</v>
      </c>
      <c r="O183">
        <f ca="1"/>
        <v>0</v>
      </c>
      <c r="P183">
        <f ca="1"/>
        <v>0</v>
      </c>
      <c r="Q183">
        <f ca="1"/>
        <v>0</v>
      </c>
      <c r="R183">
        <f ca="1"/>
        <v>0.18828887921506607</v>
      </c>
      <c r="S183">
        <f ca="1"/>
        <v>0</v>
      </c>
      <c r="T183">
        <f ca="1"/>
        <v>0</v>
      </c>
      <c r="U183">
        <f ca="1"/>
        <v>0</v>
      </c>
      <c r="W183" s="2">
        <f t="shared" ca="1" si="15"/>
        <v>45300</v>
      </c>
      <c r="X183">
        <f t="shared" ca="1" si="16"/>
        <v>0</v>
      </c>
      <c r="Z183" s="63">
        <f t="shared" ca="1" si="18"/>
        <v>25.479408768060129</v>
      </c>
      <c r="AA183" s="63">
        <f t="shared" ca="1" si="19"/>
        <v>25.479408768060125</v>
      </c>
      <c r="AB183" s="3">
        <f t="shared" ca="1" si="20"/>
        <v>0</v>
      </c>
    </row>
    <row r="184" spans="7:28">
      <c r="G184" t="b">
        <f t="shared" ca="1" si="17"/>
        <v>0</v>
      </c>
      <c r="H184" t="b">
        <f t="shared" ca="1" si="14"/>
        <v>0</v>
      </c>
      <c r="I184" s="2">
        <f ca="1"/>
        <v>45301</v>
      </c>
      <c r="J184">
        <f ca="1"/>
        <v>24.987667429170088</v>
      </c>
      <c r="K184">
        <f ca="1"/>
        <v>0</v>
      </c>
      <c r="L184">
        <f ca="1"/>
        <v>-0.73792267814105017</v>
      </c>
      <c r="M184">
        <f ca="1"/>
        <v>0.24618133925101149</v>
      </c>
      <c r="N184">
        <f ca="1"/>
        <v>0</v>
      </c>
      <c r="O184">
        <f ca="1"/>
        <v>0</v>
      </c>
      <c r="P184">
        <f ca="1"/>
        <v>0</v>
      </c>
      <c r="Q184">
        <f ca="1"/>
        <v>0</v>
      </c>
      <c r="R184">
        <f ca="1"/>
        <v>0.22176129981729911</v>
      </c>
      <c r="S184">
        <f ca="1"/>
        <v>0</v>
      </c>
      <c r="T184">
        <f ca="1"/>
        <v>0</v>
      </c>
      <c r="U184">
        <f ca="1"/>
        <v>0</v>
      </c>
      <c r="W184" s="2">
        <f t="shared" ca="1" si="15"/>
        <v>45301</v>
      </c>
      <c r="X184">
        <f t="shared" ca="1" si="16"/>
        <v>0</v>
      </c>
      <c r="Z184" s="63">
        <f t="shared" ca="1" si="18"/>
        <v>24.987667429170088</v>
      </c>
      <c r="AA184" s="63">
        <f t="shared" ca="1" si="19"/>
        <v>24.987667429170088</v>
      </c>
      <c r="AB184" s="3">
        <f t="shared" ca="1" si="20"/>
        <v>0</v>
      </c>
    </row>
    <row r="185" spans="7:28">
      <c r="G185" t="b">
        <f t="shared" ca="1" si="17"/>
        <v>0</v>
      </c>
      <c r="H185" t="b">
        <f t="shared" ca="1" si="14"/>
        <v>0</v>
      </c>
      <c r="I185" s="2">
        <f ca="1"/>
        <v>45302</v>
      </c>
      <c r="J185">
        <f ca="1"/>
        <v>24.429828249219934</v>
      </c>
      <c r="K185">
        <f ca="1"/>
        <v>0</v>
      </c>
      <c r="L185">
        <f ca="1"/>
        <v>-0.81780746059174447</v>
      </c>
      <c r="M185">
        <f ca="1"/>
        <v>0.25996828064158911</v>
      </c>
      <c r="N185">
        <f ca="1"/>
        <v>0</v>
      </c>
      <c r="O185">
        <f ca="1"/>
        <v>0</v>
      </c>
      <c r="P185">
        <f ca="1"/>
        <v>0</v>
      </c>
      <c r="Q185">
        <f ca="1"/>
        <v>0</v>
      </c>
      <c r="R185">
        <f ca="1"/>
        <v>0.24618370640710577</v>
      </c>
      <c r="S185">
        <f ca="1"/>
        <v>0</v>
      </c>
      <c r="T185">
        <f ca="1"/>
        <v>0</v>
      </c>
      <c r="U185">
        <f ca="1"/>
        <v>0</v>
      </c>
      <c r="W185" s="2">
        <f t="shared" ca="1" si="15"/>
        <v>45302</v>
      </c>
      <c r="X185">
        <f t="shared" ca="1" si="16"/>
        <v>0</v>
      </c>
      <c r="Z185" s="63">
        <f t="shared" ca="1" si="18"/>
        <v>24.429828249219934</v>
      </c>
      <c r="AA185" s="63">
        <f t="shared" ca="1" si="19"/>
        <v>24.429828249219934</v>
      </c>
      <c r="AB185" s="3">
        <f t="shared" ca="1" si="20"/>
        <v>0</v>
      </c>
    </row>
    <row r="186" spans="7:28">
      <c r="G186" t="b">
        <f t="shared" ca="1" si="17"/>
        <v>0</v>
      </c>
      <c r="H186" t="b">
        <f t="shared" ca="1" si="14"/>
        <v>0</v>
      </c>
      <c r="I186" s="2">
        <f ca="1"/>
        <v>45303</v>
      </c>
      <c r="J186">
        <f ca="1"/>
        <v>23.795724440738191</v>
      </c>
      <c r="K186">
        <f ca="1"/>
        <v>0</v>
      </c>
      <c r="L186">
        <f ca="1"/>
        <v>-0.91122479865123829</v>
      </c>
      <c r="M186">
        <f ca="1"/>
        <v>0.2771209901694982</v>
      </c>
      <c r="N186">
        <f ca="1"/>
        <v>0</v>
      </c>
      <c r="O186">
        <f ca="1"/>
        <v>0</v>
      </c>
      <c r="P186">
        <f ca="1"/>
        <v>0</v>
      </c>
      <c r="Q186">
        <f ca="1"/>
        <v>0</v>
      </c>
      <c r="R186">
        <f ca="1"/>
        <v>0.2749075091811316</v>
      </c>
      <c r="S186">
        <f ca="1"/>
        <v>0</v>
      </c>
      <c r="T186">
        <f ca="1"/>
        <v>0</v>
      </c>
      <c r="U186">
        <f ca="1"/>
        <v>0</v>
      </c>
      <c r="W186" s="2">
        <f t="shared" ca="1" si="15"/>
        <v>45303</v>
      </c>
      <c r="X186">
        <f t="shared" ca="1" si="16"/>
        <v>0</v>
      </c>
      <c r="Z186" s="63">
        <f t="shared" ca="1" si="18"/>
        <v>23.795724440738194</v>
      </c>
      <c r="AA186" s="63">
        <f t="shared" ca="1" si="19"/>
        <v>23.795724440738191</v>
      </c>
      <c r="AB186" s="3">
        <f t="shared" ca="1" si="20"/>
        <v>0</v>
      </c>
    </row>
    <row r="187" spans="7:28">
      <c r="G187" t="b">
        <f t="shared" ca="1" si="17"/>
        <v>0</v>
      </c>
      <c r="H187" t="b">
        <f t="shared" ca="1" si="14"/>
        <v>0</v>
      </c>
      <c r="I187" s="2">
        <f ca="1"/>
        <v>45304</v>
      </c>
      <c r="J187">
        <f ca="1"/>
        <v>23.191411045099258</v>
      </c>
      <c r="K187">
        <f ca="1"/>
        <v>0</v>
      </c>
      <c r="L187">
        <f ca="1"/>
        <v>-0.88440364318729259</v>
      </c>
      <c r="M187">
        <f ca="1"/>
        <v>0.28009024754836315</v>
      </c>
      <c r="N187">
        <f ca="1"/>
        <v>0</v>
      </c>
      <c r="O187">
        <f ca="1"/>
        <v>0</v>
      </c>
      <c r="P187">
        <f ca="1"/>
        <v>0</v>
      </c>
      <c r="Q187">
        <f ca="1"/>
        <v>0</v>
      </c>
      <c r="R187">
        <f ca="1"/>
        <v>0.27252745830382347</v>
      </c>
      <c r="S187">
        <f ca="1"/>
        <v>0</v>
      </c>
      <c r="T187">
        <f ca="1"/>
        <v>0</v>
      </c>
      <c r="U187">
        <f ca="1"/>
        <v>0</v>
      </c>
      <c r="W187" s="2">
        <f t="shared" ca="1" si="15"/>
        <v>45304</v>
      </c>
      <c r="X187">
        <f t="shared" ca="1" si="16"/>
        <v>0</v>
      </c>
      <c r="Z187" s="63">
        <f t="shared" ca="1" si="18"/>
        <v>23.191411045099262</v>
      </c>
      <c r="AA187" s="63">
        <f t="shared" ca="1" si="19"/>
        <v>23.191411045099258</v>
      </c>
      <c r="AB187" s="3">
        <f t="shared" ca="1" si="20"/>
        <v>0</v>
      </c>
    </row>
    <row r="188" spans="7:28">
      <c r="G188" t="b">
        <f t="shared" ca="1" si="17"/>
        <v>0</v>
      </c>
      <c r="H188" t="b">
        <f t="shared" ca="1" si="14"/>
        <v>0</v>
      </c>
      <c r="I188" s="2">
        <f ca="1"/>
        <v>45305</v>
      </c>
      <c r="J188">
        <f ca="1"/>
        <v>22.642864414623798</v>
      </c>
      <c r="K188">
        <f ca="1"/>
        <v>0</v>
      </c>
      <c r="L188">
        <f ca="1"/>
        <v>-0.82583182635710273</v>
      </c>
      <c r="M188">
        <f ca="1"/>
        <v>0.27728519588164341</v>
      </c>
      <c r="N188">
        <f ca="1"/>
        <v>0</v>
      </c>
      <c r="O188">
        <f ca="1"/>
        <v>0</v>
      </c>
      <c r="P188">
        <f ca="1"/>
        <v>0</v>
      </c>
      <c r="Q188">
        <f ca="1"/>
        <v>0</v>
      </c>
      <c r="R188">
        <f ca="1"/>
        <v>0.26273258792868259</v>
      </c>
      <c r="S188">
        <f ca="1"/>
        <v>0</v>
      </c>
      <c r="T188">
        <f ca="1"/>
        <v>0</v>
      </c>
      <c r="U188">
        <f ca="1"/>
        <v>0</v>
      </c>
      <c r="W188" s="2">
        <f t="shared" ca="1" si="15"/>
        <v>45305</v>
      </c>
      <c r="X188">
        <f t="shared" ca="1" si="16"/>
        <v>0</v>
      </c>
      <c r="Z188" s="63">
        <f t="shared" ca="1" si="18"/>
        <v>22.642864414623798</v>
      </c>
      <c r="AA188" s="63">
        <f t="shared" ca="1" si="19"/>
        <v>22.642864414623798</v>
      </c>
      <c r="AB188" s="3">
        <f t="shared" ca="1" si="20"/>
        <v>0</v>
      </c>
    </row>
    <row r="189" spans="7:28">
      <c r="G189" t="b">
        <f t="shared" ca="1" si="17"/>
        <v>0</v>
      </c>
      <c r="H189" t="b">
        <f t="shared" ca="1" si="14"/>
        <v>0</v>
      </c>
      <c r="I189" s="2">
        <f ca="1"/>
        <v>45306</v>
      </c>
      <c r="J189">
        <f ca="1"/>
        <v>22.128343966193732</v>
      </c>
      <c r="K189">
        <f ca="1"/>
        <v>0</v>
      </c>
      <c r="L189">
        <f ca="1"/>
        <v>-0.79998500814433626</v>
      </c>
      <c r="M189">
        <f ca="1"/>
        <v>0.2854645597142717</v>
      </c>
      <c r="N189">
        <f ca="1"/>
        <v>0</v>
      </c>
      <c r="O189">
        <f ca="1"/>
        <v>1.5604044247967603</v>
      </c>
      <c r="P189">
        <f ca="1"/>
        <v>1.4438807177502491</v>
      </c>
      <c r="Q189">
        <f ca="1"/>
        <v>0</v>
      </c>
      <c r="R189">
        <f ca="1"/>
        <v>0.25388692669583013</v>
      </c>
      <c r="S189">
        <f ca="1"/>
        <v>0</v>
      </c>
      <c r="T189">
        <f ca="1"/>
        <v>0</v>
      </c>
      <c r="U189">
        <f ca="1"/>
        <v>7.7357558978922505E-3</v>
      </c>
      <c r="W189" s="2">
        <f t="shared" ca="1" si="15"/>
        <v>45306</v>
      </c>
      <c r="X189">
        <f t="shared" ca="1" si="16"/>
        <v>0</v>
      </c>
      <c r="Z189" s="63">
        <f t="shared" ca="1" si="18"/>
        <v>22.128343966193732</v>
      </c>
      <c r="AA189" s="63">
        <f t="shared" ca="1" si="19"/>
        <v>22.128343966193732</v>
      </c>
      <c r="AB189" s="3">
        <f t="shared" ca="1" si="20"/>
        <v>0</v>
      </c>
    </row>
    <row r="190" spans="7:28">
      <c r="G190" t="b">
        <f t="shared" ca="1" si="17"/>
        <v>0</v>
      </c>
      <c r="H190" t="b">
        <f t="shared" ca="1" si="14"/>
        <v>0</v>
      </c>
      <c r="I190" s="2">
        <f ca="1"/>
        <v>45307</v>
      </c>
      <c r="J190">
        <f ca="1"/>
        <v>21.598077457364667</v>
      </c>
      <c r="K190">
        <f ca="1"/>
        <v>9.0232727097390608E-2</v>
      </c>
      <c r="L190">
        <f ca="1"/>
        <v>-0.71067007587133091</v>
      </c>
      <c r="M190">
        <f ca="1"/>
        <v>0.27063629413965684</v>
      </c>
      <c r="N190">
        <f ca="1"/>
        <v>0</v>
      </c>
      <c r="O190">
        <f ca="1"/>
        <v>1.6506371518941509</v>
      </c>
      <c r="P190">
        <f ca="1"/>
        <v>1.5273752866553021</v>
      </c>
      <c r="Q190">
        <f ca="1"/>
        <v>0</v>
      </c>
      <c r="R190">
        <f ca="1"/>
        <v>0.24102410791659737</v>
      </c>
      <c r="S190">
        <f ca="1"/>
        <v>0</v>
      </c>
      <c r="T190">
        <f ca="1"/>
        <v>0</v>
      </c>
      <c r="U190">
        <f ca="1"/>
        <v>8.9017781258716681E-3</v>
      </c>
      <c r="W190" s="2">
        <f t="shared" ca="1" si="15"/>
        <v>45307</v>
      </c>
      <c r="X190">
        <f t="shared" ca="1" si="16"/>
        <v>0</v>
      </c>
      <c r="Z190" s="63">
        <f t="shared" ca="1" si="18"/>
        <v>21.688310184462058</v>
      </c>
      <c r="AA190" s="63">
        <f t="shared" ca="1" si="19"/>
        <v>21.688310184462058</v>
      </c>
      <c r="AB190" s="3">
        <f t="shared" ca="1" si="20"/>
        <v>0</v>
      </c>
    </row>
    <row r="191" spans="7:28">
      <c r="G191" t="b">
        <f t="shared" ca="1" si="17"/>
        <v>0</v>
      </c>
      <c r="H191" t="b">
        <f t="shared" ca="1" si="14"/>
        <v>0</v>
      </c>
      <c r="I191" s="2">
        <f ca="1"/>
        <v>45308</v>
      </c>
      <c r="J191">
        <f ca="1"/>
        <v>21.12230532019435</v>
      </c>
      <c r="K191">
        <f ca="1"/>
        <v>9.4767852358465854E-2</v>
      </c>
      <c r="L191">
        <f ca="1"/>
        <v>-0.64539950178965455</v>
      </c>
      <c r="M191">
        <f ca="1"/>
        <v>0.26439521697780377</v>
      </c>
      <c r="N191">
        <f ca="1"/>
        <v>0</v>
      </c>
      <c r="O191">
        <f ca="1"/>
        <v>1.7454050042526168</v>
      </c>
      <c r="P191">
        <f ca="1"/>
        <v>1.615066318870116</v>
      </c>
      <c r="Q191">
        <f ca="1"/>
        <v>0</v>
      </c>
      <c r="R191">
        <f ca="1"/>
        <v>0.22702314654331765</v>
      </c>
      <c r="S191">
        <f ca="1"/>
        <v>0</v>
      </c>
      <c r="T191">
        <f ca="1"/>
        <v>0</v>
      </c>
      <c r="U191">
        <f ca="1"/>
        <v>1.023236701091341E-2</v>
      </c>
      <c r="W191" s="2">
        <f t="shared" ca="1" si="15"/>
        <v>45308</v>
      </c>
      <c r="X191">
        <f t="shared" ca="1" si="16"/>
        <v>0</v>
      </c>
      <c r="Z191" s="63">
        <f t="shared" ca="1" si="18"/>
        <v>21.217073172552816</v>
      </c>
      <c r="AA191" s="63">
        <f t="shared" ca="1" si="19"/>
        <v>21.217073172552816</v>
      </c>
      <c r="AB191" s="3">
        <f t="shared" ca="1" si="20"/>
        <v>0</v>
      </c>
    </row>
    <row r="192" spans="7:28">
      <c r="G192" t="b">
        <f t="shared" ca="1" si="17"/>
        <v>0</v>
      </c>
      <c r="H192" t="b">
        <f t="shared" ca="1" si="14"/>
        <v>0</v>
      </c>
      <c r="I192" s="2">
        <f ca="1"/>
        <v>45309</v>
      </c>
      <c r="J192">
        <f ca="1"/>
        <v>20.534599054665154</v>
      </c>
      <c r="K192">
        <f ca="1"/>
        <v>0.10373775349283298</v>
      </c>
      <c r="L192">
        <f ca="1"/>
        <v>-0.77354097983702275</v>
      </c>
      <c r="M192">
        <f ca="1"/>
        <v>0.28957246780065843</v>
      </c>
      <c r="N192">
        <f ca="1"/>
        <v>0</v>
      </c>
      <c r="O192">
        <f ca="1"/>
        <v>1.8491427577454498</v>
      </c>
      <c r="P192">
        <f ca="1"/>
        <v>1.7110574219397832</v>
      </c>
      <c r="Q192">
        <f ca="1"/>
        <v>0</v>
      </c>
      <c r="R192">
        <f ca="1"/>
        <v>0.26969893212600449</v>
      </c>
      <c r="S192">
        <f ca="1"/>
        <v>0</v>
      </c>
      <c r="T192">
        <f ca="1"/>
        <v>0</v>
      </c>
      <c r="U192">
        <f ca="1"/>
        <v>1.1816319686937467E-2</v>
      </c>
      <c r="W192" s="2">
        <f t="shared" ca="1" si="15"/>
        <v>45309</v>
      </c>
      <c r="X192">
        <f t="shared" ca="1" si="16"/>
        <v>0</v>
      </c>
      <c r="Z192" s="63">
        <f t="shared" ca="1" si="18"/>
        <v>20.638336808157987</v>
      </c>
      <c r="AA192" s="63">
        <f t="shared" ca="1" si="19"/>
        <v>20.638336808157987</v>
      </c>
      <c r="AB192" s="3">
        <f t="shared" ca="1" si="20"/>
        <v>0</v>
      </c>
    </row>
    <row r="193" spans="7:28">
      <c r="G193" t="b">
        <f t="shared" ca="1" si="17"/>
        <v>0</v>
      </c>
      <c r="H193" t="b">
        <f t="shared" ca="1" si="14"/>
        <v>0</v>
      </c>
      <c r="I193" s="2">
        <f ca="1"/>
        <v>45310</v>
      </c>
      <c r="J193">
        <f ca="1"/>
        <v>19.998435470426649</v>
      </c>
      <c r="K193">
        <f ca="1"/>
        <v>0.10821549509256023</v>
      </c>
      <c r="L193">
        <f ca="1"/>
        <v>-0.70902726938287941</v>
      </c>
      <c r="M193">
        <f ca="1"/>
        <v>0.28107918023693129</v>
      </c>
      <c r="N193">
        <f ca="1"/>
        <v>0</v>
      </c>
      <c r="O193">
        <f ca="1"/>
        <v>1.95735825283801</v>
      </c>
      <c r="P193">
        <f ca="1"/>
        <v>1.8111918898014052</v>
      </c>
      <c r="Q193">
        <f ca="1"/>
        <v>0</v>
      </c>
      <c r="R193">
        <f ca="1"/>
        <v>0.26022350991169518</v>
      </c>
      <c r="S193">
        <f ca="1"/>
        <v>0</v>
      </c>
      <c r="T193">
        <f ca="1"/>
        <v>0</v>
      </c>
      <c r="U193">
        <f ca="1"/>
        <v>1.3613817027274829E-2</v>
      </c>
      <c r="W193" s="2">
        <f t="shared" ca="1" si="15"/>
        <v>45310</v>
      </c>
      <c r="X193">
        <f t="shared" ca="1" si="16"/>
        <v>0</v>
      </c>
      <c r="Z193" s="63">
        <f t="shared" ca="1" si="18"/>
        <v>20.106650965519208</v>
      </c>
      <c r="AA193" s="63">
        <f t="shared" ca="1" si="19"/>
        <v>20.106650965519208</v>
      </c>
      <c r="AB193" s="3">
        <f t="shared" ca="1" si="20"/>
        <v>0</v>
      </c>
    </row>
    <row r="194" spans="7:28">
      <c r="G194" t="b">
        <f t="shared" ca="1" si="17"/>
        <v>0</v>
      </c>
      <c r="H194" t="b">
        <f t="shared" ca="1" si="14"/>
        <v>0</v>
      </c>
      <c r="I194" s="2">
        <f ca="1"/>
        <v>45311</v>
      </c>
      <c r="J194">
        <f ca="1"/>
        <v>19.560473025731795</v>
      </c>
      <c r="K194">
        <f ca="1"/>
        <v>0.10683705445042357</v>
      </c>
      <c r="L194">
        <f ca="1"/>
        <v>-0.58255711992116233</v>
      </c>
      <c r="M194">
        <f ca="1"/>
        <v>0.251431729676733</v>
      </c>
      <c r="N194">
        <f ca="1"/>
        <v>0</v>
      </c>
      <c r="O194">
        <f ca="1"/>
        <v>2.0641953072884336</v>
      </c>
      <c r="P194">
        <f ca="1"/>
        <v>1.9100508525233881</v>
      </c>
      <c r="Q194">
        <f ca="1"/>
        <v>0</v>
      </c>
      <c r="R194">
        <f ca="1"/>
        <v>0.23811817733805918</v>
      </c>
      <c r="S194">
        <f ca="1"/>
        <v>0</v>
      </c>
      <c r="T194">
        <f ca="1"/>
        <v>0</v>
      </c>
      <c r="U194">
        <f ca="1"/>
        <v>1.5536943592962701E-2</v>
      </c>
      <c r="W194" s="2">
        <f t="shared" ca="1" si="15"/>
        <v>45311</v>
      </c>
      <c r="X194">
        <f t="shared" ca="1" si="16"/>
        <v>0</v>
      </c>
      <c r="Z194" s="63">
        <f t="shared" ca="1" si="18"/>
        <v>19.667310080182219</v>
      </c>
      <c r="AA194" s="63">
        <f t="shared" ca="1" si="19"/>
        <v>19.667310080182219</v>
      </c>
      <c r="AB194" s="3">
        <f t="shared" ca="1" si="20"/>
        <v>0</v>
      </c>
    </row>
    <row r="195" spans="7:28">
      <c r="G195" t="b">
        <f t="shared" ca="1" si="17"/>
        <v>0</v>
      </c>
      <c r="H195" t="b">
        <f t="shared" ca="1" si="14"/>
        <v>0</v>
      </c>
      <c r="I195" s="2">
        <f ca="1"/>
        <v>45312</v>
      </c>
      <c r="J195">
        <f ca="1"/>
        <v>19.13398651182067</v>
      </c>
      <c r="K195">
        <f ca="1"/>
        <v>0.12380679175193343</v>
      </c>
      <c r="L195">
        <f ca="1"/>
        <v>-0.58097909629598021</v>
      </c>
      <c r="M195">
        <f ca="1"/>
        <v>0.27829937413678535</v>
      </c>
      <c r="N195">
        <f ca="1"/>
        <v>0</v>
      </c>
      <c r="O195">
        <f ca="1"/>
        <v>2.188002099040367</v>
      </c>
      <c r="P195">
        <f ca="1"/>
        <v>2.024612331904236</v>
      </c>
      <c r="Q195">
        <f ca="1"/>
        <v>0</v>
      </c>
      <c r="R195">
        <f ca="1"/>
        <v>0.21965178488707882</v>
      </c>
      <c r="S195">
        <f ca="1"/>
        <v>0</v>
      </c>
      <c r="T195">
        <f ca="1"/>
        <v>0</v>
      </c>
      <c r="U195">
        <f ca="1"/>
        <v>1.7953840022436093E-2</v>
      </c>
      <c r="W195" s="2">
        <f t="shared" ca="1" si="15"/>
        <v>45312</v>
      </c>
      <c r="X195">
        <f t="shared" ca="1" si="16"/>
        <v>0</v>
      </c>
      <c r="Z195" s="63">
        <f t="shared" ca="1" si="18"/>
        <v>19.257793303572601</v>
      </c>
      <c r="AA195" s="63">
        <f t="shared" ca="1" si="19"/>
        <v>19.257793303572605</v>
      </c>
      <c r="AB195" s="3">
        <f t="shared" ca="1" si="20"/>
        <v>0</v>
      </c>
    </row>
    <row r="196" spans="7:28">
      <c r="G196" t="b">
        <f t="shared" ca="1" si="17"/>
        <v>0</v>
      </c>
      <c r="H196" t="b">
        <f t="shared" ca="1" si="14"/>
        <v>0</v>
      </c>
      <c r="I196" s="2">
        <f ca="1"/>
        <v>45313</v>
      </c>
      <c r="J196">
        <f ca="1"/>
        <v>18.668936574052715</v>
      </c>
      <c r="K196">
        <f ca="1"/>
        <v>0.13710637916865442</v>
      </c>
      <c r="L196">
        <f ca="1"/>
        <v>-0.62661536976603927</v>
      </c>
      <c r="M196">
        <f ca="1"/>
        <v>0.29867181116673613</v>
      </c>
      <c r="N196">
        <f ca="1"/>
        <v>0</v>
      </c>
      <c r="O196">
        <f ca="1"/>
        <v>2.3251084782090214</v>
      </c>
      <c r="P196">
        <f ca="1"/>
        <v>2.1514802476934127</v>
      </c>
      <c r="Q196">
        <f ca="1"/>
        <v>0</v>
      </c>
      <c r="R196">
        <f ca="1"/>
        <v>0.2316447660970978</v>
      </c>
      <c r="S196">
        <f ca="1"/>
        <v>0</v>
      </c>
      <c r="T196">
        <f ca="1"/>
        <v>0</v>
      </c>
      <c r="U196">
        <f ca="1"/>
        <v>2.0870737051479883E-2</v>
      </c>
      <c r="W196" s="2">
        <f t="shared" ca="1" si="15"/>
        <v>45313</v>
      </c>
      <c r="X196">
        <f t="shared" ca="1" si="16"/>
        <v>0</v>
      </c>
      <c r="Z196" s="63">
        <f t="shared" ca="1" si="18"/>
        <v>18.806042953221365</v>
      </c>
      <c r="AA196" s="63">
        <f t="shared" ca="1" si="19"/>
        <v>18.806042953221368</v>
      </c>
      <c r="AB196" s="3">
        <f t="shared" ca="1" si="20"/>
        <v>0</v>
      </c>
    </row>
    <row r="197" spans="7:28">
      <c r="G197" t="b">
        <f t="shared" ca="1" si="17"/>
        <v>0</v>
      </c>
      <c r="H197" t="b">
        <f t="shared" ca="1" si="14"/>
        <v>0</v>
      </c>
      <c r="I197" s="2">
        <f ca="1"/>
        <v>45314</v>
      </c>
      <c r="J197">
        <f ca="1"/>
        <v>18.265792087148029</v>
      </c>
      <c r="K197">
        <f ca="1"/>
        <v>0.13682039238576982</v>
      </c>
      <c r="L197">
        <f ca="1"/>
        <v>-0.53871522532505622</v>
      </c>
      <c r="M197">
        <f ca="1"/>
        <v>0.27239113080613864</v>
      </c>
      <c r="N197">
        <f ca="1"/>
        <v>0</v>
      </c>
      <c r="O197">
        <f ca="1"/>
        <v>2.4619288705947913</v>
      </c>
      <c r="P197">
        <f ca="1"/>
        <v>2.27808353285557</v>
      </c>
      <c r="Q197">
        <f ca="1"/>
        <v>0</v>
      </c>
      <c r="R197">
        <f ca="1"/>
        <v>0.22121707082609857</v>
      </c>
      <c r="S197">
        <f ca="1"/>
        <v>0</v>
      </c>
      <c r="T197">
        <f ca="1"/>
        <v>0</v>
      </c>
      <c r="U197">
        <f ca="1"/>
        <v>2.4037764147513154E-2</v>
      </c>
      <c r="W197" s="2">
        <f t="shared" ca="1" si="15"/>
        <v>45314</v>
      </c>
      <c r="X197">
        <f t="shared" ca="1" si="16"/>
        <v>0</v>
      </c>
      <c r="Z197" s="63">
        <f t="shared" ca="1" si="18"/>
        <v>18.402612479533797</v>
      </c>
      <c r="AA197" s="63">
        <f t="shared" ca="1" si="19"/>
        <v>18.402612479533797</v>
      </c>
      <c r="AB197" s="3">
        <f t="shared" ca="1" si="20"/>
        <v>0</v>
      </c>
    </row>
    <row r="198" spans="7:28">
      <c r="G198" t="b">
        <f t="shared" ca="1" si="17"/>
        <v>0</v>
      </c>
      <c r="H198" t="b">
        <f t="shared" ca="1" si="14"/>
        <v>0</v>
      </c>
      <c r="I198" s="2">
        <f ca="1"/>
        <v>45315</v>
      </c>
      <c r="J198">
        <f ca="1"/>
        <v>17.868175255596558</v>
      </c>
      <c r="K198">
        <f ca="1"/>
        <v>0.14182997659674745</v>
      </c>
      <c r="L198">
        <f ca="1"/>
        <v>-0.52243662742565533</v>
      </c>
      <c r="M198">
        <f ca="1"/>
        <v>0.26664977247093019</v>
      </c>
      <c r="N198">
        <f ca="1"/>
        <v>0</v>
      </c>
      <c r="O198">
        <f ca="1"/>
        <v>2.6037588471915387</v>
      </c>
      <c r="P198">
        <f ca="1"/>
        <v>2.4093223099012619</v>
      </c>
      <c r="Q198">
        <f ca="1"/>
        <v>0</v>
      </c>
      <c r="R198">
        <f ca="1"/>
        <v>0.22615869103948183</v>
      </c>
      <c r="S198">
        <f ca="1"/>
        <v>0</v>
      </c>
      <c r="T198">
        <f ca="1"/>
        <v>0</v>
      </c>
      <c r="U198">
        <f ca="1"/>
        <v>2.7594939903907566E-2</v>
      </c>
      <c r="W198" s="2">
        <f t="shared" ca="1" si="15"/>
        <v>45315</v>
      </c>
      <c r="X198">
        <f t="shared" ca="1" si="16"/>
        <v>0</v>
      </c>
      <c r="Z198" s="63">
        <f t="shared" ca="1" si="18"/>
        <v>18.010005232193304</v>
      </c>
      <c r="AA198" s="63">
        <f t="shared" ca="1" si="19"/>
        <v>18.010005232193304</v>
      </c>
      <c r="AB198" s="3">
        <f t="shared" ca="1" si="20"/>
        <v>0</v>
      </c>
    </row>
    <row r="199" spans="7:28">
      <c r="G199" t="b">
        <f t="shared" ca="1" si="17"/>
        <v>0</v>
      </c>
      <c r="H199" t="b">
        <f t="shared" ref="H199:H262" ca="1" si="21">AND(IF(I199&gt;($I$3-1),TRUE,FALSE),IF(I199&lt;($I$4+1),TRUE,FALSE))</f>
        <v>0</v>
      </c>
      <c r="I199" s="2">
        <f ca="1"/>
        <v>45316</v>
      </c>
      <c r="J199">
        <f ca="1"/>
        <v>17.474847170157851</v>
      </c>
      <c r="K199">
        <f ca="1"/>
        <v>0.14852519277784015</v>
      </c>
      <c r="L199">
        <f ca="1"/>
        <v>-0.50922907730033273</v>
      </c>
      <c r="M199">
        <f ca="1"/>
        <v>0.26442618463946549</v>
      </c>
      <c r="N199">
        <f ca="1"/>
        <v>0</v>
      </c>
      <c r="O199">
        <f ca="1"/>
        <v>2.7522840399693789</v>
      </c>
      <c r="P199">
        <f ca="1"/>
        <v>2.5467563356859513</v>
      </c>
      <c r="Q199">
        <f ca="1"/>
        <v>0</v>
      </c>
      <c r="R199">
        <f ca="1"/>
        <v>0.2293952353010901</v>
      </c>
      <c r="S199">
        <f ca="1"/>
        <v>0</v>
      </c>
      <c r="T199">
        <f ca="1"/>
        <v>0</v>
      </c>
      <c r="U199">
        <f ca="1"/>
        <v>3.1622776823089005E-2</v>
      </c>
      <c r="W199" s="2">
        <f t="shared" ref="W199:W262" ca="1" si="22">IFERROR(I199,$W$5)</f>
        <v>45316</v>
      </c>
      <c r="X199">
        <f t="shared" ref="X199:X262" ca="1" si="23">IFERROR(N199,0)</f>
        <v>0</v>
      </c>
      <c r="Z199" s="63">
        <f t="shared" ca="1" si="18"/>
        <v>17.62337236293569</v>
      </c>
      <c r="AA199" s="63">
        <f t="shared" ca="1" si="19"/>
        <v>17.62337236293569</v>
      </c>
      <c r="AB199" s="3">
        <f t="shared" ca="1" si="20"/>
        <v>0</v>
      </c>
    </row>
    <row r="200" spans="7:28">
      <c r="G200" t="b">
        <f t="shared" ref="G200:G263" ca="1" si="24">IF(I200&lt;$I$4,TRUE,FALSE)</f>
        <v>0</v>
      </c>
      <c r="H200" t="b">
        <f t="shared" ca="1" si="21"/>
        <v>0</v>
      </c>
      <c r="I200" s="2">
        <f ca="1"/>
        <v>45317</v>
      </c>
      <c r="J200">
        <f ca="1"/>
        <v>17.104222039726427</v>
      </c>
      <c r="K200">
        <f ca="1"/>
        <v>0.15437373919297714</v>
      </c>
      <c r="L200">
        <f ca="1"/>
        <v>-0.47379234014346849</v>
      </c>
      <c r="M200">
        <f ca="1"/>
        <v>0.25754094890501966</v>
      </c>
      <c r="N200">
        <f ca="1"/>
        <v>0</v>
      </c>
      <c r="O200">
        <f ca="1"/>
        <v>2.906657779162356</v>
      </c>
      <c r="P200">
        <f ca="1"/>
        <v>2.6896021657833487</v>
      </c>
      <c r="Q200">
        <f ca="1"/>
        <v>0</v>
      </c>
      <c r="R200">
        <f ca="1"/>
        <v>0.2237143153316849</v>
      </c>
      <c r="S200">
        <f ca="1"/>
        <v>0</v>
      </c>
      <c r="T200">
        <f ca="1"/>
        <v>0</v>
      </c>
      <c r="U200">
        <f ca="1"/>
        <v>3.6140368060393564E-2</v>
      </c>
      <c r="W200" s="2">
        <f t="shared" ca="1" si="22"/>
        <v>45317</v>
      </c>
      <c r="X200">
        <f t="shared" ca="1" si="23"/>
        <v>0</v>
      </c>
      <c r="Z200" s="63">
        <f t="shared" ca="1" si="18"/>
        <v>17.258595778919403</v>
      </c>
      <c r="AA200" s="63">
        <f t="shared" ca="1" si="19"/>
        <v>17.258595778919403</v>
      </c>
      <c r="AB200" s="3">
        <f t="shared" ca="1" si="20"/>
        <v>0</v>
      </c>
    </row>
    <row r="201" spans="7:28">
      <c r="G201" t="b">
        <f t="shared" ca="1" si="24"/>
        <v>0</v>
      </c>
      <c r="H201" t="b">
        <f t="shared" ca="1" si="21"/>
        <v>0</v>
      </c>
      <c r="I201" s="2">
        <f ca="1"/>
        <v>45318</v>
      </c>
      <c r="J201">
        <f ca="1"/>
        <v>16.705646093705273</v>
      </c>
      <c r="K201">
        <f ca="1"/>
        <v>0.16189185645175153</v>
      </c>
      <c r="L201">
        <f ca="1"/>
        <v>-0.4976290757741566</v>
      </c>
      <c r="M201">
        <f ca="1"/>
        <v>0.26094498620475376</v>
      </c>
      <c r="N201">
        <f ca="1"/>
        <v>0</v>
      </c>
      <c r="O201">
        <f ca="1"/>
        <v>3.0685496356141075</v>
      </c>
      <c r="P201">
        <f ca="1"/>
        <v>2.8394046952922745</v>
      </c>
      <c r="Q201">
        <f ca="1"/>
        <v>0</v>
      </c>
      <c r="R201">
        <f ca="1"/>
        <v>0.24374777515014598</v>
      </c>
      <c r="S201">
        <f ca="1"/>
        <v>0</v>
      </c>
      <c r="T201">
        <f ca="1"/>
        <v>0</v>
      </c>
      <c r="U201">
        <f ca="1"/>
        <v>4.1242553310339235E-2</v>
      </c>
      <c r="W201" s="2">
        <f t="shared" ca="1" si="22"/>
        <v>45318</v>
      </c>
      <c r="X201">
        <f t="shared" ca="1" si="23"/>
        <v>0</v>
      </c>
      <c r="Z201" s="63">
        <f ca="1">J200+L201+M201+N201</f>
        <v>16.867537950157026</v>
      </c>
      <c r="AA201" s="63">
        <f ca="1">J201+K201+Q201</f>
        <v>16.867537950157026</v>
      </c>
      <c r="AB201" s="3">
        <f ca="1">AA201-Z201</f>
        <v>0</v>
      </c>
    </row>
    <row r="202" spans="7:28">
      <c r="G202" t="b">
        <f t="shared" ca="1" si="24"/>
        <v>0</v>
      </c>
      <c r="H202" t="b">
        <f t="shared" ca="1" si="21"/>
        <v>0</v>
      </c>
      <c r="I202" s="2">
        <f ca="1"/>
        <v>45319</v>
      </c>
      <c r="J202">
        <f ca="1"/>
        <v>16.308748007211804</v>
      </c>
      <c r="K202">
        <f ca="1"/>
        <v>0.17840786382709917</v>
      </c>
      <c r="L202">
        <f ca="1"/>
        <v>-0.49239904922308142</v>
      </c>
      <c r="M202">
        <f ca="1"/>
        <v>0.27390882655671178</v>
      </c>
      <c r="N202">
        <f ca="1"/>
        <v>0</v>
      </c>
      <c r="O202">
        <f ca="1"/>
        <v>3.2469574994412067</v>
      </c>
      <c r="P202">
        <f ca="1"/>
        <v>3.0044898939634539</v>
      </c>
      <c r="Q202">
        <f ca="1"/>
        <v>0</v>
      </c>
      <c r="R202">
        <f ca="1"/>
        <v>0.23694062484991163</v>
      </c>
      <c r="S202">
        <f ca="1"/>
        <v>0</v>
      </c>
      <c r="T202">
        <f ca="1"/>
        <v>0</v>
      </c>
      <c r="U202">
        <f ca="1"/>
        <v>4.729830460926801E-2</v>
      </c>
      <c r="W202" s="2">
        <f t="shared" ca="1" si="22"/>
        <v>45319</v>
      </c>
      <c r="X202">
        <f t="shared" ca="1" si="23"/>
        <v>0</v>
      </c>
      <c r="Z202" s="63">
        <f ca="1">J201+L202+M202+N202</f>
        <v>16.487155871038905</v>
      </c>
      <c r="AA202" s="63">
        <f ca="1">J202+K202+Q202</f>
        <v>16.487155871038905</v>
      </c>
      <c r="AB202" s="3">
        <f ca="1">AA202-Z202</f>
        <v>0</v>
      </c>
    </row>
    <row r="203" spans="7:28">
      <c r="G203" t="b">
        <f t="shared" ca="1" si="24"/>
        <v>0</v>
      </c>
      <c r="H203" t="b">
        <f t="shared" ca="1" si="21"/>
        <v>0</v>
      </c>
      <c r="I203" s="2">
        <f ca="1"/>
        <v>45320</v>
      </c>
      <c r="J203">
        <f ca="1"/>
        <v>15.952154756106324</v>
      </c>
      <c r="K203">
        <f ca="1"/>
        <v>0.19362694180479822</v>
      </c>
      <c r="L203">
        <f ca="1"/>
        <v>-0.43889352397596326</v>
      </c>
      <c r="M203">
        <f ca="1"/>
        <v>0.27592721467528164</v>
      </c>
      <c r="N203">
        <f ca="1"/>
        <v>0</v>
      </c>
      <c r="O203">
        <f ca="1"/>
        <v>3.4405844412460049</v>
      </c>
      <c r="P203">
        <f ca="1"/>
        <v>3.1836576810230892</v>
      </c>
      <c r="Q203">
        <f ca="1"/>
        <v>0</v>
      </c>
      <c r="R203">
        <f ca="1"/>
        <v>0.21123917958253083</v>
      </c>
      <c r="S203">
        <f ca="1"/>
        <v>0</v>
      </c>
      <c r="T203">
        <f ca="1"/>
        <v>0</v>
      </c>
      <c r="U203">
        <f ca="1"/>
        <v>5.438300343388195E-2</v>
      </c>
      <c r="W203" s="2">
        <f t="shared" ca="1" si="22"/>
        <v>45320</v>
      </c>
      <c r="X203">
        <f t="shared" ca="1" si="23"/>
        <v>0</v>
      </c>
      <c r="Z203" s="63">
        <f ca="1">J202+L203+M203+N203</f>
        <v>16.145781697911122</v>
      </c>
      <c r="AA203" s="63">
        <f ca="1">J203+K203+Q203</f>
        <v>16.145781697911122</v>
      </c>
      <c r="AB203" s="3">
        <f ca="1">AA203-Z203</f>
        <v>0</v>
      </c>
    </row>
    <row r="204" spans="7:28">
      <c r="G204" t="b">
        <f t="shared" ca="1" si="24"/>
        <v>0</v>
      </c>
      <c r="H204" t="b">
        <f t="shared" ca="1" si="21"/>
        <v>0</v>
      </c>
      <c r="I204" s="2">
        <f ca="1"/>
        <v>45321</v>
      </c>
      <c r="J204">
        <f ca="1"/>
        <v>15.611645000998976</v>
      </c>
      <c r="K204">
        <f ca="1"/>
        <v>0.21137845321185944</v>
      </c>
      <c r="L204">
        <f ca="1"/>
        <v>-0.4123247743399574</v>
      </c>
      <c r="M204">
        <f ca="1"/>
        <v>0.28319347244447007</v>
      </c>
      <c r="N204">
        <f ca="1"/>
        <v>0</v>
      </c>
      <c r="O204">
        <f ca="1"/>
        <v>3.6519628944578644</v>
      </c>
      <c r="P204">
        <f ca="1"/>
        <v>3.3792513796119854</v>
      </c>
      <c r="Q204">
        <f ca="1"/>
        <v>0</v>
      </c>
      <c r="R204">
        <f ca="1"/>
        <v>0.19694717620218524</v>
      </c>
      <c r="S204">
        <f ca="1"/>
        <v>0</v>
      </c>
      <c r="T204">
        <f ca="1"/>
        <v>0</v>
      </c>
      <c r="U204">
        <f ca="1"/>
        <v>6.2720912315051669E-2</v>
      </c>
      <c r="W204" s="2">
        <f t="shared" ca="1" si="22"/>
        <v>45321</v>
      </c>
      <c r="X204">
        <f t="shared" ca="1" si="23"/>
        <v>0</v>
      </c>
      <c r="Z204" s="63">
        <f t="shared" ref="Z204:Z267" ca="1" si="25">J203+L204+M204+N204</f>
        <v>15.823023454210837</v>
      </c>
      <c r="AA204" s="63">
        <f t="shared" ref="AA204:AA267" ca="1" si="26">J204+K204+Q204</f>
        <v>15.823023454210835</v>
      </c>
      <c r="AB204" s="3">
        <f t="shared" ref="AB204:AB267" ca="1" si="27">AA204-Z204</f>
        <v>0</v>
      </c>
    </row>
    <row r="205" spans="7:28">
      <c r="G205" t="b">
        <f t="shared" ca="1" si="24"/>
        <v>0</v>
      </c>
      <c r="H205" t="b">
        <f t="shared" ca="1" si="21"/>
        <v>0</v>
      </c>
      <c r="I205" s="2">
        <f ca="1"/>
        <v>45322</v>
      </c>
      <c r="J205">
        <f ca="1"/>
        <v>15.281585971624674</v>
      </c>
      <c r="K205">
        <f ca="1"/>
        <v>0.22567024798336854</v>
      </c>
      <c r="L205">
        <f ca="1"/>
        <v>-0.38796239333304428</v>
      </c>
      <c r="M205">
        <f ca="1"/>
        <v>0.28357361194211073</v>
      </c>
      <c r="N205">
        <f ca="1"/>
        <v>0</v>
      </c>
      <c r="O205">
        <f ca="1"/>
        <v>3.8776331424412329</v>
      </c>
      <c r="P205">
        <f ca="1"/>
        <v>3.5880696285576343</v>
      </c>
      <c r="Q205">
        <f ca="1"/>
        <v>0</v>
      </c>
      <c r="R205">
        <f ca="1"/>
        <v>0.18906334287424109</v>
      </c>
      <c r="S205">
        <f ca="1"/>
        <v>0</v>
      </c>
      <c r="T205">
        <f ca="1"/>
        <v>0</v>
      </c>
      <c r="U205">
        <f ca="1"/>
        <v>7.2307199174407311E-2</v>
      </c>
      <c r="W205" s="2">
        <f t="shared" ca="1" si="22"/>
        <v>45322</v>
      </c>
      <c r="X205">
        <f t="shared" ca="1" si="23"/>
        <v>0</v>
      </c>
      <c r="Z205" s="63">
        <f t="shared" ca="1" si="25"/>
        <v>15.507256219608042</v>
      </c>
      <c r="AA205" s="63">
        <f t="shared" ca="1" si="26"/>
        <v>15.507256219608042</v>
      </c>
      <c r="AB205" s="3">
        <f t="shared" ca="1" si="27"/>
        <v>0</v>
      </c>
    </row>
    <row r="206" spans="7:28">
      <c r="G206" t="b">
        <f t="shared" ca="1" si="24"/>
        <v>0</v>
      </c>
      <c r="H206" t="b">
        <f t="shared" ca="1" si="21"/>
        <v>0</v>
      </c>
      <c r="I206" s="2">
        <f ca="1"/>
        <v>45323</v>
      </c>
      <c r="J206">
        <f ca="1"/>
        <v>14.993985870861216</v>
      </c>
      <c r="K206">
        <f ca="1"/>
        <v>0.23160883037572821</v>
      </c>
      <c r="L206">
        <f ca="1"/>
        <v>-0.32216600343936008</v>
      </c>
      <c r="M206">
        <f ca="1"/>
        <v>0.26617473305163131</v>
      </c>
      <c r="N206">
        <f ca="1"/>
        <v>0</v>
      </c>
      <c r="O206">
        <f ca="1"/>
        <v>4.1092419728169611</v>
      </c>
      <c r="P206">
        <f ca="1"/>
        <v>3.8023829943273824</v>
      </c>
      <c r="Q206">
        <f ca="1"/>
        <v>0</v>
      </c>
      <c r="R206">
        <f ca="1"/>
        <v>0.16763056374472118</v>
      </c>
      <c r="S206">
        <f ca="1"/>
        <v>0</v>
      </c>
      <c r="T206">
        <f ca="1"/>
        <v>0</v>
      </c>
      <c r="U206">
        <f ca="1"/>
        <v>8.2863430577393871E-2</v>
      </c>
      <c r="W206" s="2">
        <f t="shared" ca="1" si="22"/>
        <v>45323</v>
      </c>
      <c r="X206">
        <f t="shared" ca="1" si="23"/>
        <v>0</v>
      </c>
      <c r="Z206" s="63">
        <f t="shared" ca="1" si="25"/>
        <v>15.225594701236945</v>
      </c>
      <c r="AA206" s="63">
        <f t="shared" ca="1" si="26"/>
        <v>15.225594701236945</v>
      </c>
      <c r="AB206" s="3">
        <f t="shared" ca="1" si="27"/>
        <v>0</v>
      </c>
    </row>
    <row r="207" spans="7:28">
      <c r="G207" t="b">
        <f t="shared" ca="1" si="24"/>
        <v>0</v>
      </c>
      <c r="H207" t="b">
        <f t="shared" ca="1" si="21"/>
        <v>0</v>
      </c>
      <c r="I207" s="2">
        <f ca="1"/>
        <v>45324</v>
      </c>
      <c r="J207">
        <f ca="1"/>
        <v>14.715760673463148</v>
      </c>
      <c r="K207">
        <f ca="1"/>
        <v>0.23039603702564282</v>
      </c>
      <c r="L207">
        <f ca="1"/>
        <v>-0.29363317549020707</v>
      </c>
      <c r="M207">
        <f ca="1"/>
        <v>0.24580401511778008</v>
      </c>
      <c r="N207">
        <f ca="1"/>
        <v>0</v>
      </c>
      <c r="O207">
        <f ca="1"/>
        <v>4.3396380098426039</v>
      </c>
      <c r="P207">
        <f ca="1"/>
        <v>4.0155741324842271</v>
      </c>
      <c r="Q207">
        <f ca="1"/>
        <v>0</v>
      </c>
      <c r="R207">
        <f ca="1"/>
        <v>0.16795326343810077</v>
      </c>
      <c r="S207">
        <f ca="1"/>
        <v>0</v>
      </c>
      <c r="T207">
        <f ca="1"/>
        <v>0</v>
      </c>
      <c r="U207">
        <f ca="1"/>
        <v>9.4062360419596161E-2</v>
      </c>
      <c r="W207" s="2">
        <f t="shared" ca="1" si="22"/>
        <v>45324</v>
      </c>
      <c r="X207">
        <f t="shared" ca="1" si="23"/>
        <v>0</v>
      </c>
      <c r="Z207" s="63">
        <f t="shared" ca="1" si="25"/>
        <v>14.94615671048879</v>
      </c>
      <c r="AA207" s="63">
        <f t="shared" ca="1" si="26"/>
        <v>14.94615671048879</v>
      </c>
      <c r="AB207" s="3">
        <f t="shared" ca="1" si="27"/>
        <v>0</v>
      </c>
    </row>
    <row r="208" spans="7:28">
      <c r="G208" t="b">
        <f t="shared" ca="1" si="24"/>
        <v>0</v>
      </c>
      <c r="H208" t="b">
        <f t="shared" ca="1" si="21"/>
        <v>0</v>
      </c>
      <c r="I208" s="2">
        <f ca="1"/>
        <v>45325</v>
      </c>
      <c r="J208">
        <f ca="1"/>
        <v>14.446712127694047</v>
      </c>
      <c r="K208">
        <f ca="1"/>
        <v>0.24017179700699387</v>
      </c>
      <c r="L208">
        <f ca="1"/>
        <v>-0.26914385479773983</v>
      </c>
      <c r="M208">
        <f ca="1"/>
        <v>0.24026710603563289</v>
      </c>
      <c r="N208">
        <f ca="1"/>
        <v>0</v>
      </c>
      <c r="O208">
        <f ca="1"/>
        <v>4.5798098068495978</v>
      </c>
      <c r="P208">
        <f ca="1"/>
        <v>4.2378110225718677</v>
      </c>
      <c r="Q208">
        <f ca="1"/>
        <v>0</v>
      </c>
      <c r="R208">
        <f ca="1"/>
        <v>0.15943472597382141</v>
      </c>
      <c r="S208">
        <f ca="1"/>
        <v>0</v>
      </c>
      <c r="T208">
        <f ca="1"/>
        <v>0</v>
      </c>
      <c r="U208">
        <f ca="1"/>
        <v>0.10644678262313306</v>
      </c>
      <c r="W208" s="2">
        <f t="shared" ca="1" si="22"/>
        <v>45325</v>
      </c>
      <c r="X208">
        <f t="shared" ca="1" si="23"/>
        <v>0</v>
      </c>
      <c r="Z208" s="63">
        <f t="shared" ca="1" si="25"/>
        <v>14.686883924701041</v>
      </c>
      <c r="AA208" s="63">
        <f t="shared" ca="1" si="26"/>
        <v>14.686883924701041</v>
      </c>
      <c r="AB208" s="3">
        <f t="shared" ca="1" si="27"/>
        <v>0</v>
      </c>
    </row>
    <row r="209" spans="7:28">
      <c r="G209" t="b">
        <f t="shared" ca="1" si="24"/>
        <v>0</v>
      </c>
      <c r="H209" t="b">
        <f t="shared" ca="1" si="21"/>
        <v>0</v>
      </c>
      <c r="I209" s="2">
        <f ca="1"/>
        <v>45326</v>
      </c>
      <c r="J209">
        <f ca="1"/>
        <v>14.13553600631176</v>
      </c>
      <c r="K209">
        <f ca="1"/>
        <v>0.27835942470808117</v>
      </c>
      <c r="L209">
        <f ca="1"/>
        <v>-0.30601948825891157</v>
      </c>
      <c r="M209">
        <f ca="1"/>
        <v>0.27320279158470456</v>
      </c>
      <c r="N209">
        <f ca="1"/>
        <v>0</v>
      </c>
      <c r="O209">
        <f ca="1"/>
        <v>4.858169231557679</v>
      </c>
      <c r="P209">
        <f ca="1"/>
        <v>4.4953838668634374</v>
      </c>
      <c r="Q209">
        <f ca="1"/>
        <v>0</v>
      </c>
      <c r="R209">
        <f ca="1"/>
        <v>0.16625402213032811</v>
      </c>
      <c r="S209">
        <f ca="1"/>
        <v>0</v>
      </c>
      <c r="T209">
        <f ca="1"/>
        <v>0</v>
      </c>
      <c r="U209">
        <f ca="1"/>
        <v>0.12165844762432017</v>
      </c>
      <c r="W209" s="2">
        <f t="shared" ca="1" si="22"/>
        <v>45326</v>
      </c>
      <c r="X209">
        <f t="shared" ca="1" si="23"/>
        <v>0</v>
      </c>
      <c r="Z209" s="63">
        <f t="shared" ca="1" si="25"/>
        <v>14.41389543101984</v>
      </c>
      <c r="AA209" s="63">
        <f t="shared" ca="1" si="26"/>
        <v>14.413895431019842</v>
      </c>
      <c r="AB209" s="3">
        <f t="shared" ca="1" si="27"/>
        <v>0</v>
      </c>
    </row>
    <row r="210" spans="7:28">
      <c r="G210" t="b">
        <f t="shared" ca="1" si="24"/>
        <v>0</v>
      </c>
      <c r="H210" t="b">
        <f t="shared" ca="1" si="21"/>
        <v>0</v>
      </c>
      <c r="I210" s="2">
        <f ca="1"/>
        <v>45327</v>
      </c>
      <c r="J210">
        <f ca="1"/>
        <v>13.820253103692888</v>
      </c>
      <c r="K210">
        <f ca="1"/>
        <v>0.26380870978807192</v>
      </c>
      <c r="L210">
        <f ca="1"/>
        <v>-0.29247338533299683</v>
      </c>
      <c r="M210">
        <f ca="1"/>
        <v>0.24099919250219651</v>
      </c>
      <c r="N210">
        <f ca="1"/>
        <v>0</v>
      </c>
      <c r="O210">
        <f ca="1"/>
        <v>5.1219779413457509</v>
      </c>
      <c r="P210">
        <f ca="1"/>
        <v>4.7394925755959063</v>
      </c>
      <c r="Q210">
        <f ca="1"/>
        <v>0</v>
      </c>
      <c r="R210">
        <f ca="1"/>
        <v>0.18501019486042039</v>
      </c>
      <c r="S210">
        <f ca="1"/>
        <v>0</v>
      </c>
      <c r="T210">
        <f ca="1"/>
        <v>0</v>
      </c>
      <c r="U210">
        <f ca="1"/>
        <v>0.13686768289262094</v>
      </c>
      <c r="W210" s="2">
        <f t="shared" ca="1" si="22"/>
        <v>45327</v>
      </c>
      <c r="X210">
        <f t="shared" ca="1" si="23"/>
        <v>0</v>
      </c>
      <c r="Z210" s="63">
        <f t="shared" ca="1" si="25"/>
        <v>14.084061813480959</v>
      </c>
      <c r="AA210" s="63">
        <f t="shared" ca="1" si="26"/>
        <v>14.084061813480961</v>
      </c>
      <c r="AB210" s="3">
        <f t="shared" ca="1" si="27"/>
        <v>0</v>
      </c>
    </row>
    <row r="211" spans="7:28">
      <c r="G211" t="b">
        <f t="shared" ca="1" si="24"/>
        <v>0</v>
      </c>
      <c r="H211" t="b">
        <f t="shared" ca="1" si="21"/>
        <v>0</v>
      </c>
      <c r="I211" s="2">
        <f ca="1"/>
        <v>45328</v>
      </c>
      <c r="J211">
        <f ca="1"/>
        <v>13.515884604946475</v>
      </c>
      <c r="K211">
        <f ca="1"/>
        <v>0.28593320574172321</v>
      </c>
      <c r="L211">
        <f ca="1"/>
        <v>-0.26389195660255638</v>
      </c>
      <c r="M211">
        <f ca="1"/>
        <v>0.2454566635978665</v>
      </c>
      <c r="N211">
        <f ca="1"/>
        <v>0</v>
      </c>
      <c r="O211">
        <f ca="1"/>
        <v>5.4079111470874741</v>
      </c>
      <c r="P211">
        <f ca="1"/>
        <v>5.00407362636341</v>
      </c>
      <c r="Q211">
        <f ca="1"/>
        <v>0</v>
      </c>
      <c r="R211">
        <f ca="1"/>
        <v>0.1655513617135021</v>
      </c>
      <c r="S211">
        <f ca="1"/>
        <v>0</v>
      </c>
      <c r="T211">
        <f ca="1"/>
        <v>0</v>
      </c>
      <c r="U211">
        <f ca="1"/>
        <v>0.15414956912509281</v>
      </c>
      <c r="W211" s="2">
        <f t="shared" ca="1" si="22"/>
        <v>45328</v>
      </c>
      <c r="X211">
        <f t="shared" ca="1" si="23"/>
        <v>0</v>
      </c>
      <c r="Z211" s="63">
        <f t="shared" ca="1" si="25"/>
        <v>13.801817810688199</v>
      </c>
      <c r="AA211" s="63">
        <f t="shared" ca="1" si="26"/>
        <v>13.801817810688199</v>
      </c>
      <c r="AB211" s="3">
        <f t="shared" ca="1" si="27"/>
        <v>0</v>
      </c>
    </row>
    <row r="212" spans="7:28">
      <c r="G212" t="b">
        <f t="shared" ca="1" si="24"/>
        <v>0</v>
      </c>
      <c r="H212" t="b">
        <f t="shared" ca="1" si="21"/>
        <v>0</v>
      </c>
      <c r="I212" s="2">
        <f ca="1"/>
        <v>45329</v>
      </c>
      <c r="J212">
        <f ca="1"/>
        <v>13.189332207612537</v>
      </c>
      <c r="K212">
        <f ca="1"/>
        <v>0.30128415740509684</v>
      </c>
      <c r="L212">
        <f ca="1"/>
        <v>-0.27275115235462977</v>
      </c>
      <c r="M212">
        <f ca="1"/>
        <v>0.24748291242579035</v>
      </c>
      <c r="N212">
        <f ca="1"/>
        <v>0</v>
      </c>
      <c r="O212">
        <f ca="1"/>
        <v>5.709195304492571</v>
      </c>
      <c r="P212">
        <f ca="1"/>
        <v>5.2828592914947485</v>
      </c>
      <c r="Q212">
        <f ca="1"/>
        <v>0</v>
      </c>
      <c r="R212">
        <f ca="1"/>
        <v>0.17528982018134862</v>
      </c>
      <c r="S212">
        <f ca="1"/>
        <v>0</v>
      </c>
      <c r="T212">
        <f ca="1"/>
        <v>0</v>
      </c>
      <c r="U212">
        <f ca="1"/>
        <v>0.17316372918262068</v>
      </c>
      <c r="W212" s="2">
        <f t="shared" ca="1" si="22"/>
        <v>45329</v>
      </c>
      <c r="X212">
        <f t="shared" ca="1" si="23"/>
        <v>0</v>
      </c>
      <c r="Z212" s="63">
        <f t="shared" ca="1" si="25"/>
        <v>13.490616365017635</v>
      </c>
      <c r="AA212" s="63">
        <f t="shared" ca="1" si="26"/>
        <v>13.490616365017633</v>
      </c>
      <c r="AB212" s="3">
        <f t="shared" ca="1" si="27"/>
        <v>0</v>
      </c>
    </row>
    <row r="213" spans="7:28">
      <c r="G213" t="b">
        <f t="shared" ca="1" si="24"/>
        <v>0</v>
      </c>
      <c r="H213" t="b">
        <f t="shared" ca="1" si="21"/>
        <v>0</v>
      </c>
      <c r="I213" s="2">
        <f ca="1"/>
        <v>45330</v>
      </c>
      <c r="J213">
        <f ca="1"/>
        <v>12.867803246608894</v>
      </c>
      <c r="K213">
        <f ca="1"/>
        <v>0.32411000746939678</v>
      </c>
      <c r="L213">
        <f ca="1"/>
        <v>-0.24768279396407067</v>
      </c>
      <c r="M213">
        <f ca="1"/>
        <v>0.25026384042982452</v>
      </c>
      <c r="N213">
        <f ca="1"/>
        <v>0</v>
      </c>
      <c r="O213">
        <f ca="1"/>
        <v>6.0333053119619677</v>
      </c>
      <c r="P213">
        <f ca="1"/>
        <v>5.5827662789258454</v>
      </c>
      <c r="Q213">
        <f ca="1"/>
        <v>0</v>
      </c>
      <c r="R213">
        <f ca="1"/>
        <v>0.15926316673821261</v>
      </c>
      <c r="S213">
        <f ca="1"/>
        <v>0</v>
      </c>
      <c r="T213">
        <f ca="1"/>
        <v>0</v>
      </c>
      <c r="U213">
        <f ca="1"/>
        <v>0.19441978319937253</v>
      </c>
      <c r="W213" s="2">
        <f t="shared" ca="1" si="22"/>
        <v>45330</v>
      </c>
      <c r="X213">
        <f t="shared" ca="1" si="23"/>
        <v>0</v>
      </c>
      <c r="Z213" s="63">
        <f t="shared" ca="1" si="25"/>
        <v>13.19191325407829</v>
      </c>
      <c r="AA213" s="63">
        <f t="shared" ca="1" si="26"/>
        <v>13.19191325407829</v>
      </c>
      <c r="AB213" s="3">
        <f t="shared" ca="1" si="27"/>
        <v>0</v>
      </c>
    </row>
    <row r="214" spans="7:28">
      <c r="G214" t="b">
        <f t="shared" ca="1" si="24"/>
        <v>0</v>
      </c>
      <c r="H214" t="b">
        <f t="shared" ca="1" si="21"/>
        <v>0</v>
      </c>
      <c r="I214" s="2">
        <f ca="1"/>
        <v>45331</v>
      </c>
      <c r="J214">
        <f ca="1"/>
        <v>12.539211714203557</v>
      </c>
      <c r="K214">
        <f ca="1"/>
        <v>0.344045643334705</v>
      </c>
      <c r="L214">
        <f ca="1"/>
        <v>-0.23554132376542825</v>
      </c>
      <c r="M214">
        <f ca="1"/>
        <v>0.25099543469479685</v>
      </c>
      <c r="N214">
        <f ca="1"/>
        <v>0</v>
      </c>
      <c r="O214">
        <f ca="1"/>
        <v>6.3773509552966727</v>
      </c>
      <c r="P214">
        <f ca="1"/>
        <v>5.9011202021414011</v>
      </c>
      <c r="Q214">
        <f ca="1"/>
        <v>0</v>
      </c>
      <c r="R214">
        <f ca="1"/>
        <v>0.15381209820915387</v>
      </c>
      <c r="S214">
        <f ca="1"/>
        <v>0</v>
      </c>
      <c r="T214">
        <f ca="1"/>
        <v>0</v>
      </c>
      <c r="U214">
        <f ca="1"/>
        <v>0.217741626257445</v>
      </c>
      <c r="W214" s="2">
        <f t="shared" ca="1" si="22"/>
        <v>45331</v>
      </c>
      <c r="X214">
        <f t="shared" ca="1" si="23"/>
        <v>0</v>
      </c>
      <c r="Z214" s="63">
        <f t="shared" ca="1" si="25"/>
        <v>12.883257357538263</v>
      </c>
      <c r="AA214" s="63">
        <f t="shared" ca="1" si="26"/>
        <v>12.883257357538263</v>
      </c>
      <c r="AB214" s="3">
        <f t="shared" ca="1" si="27"/>
        <v>0</v>
      </c>
    </row>
    <row r="215" spans="7:28">
      <c r="G215" t="b">
        <f t="shared" ca="1" si="24"/>
        <v>0</v>
      </c>
      <c r="H215" t="b">
        <f t="shared" ca="1" si="21"/>
        <v>0</v>
      </c>
      <c r="I215" s="2">
        <f ca="1"/>
        <v>45332</v>
      </c>
      <c r="J215">
        <f ca="1"/>
        <v>12.211550828928285</v>
      </c>
      <c r="K215">
        <f ca="1"/>
        <v>0.36106826950844173</v>
      </c>
      <c r="L215">
        <f ca="1"/>
        <v>-0.21356557028814294</v>
      </c>
      <c r="M215">
        <f ca="1"/>
        <v>0.24697295452131235</v>
      </c>
      <c r="N215">
        <f ca="1"/>
        <v>0</v>
      </c>
      <c r="O215">
        <f ca="1"/>
        <v>6.7384192248051145</v>
      </c>
      <c r="P215">
        <f ca="1"/>
        <v>6.2352255813943431</v>
      </c>
      <c r="Q215">
        <f ca="1"/>
        <v>0</v>
      </c>
      <c r="R215">
        <f ca="1"/>
        <v>0.14336487856398109</v>
      </c>
      <c r="S215">
        <f ca="1"/>
        <v>0</v>
      </c>
      <c r="T215">
        <f ca="1"/>
        <v>0</v>
      </c>
      <c r="U215">
        <f ca="1"/>
        <v>0.24287787877789813</v>
      </c>
      <c r="W215" s="2">
        <f t="shared" ca="1" si="22"/>
        <v>45332</v>
      </c>
      <c r="X215">
        <f t="shared" ca="1" si="23"/>
        <v>0</v>
      </c>
      <c r="Z215" s="63">
        <f t="shared" ca="1" si="25"/>
        <v>12.572619098436727</v>
      </c>
      <c r="AA215" s="63">
        <f t="shared" ca="1" si="26"/>
        <v>12.572619098436727</v>
      </c>
      <c r="AB215" s="3">
        <f t="shared" ca="1" si="27"/>
        <v>0</v>
      </c>
    </row>
    <row r="216" spans="7:28">
      <c r="G216" t="b">
        <f t="shared" ca="1" si="24"/>
        <v>0</v>
      </c>
      <c r="H216" t="b">
        <f t="shared" ca="1" si="21"/>
        <v>0</v>
      </c>
      <c r="I216" s="2">
        <f ca="1"/>
        <v>45333</v>
      </c>
      <c r="J216">
        <f ca="1"/>
        <v>11.861691953345527</v>
      </c>
      <c r="K216">
        <f ca="1"/>
        <v>0.39521518864404737</v>
      </c>
      <c r="L216">
        <f ca="1"/>
        <v>-0.21294648651877779</v>
      </c>
      <c r="M216">
        <f ca="1"/>
        <v>0.25830279958006869</v>
      </c>
      <c r="N216">
        <f ca="1"/>
        <v>0</v>
      </c>
      <c r="O216">
        <f ca="1"/>
        <v>7.1336344134491618</v>
      </c>
      <c r="P216">
        <f ca="1"/>
        <v>6.6009279475097768</v>
      </c>
      <c r="Q216">
        <f ca="1"/>
        <v>0</v>
      </c>
      <c r="R216">
        <f ca="1"/>
        <v>0.13982081262028617</v>
      </c>
      <c r="S216">
        <f ca="1"/>
        <v>0</v>
      </c>
      <c r="T216">
        <f ca="1"/>
        <v>0</v>
      </c>
      <c r="U216">
        <f ca="1"/>
        <v>0.27094363269722466</v>
      </c>
      <c r="W216" s="2">
        <f t="shared" ca="1" si="22"/>
        <v>45333</v>
      </c>
      <c r="X216">
        <f t="shared" ca="1" si="23"/>
        <v>0</v>
      </c>
      <c r="Z216" s="63">
        <f t="shared" ca="1" si="25"/>
        <v>12.256907141989576</v>
      </c>
      <c r="AA216" s="63">
        <f t="shared" ca="1" si="26"/>
        <v>12.256907141989576</v>
      </c>
      <c r="AB216" s="3">
        <f t="shared" ca="1" si="27"/>
        <v>0</v>
      </c>
    </row>
    <row r="217" spans="7:28">
      <c r="G217" t="b">
        <f t="shared" ca="1" si="24"/>
        <v>0</v>
      </c>
      <c r="H217" t="b">
        <f t="shared" ca="1" si="21"/>
        <v>0</v>
      </c>
      <c r="I217" s="2">
        <f ca="1"/>
        <v>45334</v>
      </c>
      <c r="J217">
        <f ca="1"/>
        <v>11.460999294145413</v>
      </c>
      <c r="K217">
        <f ca="1"/>
        <v>0.4296062708401438</v>
      </c>
      <c r="L217">
        <f ca="1"/>
        <v>-0.24351667708171476</v>
      </c>
      <c r="M217">
        <f ca="1"/>
        <v>0.27243028872174363</v>
      </c>
      <c r="N217">
        <f ca="1"/>
        <v>0</v>
      </c>
      <c r="O217">
        <f ca="1"/>
        <v>7.5632406842893056</v>
      </c>
      <c r="P217">
        <f ca="1"/>
        <v>6.9984532305923768</v>
      </c>
      <c r="Q217">
        <f ca="1"/>
        <v>0</v>
      </c>
      <c r="R217">
        <f ca="1"/>
        <v>0.15814212459225938</v>
      </c>
      <c r="S217">
        <f ca="1"/>
        <v>0</v>
      </c>
      <c r="T217">
        <f ca="1"/>
        <v>0</v>
      </c>
      <c r="U217">
        <f ca="1"/>
        <v>0.30183123430174275</v>
      </c>
      <c r="W217" s="2">
        <f t="shared" ca="1" si="22"/>
        <v>45334</v>
      </c>
      <c r="X217">
        <f t="shared" ca="1" si="23"/>
        <v>0</v>
      </c>
      <c r="Z217" s="63">
        <f t="shared" ca="1" si="25"/>
        <v>11.890605564985556</v>
      </c>
      <c r="AA217" s="63">
        <f t="shared" ca="1" si="26"/>
        <v>11.890605564985556</v>
      </c>
      <c r="AB217" s="3">
        <f t="shared" ca="1" si="27"/>
        <v>0</v>
      </c>
    </row>
    <row r="218" spans="7:28">
      <c r="G218" t="b">
        <f t="shared" ca="1" si="24"/>
        <v>0</v>
      </c>
      <c r="H218" t="b">
        <f t="shared" ca="1" si="21"/>
        <v>0</v>
      </c>
      <c r="I218" s="2">
        <f ca="1"/>
        <v>45335</v>
      </c>
      <c r="J218">
        <f ca="1"/>
        <v>11.065030977240493</v>
      </c>
      <c r="K218">
        <f ca="1"/>
        <v>0.41353296070492807</v>
      </c>
      <c r="L218">
        <f ca="1"/>
        <v>-0.22562584490776061</v>
      </c>
      <c r="M218">
        <f ca="1"/>
        <v>0.24319048870776824</v>
      </c>
      <c r="N218">
        <f ca="1"/>
        <v>0</v>
      </c>
      <c r="O218">
        <f ca="1"/>
        <v>7.9767736449942337</v>
      </c>
      <c r="P218">
        <f ca="1"/>
        <v>7.3811054831927159</v>
      </c>
      <c r="Q218">
        <f ca="1"/>
        <v>0</v>
      </c>
      <c r="R218">
        <f ca="1"/>
        <v>0.16750106117765687</v>
      </c>
      <c r="S218">
        <f ca="1"/>
        <v>0</v>
      </c>
      <c r="T218">
        <f ca="1"/>
        <v>0</v>
      </c>
      <c r="U218">
        <f ca="1"/>
        <v>0.33167116046315037</v>
      </c>
      <c r="W218" s="2">
        <f t="shared" ca="1" si="22"/>
        <v>45335</v>
      </c>
      <c r="X218">
        <f t="shared" ca="1" si="23"/>
        <v>0</v>
      </c>
      <c r="Z218" s="63">
        <f t="shared" ca="1" si="25"/>
        <v>11.47856393794542</v>
      </c>
      <c r="AA218" s="63">
        <f t="shared" ca="1" si="26"/>
        <v>11.47856393794542</v>
      </c>
      <c r="AB218" s="3">
        <f t="shared" ca="1" si="27"/>
        <v>0</v>
      </c>
    </row>
    <row r="219" spans="7:28">
      <c r="G219" t="b">
        <f t="shared" ca="1" si="24"/>
        <v>0</v>
      </c>
      <c r="H219" t="b">
        <f t="shared" ca="1" si="21"/>
        <v>0</v>
      </c>
      <c r="I219" s="2">
        <f ca="1"/>
        <v>45336</v>
      </c>
      <c r="J219">
        <f ca="1"/>
        <v>10.640277935290612</v>
      </c>
      <c r="K219">
        <f ca="1"/>
        <v>0.42137583092642217</v>
      </c>
      <c r="L219">
        <f ca="1"/>
        <v>-0.24207788142264874</v>
      </c>
      <c r="M219">
        <f ca="1"/>
        <v>0.23870067039918963</v>
      </c>
      <c r="N219">
        <f ca="1"/>
        <v>0</v>
      </c>
      <c r="O219">
        <f ca="1"/>
        <v>8.3981494759206559</v>
      </c>
      <c r="P219">
        <f ca="1"/>
        <v>7.7710149371343737</v>
      </c>
      <c r="Q219">
        <f ca="1"/>
        <v>0</v>
      </c>
      <c r="R219">
        <f ca="1"/>
        <v>0.19089472912341285</v>
      </c>
      <c r="S219">
        <f ca="1"/>
        <v>0</v>
      </c>
      <c r="T219">
        <f ca="1"/>
        <v>0</v>
      </c>
      <c r="U219">
        <f ca="1"/>
        <v>0.36193628758117286</v>
      </c>
      <c r="W219" s="2">
        <f t="shared" ca="1" si="22"/>
        <v>45336</v>
      </c>
      <c r="X219">
        <f t="shared" ca="1" si="23"/>
        <v>0</v>
      </c>
      <c r="Z219" s="63">
        <f t="shared" ca="1" si="25"/>
        <v>11.061653766217034</v>
      </c>
      <c r="AA219" s="63">
        <f t="shared" ca="1" si="26"/>
        <v>11.061653766217034</v>
      </c>
      <c r="AB219" s="3">
        <f t="shared" ca="1" si="27"/>
        <v>0</v>
      </c>
    </row>
    <row r="220" spans="7:28">
      <c r="G220" t="b">
        <f t="shared" ca="1" si="24"/>
        <v>0</v>
      </c>
      <c r="H220" t="b">
        <f t="shared" ca="1" si="21"/>
        <v>0</v>
      </c>
      <c r="I220" s="2">
        <f ca="1"/>
        <v>45337</v>
      </c>
      <c r="J220">
        <f ca="1"/>
        <v>10.197654191145388</v>
      </c>
      <c r="K220">
        <f ca="1"/>
        <v>0.43072289437619382</v>
      </c>
      <c r="L220">
        <f ca="1"/>
        <v>-0.24584496247611654</v>
      </c>
      <c r="M220">
        <f ca="1"/>
        <v>0.23394411270708543</v>
      </c>
      <c r="N220">
        <f ca="1"/>
        <v>0</v>
      </c>
      <c r="O220">
        <f ca="1"/>
        <v>8.8288723702968497</v>
      </c>
      <c r="P220">
        <f ca="1"/>
        <v>8.1695734595279301</v>
      </c>
      <c r="Q220">
        <f ca="1"/>
        <v>0</v>
      </c>
      <c r="R220">
        <f ca="1"/>
        <v>0.20504529876076807</v>
      </c>
      <c r="S220">
        <f ca="1"/>
        <v>0</v>
      </c>
      <c r="T220">
        <f ca="1"/>
        <v>0</v>
      </c>
      <c r="U220">
        <f ca="1"/>
        <v>0.39249500309900093</v>
      </c>
      <c r="W220" s="2">
        <f t="shared" ca="1" si="22"/>
        <v>45337</v>
      </c>
      <c r="X220">
        <f t="shared" ca="1" si="23"/>
        <v>0</v>
      </c>
      <c r="Z220" s="63">
        <f t="shared" ca="1" si="25"/>
        <v>10.628377085521581</v>
      </c>
      <c r="AA220" s="63">
        <f t="shared" ca="1" si="26"/>
        <v>10.628377085521581</v>
      </c>
      <c r="AB220" s="3">
        <f t="shared" ca="1" si="27"/>
        <v>0</v>
      </c>
    </row>
    <row r="221" spans="7:28">
      <c r="G221" t="b">
        <f t="shared" ca="1" si="24"/>
        <v>0</v>
      </c>
      <c r="H221" t="b">
        <f t="shared" ca="1" si="21"/>
        <v>0</v>
      </c>
      <c r="I221" s="2">
        <f ca="1"/>
        <v>45338</v>
      </c>
      <c r="J221">
        <f ca="1"/>
        <v>9.7296018896185981</v>
      </c>
      <c r="K221">
        <f ca="1"/>
        <v>0.46890888106145567</v>
      </c>
      <c r="L221">
        <f ca="1"/>
        <v>-0.24297760898306819</v>
      </c>
      <c r="M221">
        <f ca="1"/>
        <v>0.24383418851773461</v>
      </c>
      <c r="N221">
        <f ca="1"/>
        <v>0</v>
      </c>
      <c r="O221">
        <f ca="1"/>
        <v>9.2977812513583054</v>
      </c>
      <c r="P221">
        <f ca="1"/>
        <v>8.603466417652978</v>
      </c>
      <c r="Q221">
        <f ca="1"/>
        <v>0</v>
      </c>
      <c r="R221">
        <f ca="1"/>
        <v>0.2003284789431137</v>
      </c>
      <c r="S221">
        <f ca="1"/>
        <v>0</v>
      </c>
      <c r="T221">
        <f ca="1"/>
        <v>0</v>
      </c>
      <c r="U221">
        <f ca="1"/>
        <v>0.42509102207602018</v>
      </c>
      <c r="W221" s="2">
        <f t="shared" ca="1" si="22"/>
        <v>45338</v>
      </c>
      <c r="X221">
        <f t="shared" ca="1" si="23"/>
        <v>0</v>
      </c>
      <c r="Z221" s="63">
        <f t="shared" ca="1" si="25"/>
        <v>10.198510770680054</v>
      </c>
      <c r="AA221" s="63">
        <f t="shared" ca="1" si="26"/>
        <v>10.198510770680054</v>
      </c>
      <c r="AB221" s="3">
        <f t="shared" ca="1" si="27"/>
        <v>0</v>
      </c>
    </row>
    <row r="222" spans="7:28">
      <c r="G222" t="b">
        <f t="shared" ca="1" si="24"/>
        <v>0</v>
      </c>
      <c r="H222" t="b">
        <f t="shared" ca="1" si="21"/>
        <v>0</v>
      </c>
      <c r="I222" s="2">
        <f ca="1"/>
        <v>45339</v>
      </c>
      <c r="J222">
        <f ca="1"/>
        <v>9.2163813693273013</v>
      </c>
      <c r="K222">
        <f ca="1"/>
        <v>0.52797323277946795</v>
      </c>
      <c r="L222">
        <f ca="1"/>
        <v>-0.25065281404950213</v>
      </c>
      <c r="M222">
        <f ca="1"/>
        <v>0.26540552653767369</v>
      </c>
      <c r="N222">
        <f ca="1"/>
        <v>0</v>
      </c>
      <c r="O222">
        <f ca="1"/>
        <v>9.8257544841377733</v>
      </c>
      <c r="P222">
        <f ca="1"/>
        <v>9.092013077854757</v>
      </c>
      <c r="Q222">
        <f ca="1"/>
        <v>0</v>
      </c>
      <c r="R222">
        <f ca="1"/>
        <v>0.19690797191782711</v>
      </c>
      <c r="S222">
        <f ca="1"/>
        <v>0</v>
      </c>
      <c r="T222">
        <f ca="1"/>
        <v>0</v>
      </c>
      <c r="U222">
        <f ca="1"/>
        <v>0.46069158159995105</v>
      </c>
      <c r="W222" s="2">
        <f t="shared" ca="1" si="22"/>
        <v>45339</v>
      </c>
      <c r="X222">
        <f t="shared" ca="1" si="23"/>
        <v>0</v>
      </c>
      <c r="Z222" s="63">
        <f t="shared" ca="1" si="25"/>
        <v>9.7443546021067693</v>
      </c>
      <c r="AA222" s="63">
        <f t="shared" ca="1" si="26"/>
        <v>9.7443546021067693</v>
      </c>
      <c r="AB222" s="3">
        <f t="shared" ca="1" si="27"/>
        <v>0</v>
      </c>
    </row>
    <row r="223" spans="7:28">
      <c r="G223" t="b">
        <f t="shared" ca="1" si="24"/>
        <v>0</v>
      </c>
      <c r="H223" t="b">
        <f t="shared" ca="1" si="21"/>
        <v>0</v>
      </c>
      <c r="I223" s="2">
        <f ca="1"/>
        <v>45340</v>
      </c>
      <c r="J223">
        <f ca="1"/>
        <v>8.6592407694296725</v>
      </c>
      <c r="K223">
        <f ca="1"/>
        <v>0.57013258962827251</v>
      </c>
      <c r="L223">
        <f ca="1"/>
        <v>-0.26395034146096918</v>
      </c>
      <c r="M223">
        <f ca="1"/>
        <v>0.2769423311916121</v>
      </c>
      <c r="N223">
        <f ca="1"/>
        <v>0</v>
      </c>
      <c r="O223">
        <f ca="1"/>
        <v>10.395887073766046</v>
      </c>
      <c r="P223">
        <f ca="1"/>
        <v>9.6195708312445536</v>
      </c>
      <c r="Q223">
        <f ca="1"/>
        <v>0</v>
      </c>
      <c r="R223">
        <f ca="1"/>
        <v>0.20805460404420295</v>
      </c>
      <c r="S223">
        <f ca="1"/>
        <v>0</v>
      </c>
      <c r="T223">
        <f ca="1"/>
        <v>0</v>
      </c>
      <c r="U223">
        <f ca="1"/>
        <v>0.49755994412751575</v>
      </c>
      <c r="W223" s="2">
        <f t="shared" ca="1" si="22"/>
        <v>45340</v>
      </c>
      <c r="X223">
        <f t="shared" ca="1" si="23"/>
        <v>0</v>
      </c>
      <c r="Z223" s="63">
        <f t="shared" ca="1" si="25"/>
        <v>9.229373359057945</v>
      </c>
      <c r="AA223" s="63">
        <f t="shared" ca="1" si="26"/>
        <v>9.229373359057945</v>
      </c>
      <c r="AB223" s="3">
        <f t="shared" ca="1" si="27"/>
        <v>0</v>
      </c>
    </row>
    <row r="224" spans="7:28">
      <c r="G224" t="b">
        <f t="shared" ca="1" si="24"/>
        <v>0</v>
      </c>
      <c r="H224" t="b">
        <f t="shared" ca="1" si="21"/>
        <v>0</v>
      </c>
      <c r="I224" s="2">
        <f ca="1"/>
        <v>45341</v>
      </c>
      <c r="J224">
        <f ca="1"/>
        <v>8.112779864102011</v>
      </c>
      <c r="K224">
        <f ca="1"/>
        <v>0.58111172016744206</v>
      </c>
      <c r="L224">
        <f ca="1"/>
        <v>-0.22583689431217024</v>
      </c>
      <c r="M224">
        <f ca="1"/>
        <v>0.26048770915195052</v>
      </c>
      <c r="N224">
        <f ca="1"/>
        <v>0</v>
      </c>
      <c r="O224">
        <f ca="1"/>
        <v>10.976998793933488</v>
      </c>
      <c r="P224">
        <f ca="1"/>
        <v>10.157287845035857</v>
      </c>
      <c r="Q224">
        <f ca="1"/>
        <v>0</v>
      </c>
      <c r="R224">
        <f ca="1"/>
        <v>0.19124216402130376</v>
      </c>
      <c r="S224">
        <f ca="1"/>
        <v>0</v>
      </c>
      <c r="T224">
        <f ca="1"/>
        <v>0</v>
      </c>
      <c r="U224">
        <f ca="1"/>
        <v>0.5332407130683785</v>
      </c>
      <c r="W224" s="2">
        <f t="shared" ca="1" si="22"/>
        <v>45341</v>
      </c>
      <c r="X224">
        <f t="shared" ca="1" si="23"/>
        <v>0</v>
      </c>
      <c r="Z224" s="63">
        <f t="shared" ca="1" si="25"/>
        <v>8.6938915842694531</v>
      </c>
      <c r="AA224" s="63">
        <f t="shared" ca="1" si="26"/>
        <v>8.6938915842694531</v>
      </c>
      <c r="AB224" s="3">
        <f t="shared" ca="1" si="27"/>
        <v>0</v>
      </c>
    </row>
    <row r="225" spans="7:28">
      <c r="G225" t="b">
        <f t="shared" ca="1" si="24"/>
        <v>0</v>
      </c>
      <c r="H225" t="b">
        <f t="shared" ca="1" si="21"/>
        <v>0</v>
      </c>
      <c r="I225" s="2">
        <f ca="1"/>
        <v>45342</v>
      </c>
      <c r="J225">
        <f ca="1"/>
        <v>7.5346010782818258</v>
      </c>
      <c r="K225">
        <f ca="1"/>
        <v>0.59961489263200107</v>
      </c>
      <c r="L225">
        <f ca="1"/>
        <v>-0.23784740388811443</v>
      </c>
      <c r="M225">
        <f ca="1"/>
        <v>0.25928351069993105</v>
      </c>
      <c r="N225">
        <f ca="1"/>
        <v>0</v>
      </c>
      <c r="O225">
        <f ca="1"/>
        <v>11.576613686565489</v>
      </c>
      <c r="P225">
        <f ca="1"/>
        <v>10.712126300880403</v>
      </c>
      <c r="Q225">
        <f ca="1"/>
        <v>0</v>
      </c>
      <c r="R225">
        <f ca="1"/>
        <v>0.21257944098386167</v>
      </c>
      <c r="S225">
        <f ca="1"/>
        <v>0</v>
      </c>
      <c r="T225">
        <f ca="1"/>
        <v>0</v>
      </c>
      <c r="U225">
        <f ca="1"/>
        <v>0.56790357475014996</v>
      </c>
      <c r="W225" s="2">
        <f t="shared" ca="1" si="22"/>
        <v>45342</v>
      </c>
      <c r="X225">
        <f t="shared" ca="1" si="23"/>
        <v>0</v>
      </c>
      <c r="Z225" s="63">
        <f t="shared" ca="1" si="25"/>
        <v>8.1342159709138269</v>
      </c>
      <c r="AA225" s="63">
        <f t="shared" ca="1" si="26"/>
        <v>8.1342159709138269</v>
      </c>
      <c r="AB225" s="3">
        <f t="shared" ca="1" si="27"/>
        <v>0</v>
      </c>
    </row>
    <row r="226" spans="7:28">
      <c r="G226" t="b">
        <f t="shared" ca="1" si="24"/>
        <v>0</v>
      </c>
      <c r="H226" t="b">
        <f t="shared" ca="1" si="21"/>
        <v>0</v>
      </c>
      <c r="I226" s="2">
        <f ca="1"/>
        <v>45343</v>
      </c>
      <c r="J226">
        <f ca="1"/>
        <v>6.9433781750068047</v>
      </c>
      <c r="K226">
        <f ca="1"/>
        <v>0.63200790450091482</v>
      </c>
      <c r="L226">
        <f ca="1"/>
        <v>-0.2156559471738575</v>
      </c>
      <c r="M226">
        <f ca="1"/>
        <v>0.25644094839975162</v>
      </c>
      <c r="N226">
        <f ca="1"/>
        <v>0</v>
      </c>
      <c r="O226">
        <f ca="1"/>
        <v>12.208621591066404</v>
      </c>
      <c r="P226">
        <f ca="1"/>
        <v>11.296938809915341</v>
      </c>
      <c r="Q226">
        <f ca="1"/>
        <v>0</v>
      </c>
      <c r="R226">
        <f ca="1"/>
        <v>0.1983919283985846</v>
      </c>
      <c r="S226">
        <f ca="1"/>
        <v>0</v>
      </c>
      <c r="T226">
        <f ca="1"/>
        <v>0</v>
      </c>
      <c r="U226">
        <f ca="1"/>
        <v>0.60199461391998421</v>
      </c>
      <c r="W226" s="2">
        <f t="shared" ca="1" si="22"/>
        <v>45343</v>
      </c>
      <c r="X226">
        <f t="shared" ca="1" si="23"/>
        <v>0</v>
      </c>
      <c r="Z226" s="63">
        <f t="shared" ca="1" si="25"/>
        <v>7.5753860795077195</v>
      </c>
      <c r="AA226" s="63">
        <f t="shared" ca="1" si="26"/>
        <v>7.5753860795077195</v>
      </c>
      <c r="AB226" s="3">
        <f t="shared" ca="1" si="27"/>
        <v>0</v>
      </c>
    </row>
    <row r="227" spans="7:28">
      <c r="G227" t="b">
        <f t="shared" ca="1" si="24"/>
        <v>0</v>
      </c>
      <c r="H227" t="b">
        <f t="shared" ca="1" si="21"/>
        <v>0</v>
      </c>
      <c r="I227" s="2">
        <f ca="1"/>
        <v>45344</v>
      </c>
      <c r="J227">
        <f ca="1"/>
        <v>6.3351887701856278</v>
      </c>
      <c r="K227">
        <f ca="1"/>
        <v>0.65174437183969403</v>
      </c>
      <c r="L227">
        <f ca="1"/>
        <v>-0.20733149677965201</v>
      </c>
      <c r="M227">
        <f ca="1"/>
        <v>0.2508864637981692</v>
      </c>
      <c r="N227">
        <f ca="1"/>
        <v>0</v>
      </c>
      <c r="O227">
        <f ca="1"/>
        <v>12.860365962906098</v>
      </c>
      <c r="P227">
        <f ca="1"/>
        <v>11.900013959182591</v>
      </c>
      <c r="Q227">
        <f ca="1"/>
        <v>0</v>
      </c>
      <c r="R227">
        <f ca="1"/>
        <v>0.20096455200171212</v>
      </c>
      <c r="S227">
        <f ca="1"/>
        <v>0</v>
      </c>
      <c r="T227">
        <f ca="1"/>
        <v>0</v>
      </c>
      <c r="U227">
        <f ca="1"/>
        <v>0.63451955595587051</v>
      </c>
      <c r="W227" s="2">
        <f t="shared" ca="1" si="22"/>
        <v>45344</v>
      </c>
      <c r="X227">
        <f t="shared" ca="1" si="23"/>
        <v>0</v>
      </c>
      <c r="Z227" s="63">
        <f t="shared" ca="1" si="25"/>
        <v>6.9869331420253218</v>
      </c>
      <c r="AA227" s="63">
        <f t="shared" ca="1" si="26"/>
        <v>6.9869331420253218</v>
      </c>
      <c r="AB227" s="3">
        <f t="shared" ca="1" si="27"/>
        <v>0</v>
      </c>
    </row>
    <row r="228" spans="7:28">
      <c r="G228" t="b">
        <f t="shared" ca="1" si="24"/>
        <v>0</v>
      </c>
      <c r="H228" t="b">
        <f t="shared" ca="1" si="21"/>
        <v>0</v>
      </c>
      <c r="I228" s="2">
        <f ca="1"/>
        <v>45345</v>
      </c>
      <c r="J228">
        <f ca="1"/>
        <v>5.7058841722547671</v>
      </c>
      <c r="K228">
        <f ca="1"/>
        <v>0.6714442532742666</v>
      </c>
      <c r="L228">
        <f ca="1"/>
        <v>-0.20483374697621315</v>
      </c>
      <c r="M228">
        <f ca="1"/>
        <v>0.2469734023196194</v>
      </c>
      <c r="N228">
        <f ca="1"/>
        <v>0</v>
      </c>
      <c r="O228">
        <f ca="1"/>
        <v>13.531810216180364</v>
      </c>
      <c r="P228">
        <f ca="1"/>
        <v>12.52131789484222</v>
      </c>
      <c r="Q228">
        <f ca="1"/>
        <v>0</v>
      </c>
      <c r="R228">
        <f ca="1"/>
        <v>0.20914591953820866</v>
      </c>
      <c r="S228">
        <f ca="1"/>
        <v>0</v>
      </c>
      <c r="T228">
        <f ca="1"/>
        <v>0</v>
      </c>
      <c r="U228">
        <f ca="1"/>
        <v>0.66530014609847898</v>
      </c>
      <c r="W228" s="2">
        <f t="shared" ca="1" si="22"/>
        <v>45345</v>
      </c>
      <c r="X228">
        <f t="shared" ca="1" si="23"/>
        <v>0</v>
      </c>
      <c r="Z228" s="63">
        <f t="shared" ca="1" si="25"/>
        <v>6.3773284255290337</v>
      </c>
      <c r="AA228" s="63">
        <f t="shared" ca="1" si="26"/>
        <v>6.3773284255290337</v>
      </c>
      <c r="AB228" s="3">
        <f t="shared" ca="1" si="27"/>
        <v>0</v>
      </c>
    </row>
    <row r="229" spans="7:28">
      <c r="G229" t="b">
        <f t="shared" ca="1" si="24"/>
        <v>0</v>
      </c>
      <c r="H229" t="b">
        <f t="shared" ca="1" si="21"/>
        <v>0</v>
      </c>
      <c r="I229" s="2">
        <f ca="1"/>
        <v>45346</v>
      </c>
      <c r="J229">
        <f ca="1"/>
        <v>5.0204910071101434</v>
      </c>
      <c r="K229">
        <f ca="1"/>
        <v>0.73503585528599835</v>
      </c>
      <c r="L229">
        <f ca="1"/>
        <v>-0.21237663416785324</v>
      </c>
      <c r="M229">
        <f ca="1"/>
        <v>0.26201932430922792</v>
      </c>
      <c r="N229">
        <f ca="1"/>
        <v>0</v>
      </c>
      <c r="O229">
        <f ca="1"/>
        <v>14.266846071466363</v>
      </c>
      <c r="P229">
        <f ca="1"/>
        <v>13.201464708986732</v>
      </c>
      <c r="Q229">
        <f ca="1"/>
        <v>0</v>
      </c>
      <c r="R229">
        <f ca="1"/>
        <v>0.21365487645594317</v>
      </c>
      <c r="S229">
        <f ca="1"/>
        <v>0</v>
      </c>
      <c r="T229">
        <f ca="1"/>
        <v>0</v>
      </c>
      <c r="U229">
        <f ca="1"/>
        <v>0.69596513043092256</v>
      </c>
      <c r="W229" s="2">
        <f t="shared" ca="1" si="22"/>
        <v>45346</v>
      </c>
      <c r="X229">
        <f t="shared" ca="1" si="23"/>
        <v>0</v>
      </c>
      <c r="Z229" s="63">
        <f t="shared" ca="1" si="25"/>
        <v>5.7555268623961418</v>
      </c>
      <c r="AA229" s="63">
        <f t="shared" ca="1" si="26"/>
        <v>5.7555268623961418</v>
      </c>
      <c r="AB229" s="3">
        <f t="shared" ca="1" si="27"/>
        <v>0</v>
      </c>
    </row>
    <row r="230" spans="7:28">
      <c r="G230" t="b">
        <f t="shared" ca="1" si="24"/>
        <v>0</v>
      </c>
      <c r="H230" t="b">
        <f t="shared" ca="1" si="21"/>
        <v>0</v>
      </c>
      <c r="I230" s="2">
        <f ca="1"/>
        <v>45347</v>
      </c>
      <c r="J230">
        <f ca="1"/>
        <v>4.3393544062183445</v>
      </c>
      <c r="K230">
        <f ca="1"/>
        <v>0.74426331720471417</v>
      </c>
      <c r="L230">
        <f ca="1"/>
        <v>-0.18316067154426463</v>
      </c>
      <c r="M230">
        <f ca="1"/>
        <v>0.24628738785717988</v>
      </c>
      <c r="N230">
        <f ca="1"/>
        <v>0</v>
      </c>
      <c r="O230">
        <f ca="1"/>
        <v>15.011109388671077</v>
      </c>
      <c r="P230">
        <f ca="1"/>
        <v>13.890149921335253</v>
      </c>
      <c r="Q230">
        <f ca="1"/>
        <v>0</v>
      </c>
      <c r="R230">
        <f ca="1"/>
        <v>0.19832293917797211</v>
      </c>
      <c r="S230">
        <f ca="1"/>
        <v>0</v>
      </c>
      <c r="T230">
        <f ca="1"/>
        <v>0</v>
      </c>
      <c r="U230">
        <f ca="1"/>
        <v>0.72399133019761486</v>
      </c>
      <c r="W230" s="2">
        <f t="shared" ca="1" si="22"/>
        <v>45347</v>
      </c>
      <c r="X230">
        <f t="shared" ca="1" si="23"/>
        <v>0</v>
      </c>
      <c r="Z230" s="63">
        <f t="shared" ca="1" si="25"/>
        <v>5.0836177234230586</v>
      </c>
      <c r="AA230" s="63">
        <f t="shared" ca="1" si="26"/>
        <v>5.0836177234230586</v>
      </c>
      <c r="AB230" s="3">
        <f t="shared" ca="1" si="27"/>
        <v>0</v>
      </c>
    </row>
    <row r="231" spans="7:28">
      <c r="G231" t="b">
        <f t="shared" ca="1" si="24"/>
        <v>0</v>
      </c>
      <c r="H231" t="b">
        <f t="shared" ca="1" si="21"/>
        <v>0</v>
      </c>
      <c r="I231" s="2">
        <f ca="1"/>
        <v>45348</v>
      </c>
      <c r="J231">
        <f ca="1"/>
        <v>3.6204448161470273</v>
      </c>
      <c r="K231">
        <f ca="1"/>
        <v>0.78010969494349069</v>
      </c>
      <c r="L231">
        <f ca="1"/>
        <v>-0.18801936279685094</v>
      </c>
      <c r="M231">
        <f ca="1"/>
        <v>0.24921946766902417</v>
      </c>
      <c r="N231">
        <f ca="1"/>
        <v>0</v>
      </c>
      <c r="O231">
        <f ca="1"/>
        <v>15.791219083614568</v>
      </c>
      <c r="P231">
        <f ca="1"/>
        <v>14.612004671526467</v>
      </c>
      <c r="Q231">
        <f ca="1"/>
        <v>0</v>
      </c>
      <c r="R231">
        <f ca="1"/>
        <v>0.21020647194469547</v>
      </c>
      <c r="S231">
        <f ca="1"/>
        <v>0</v>
      </c>
      <c r="T231">
        <f ca="1"/>
        <v>0</v>
      </c>
      <c r="U231">
        <f ca="1"/>
        <v>0.75036073180710772</v>
      </c>
      <c r="W231" s="2">
        <f t="shared" ca="1" si="22"/>
        <v>45348</v>
      </c>
      <c r="X231">
        <f t="shared" ca="1" si="23"/>
        <v>0</v>
      </c>
      <c r="Z231" s="63">
        <f t="shared" ca="1" si="25"/>
        <v>4.400554511090518</v>
      </c>
      <c r="AA231" s="63">
        <f t="shared" ca="1" si="26"/>
        <v>4.400554511090518</v>
      </c>
      <c r="AB231" s="3">
        <f t="shared" ca="1" si="27"/>
        <v>0</v>
      </c>
    </row>
    <row r="232" spans="7:28">
      <c r="G232" t="b">
        <f t="shared" ca="1" si="24"/>
        <v>0</v>
      </c>
      <c r="H232" t="b">
        <f t="shared" ca="1" si="21"/>
        <v>0</v>
      </c>
      <c r="I232" s="2">
        <f ca="1"/>
        <v>45349</v>
      </c>
      <c r="J232">
        <f ca="1"/>
        <v>2.8713268071524247</v>
      </c>
      <c r="K232">
        <f ca="1"/>
        <v>0.81840000152930514</v>
      </c>
      <c r="L232">
        <f ca="1"/>
        <v>-0.1795976793452212</v>
      </c>
      <c r="M232">
        <f ca="1"/>
        <v>0.24887967187992383</v>
      </c>
      <c r="N232">
        <f ca="1"/>
        <v>0</v>
      </c>
      <c r="O232">
        <f ca="1"/>
        <v>16.609619085143873</v>
      </c>
      <c r="P232">
        <f ca="1"/>
        <v>15.369290387227283</v>
      </c>
      <c r="Q232">
        <f ca="1"/>
        <v>0</v>
      </c>
      <c r="R232">
        <f ca="1"/>
        <v>0.20726183350862118</v>
      </c>
      <c r="S232">
        <f ca="1"/>
        <v>0</v>
      </c>
      <c r="T232">
        <f ca="1"/>
        <v>0</v>
      </c>
      <c r="U232">
        <f ca="1"/>
        <v>0.77502314022452512</v>
      </c>
      <c r="W232" s="2">
        <f t="shared" ca="1" si="22"/>
        <v>45349</v>
      </c>
      <c r="X232">
        <f t="shared" ca="1" si="23"/>
        <v>0</v>
      </c>
      <c r="Z232" s="63">
        <f t="shared" ca="1" si="25"/>
        <v>3.6897268086817299</v>
      </c>
      <c r="AA232" s="63">
        <f t="shared" ca="1" si="26"/>
        <v>3.6897268086817299</v>
      </c>
      <c r="AB232" s="3">
        <f t="shared" ca="1" si="27"/>
        <v>0</v>
      </c>
    </row>
    <row r="233" spans="7:28">
      <c r="G233" t="b">
        <f t="shared" ca="1" si="24"/>
        <v>0</v>
      </c>
      <c r="H233" t="b">
        <f t="shared" ca="1" si="21"/>
        <v>0</v>
      </c>
      <c r="I233" s="2">
        <f ca="1"/>
        <v>45350</v>
      </c>
      <c r="J233">
        <f ca="1"/>
        <v>2.0947872480253271</v>
      </c>
      <c r="K233">
        <f ca="1"/>
        <v>0.85015453794768803</v>
      </c>
      <c r="L233">
        <f ca="1"/>
        <v>-0.17291463533553042</v>
      </c>
      <c r="M233">
        <f ca="1"/>
        <v>0.24652961415612096</v>
      </c>
      <c r="N233">
        <f ca="1"/>
        <v>0</v>
      </c>
      <c r="O233">
        <f ca="1"/>
        <v>17.459773623091561</v>
      </c>
      <c r="P233">
        <f ca="1"/>
        <v>16.155959359029527</v>
      </c>
      <c r="Q233">
        <f ca="1"/>
        <v>0</v>
      </c>
      <c r="R233">
        <f ca="1"/>
        <v>0.20815188945798926</v>
      </c>
      <c r="S233">
        <f ca="1"/>
        <v>0</v>
      </c>
      <c r="T233">
        <f ca="1"/>
        <v>0</v>
      </c>
      <c r="U233">
        <f ca="1"/>
        <v>0.79772890925834228</v>
      </c>
      <c r="W233" s="2">
        <f t="shared" ca="1" si="22"/>
        <v>45350</v>
      </c>
      <c r="X233">
        <f t="shared" ca="1" si="23"/>
        <v>0</v>
      </c>
      <c r="Z233" s="63">
        <f t="shared" ca="1" si="25"/>
        <v>2.9449417859730151</v>
      </c>
      <c r="AA233" s="63">
        <f t="shared" ca="1" si="26"/>
        <v>2.9449417859730151</v>
      </c>
      <c r="AB233" s="3">
        <f t="shared" ca="1" si="27"/>
        <v>0</v>
      </c>
    </row>
    <row r="234" spans="7:28">
      <c r="G234" t="b">
        <f t="shared" ca="1" si="24"/>
        <v>0</v>
      </c>
      <c r="H234" t="b">
        <f t="shared" ca="1" si="21"/>
        <v>0</v>
      </c>
      <c r="I234" s="2">
        <f ca="1"/>
        <v>45351</v>
      </c>
      <c r="J234">
        <f ca="1"/>
        <v>1.2840240729705035</v>
      </c>
      <c r="K234">
        <f ca="1"/>
        <v>0.89993312545588822</v>
      </c>
      <c r="L234">
        <f ca="1"/>
        <v>-0.15723097466504043</v>
      </c>
      <c r="M234">
        <f ca="1"/>
        <v>0.24640092506610495</v>
      </c>
      <c r="N234">
        <f ca="1"/>
        <v>0</v>
      </c>
      <c r="O234">
        <f ca="1"/>
        <v>18.359706748547449</v>
      </c>
      <c r="P234">
        <f ca="1"/>
        <v>16.988689686155915</v>
      </c>
      <c r="Q234">
        <f ca="1"/>
        <v>0</v>
      </c>
      <c r="R234">
        <f ca="1"/>
        <v>0.19309825916652223</v>
      </c>
      <c r="S234">
        <f ca="1"/>
        <v>0</v>
      </c>
      <c r="T234">
        <f ca="1"/>
        <v>0</v>
      </c>
      <c r="U234">
        <f ca="1"/>
        <v>0.8189038857099975</v>
      </c>
      <c r="W234" s="2">
        <f t="shared" ca="1" si="22"/>
        <v>45351</v>
      </c>
      <c r="X234">
        <f t="shared" ca="1" si="23"/>
        <v>0</v>
      </c>
      <c r="Z234" s="63">
        <f t="shared" ca="1" si="25"/>
        <v>2.1839571984263917</v>
      </c>
      <c r="AA234" s="63">
        <f t="shared" ca="1" si="26"/>
        <v>2.1839571984263917</v>
      </c>
      <c r="AB234" s="3">
        <f t="shared" ca="1" si="27"/>
        <v>0</v>
      </c>
    </row>
    <row r="235" spans="7:28">
      <c r="G235" t="b">
        <f t="shared" ca="1" si="24"/>
        <v>0</v>
      </c>
      <c r="H235" t="b">
        <f t="shared" ca="1" si="21"/>
        <v>0</v>
      </c>
      <c r="I235" s="2">
        <f ca="1"/>
        <v>45352</v>
      </c>
      <c r="J235">
        <f ca="1"/>
        <v>0.44616484252670197</v>
      </c>
      <c r="K235">
        <f ca="1"/>
        <v>0.92472346257702753</v>
      </c>
      <c r="L235">
        <f ca="1"/>
        <v>-0.15596665235526785</v>
      </c>
      <c r="M235">
        <f ca="1"/>
        <v>0.24283088448849383</v>
      </c>
      <c r="N235">
        <f ca="1"/>
        <v>0</v>
      </c>
      <c r="O235">
        <f ca="1"/>
        <v>19.284430211124477</v>
      </c>
      <c r="P235">
        <f ca="1"/>
        <v>17.844359123930118</v>
      </c>
      <c r="Q235">
        <f ca="1"/>
        <v>0</v>
      </c>
      <c r="R235">
        <f ca="1"/>
        <v>0.20183534053634561</v>
      </c>
      <c r="S235">
        <f ca="1"/>
        <v>0</v>
      </c>
      <c r="T235">
        <f ca="1"/>
        <v>0</v>
      </c>
      <c r="U235">
        <f ca="1"/>
        <v>0.83798050310500583</v>
      </c>
      <c r="W235" s="2">
        <f t="shared" ca="1" si="22"/>
        <v>45352</v>
      </c>
      <c r="X235">
        <f t="shared" ca="1" si="23"/>
        <v>0</v>
      </c>
      <c r="Z235" s="63">
        <f t="shared" ca="1" si="25"/>
        <v>1.3708883051037295</v>
      </c>
      <c r="AA235" s="63">
        <f t="shared" ca="1" si="26"/>
        <v>1.3708883051037295</v>
      </c>
      <c r="AB235" s="3">
        <f t="shared" ca="1" si="27"/>
        <v>0</v>
      </c>
    </row>
    <row r="236" spans="7:28">
      <c r="G236" t="b">
        <f t="shared" ca="1" si="24"/>
        <v>0</v>
      </c>
      <c r="H236" t="b">
        <f t="shared" ca="1" si="21"/>
        <v>0</v>
      </c>
      <c r="I236" s="2">
        <f ca="1"/>
        <v>45353</v>
      </c>
      <c r="J236">
        <f ca="1"/>
        <v>-0.40866259961264695</v>
      </c>
      <c r="K236">
        <f ca="1"/>
        <v>0.92026796775383701</v>
      </c>
      <c r="L236">
        <f ca="1"/>
        <v>-0.17342429296681416</v>
      </c>
      <c r="M236">
        <f ca="1"/>
        <v>0.23886481858130229</v>
      </c>
      <c r="N236">
        <f ca="1"/>
        <v>0</v>
      </c>
      <c r="O236">
        <f ca="1"/>
        <v>20.204698178878314</v>
      </c>
      <c r="P236">
        <f ca="1"/>
        <v>18.695905782403635</v>
      </c>
      <c r="Q236">
        <f ca="1"/>
        <v>0</v>
      </c>
      <c r="R236">
        <f ca="1"/>
        <v>0.24495188234074949</v>
      </c>
      <c r="S236">
        <f ca="1"/>
        <v>0</v>
      </c>
      <c r="T236">
        <f ca="1"/>
        <v>0</v>
      </c>
      <c r="U236">
        <f ca="1"/>
        <v>0.85462032174483105</v>
      </c>
      <c r="W236" s="2">
        <f t="shared" ca="1" si="22"/>
        <v>45353</v>
      </c>
      <c r="X236">
        <f t="shared" ca="1" si="23"/>
        <v>0</v>
      </c>
      <c r="Z236" s="63">
        <f t="shared" ca="1" si="25"/>
        <v>0.51160536814119006</v>
      </c>
      <c r="AA236" s="63">
        <f t="shared" ca="1" si="26"/>
        <v>0.51160536814119006</v>
      </c>
      <c r="AB236" s="3">
        <f t="shared" ca="1" si="27"/>
        <v>0</v>
      </c>
    </row>
    <row r="237" spans="7:28">
      <c r="G237" t="b">
        <f t="shared" ca="1" si="24"/>
        <v>0</v>
      </c>
      <c r="H237" t="b">
        <f t="shared" ca="1" si="21"/>
        <v>0</v>
      </c>
      <c r="I237" s="2">
        <f ca="1"/>
        <v>45354</v>
      </c>
      <c r="J237">
        <f ca="1"/>
        <v>-1.2669154092691541</v>
      </c>
      <c r="K237">
        <f ca="1"/>
        <v>0.92032467504845528</v>
      </c>
      <c r="L237">
        <f ca="1"/>
        <v>-0.16806411910729935</v>
      </c>
      <c r="M237">
        <f ca="1"/>
        <v>0.23013598449924741</v>
      </c>
      <c r="N237">
        <f ca="1"/>
        <v>0</v>
      </c>
      <c r="O237">
        <f ca="1"/>
        <v>21.125022853926769</v>
      </c>
      <c r="P237">
        <f ca="1"/>
        <v>19.547504913536134</v>
      </c>
      <c r="Q237">
        <f ca="1"/>
        <v>0</v>
      </c>
      <c r="R237">
        <f ca="1"/>
        <v>0.25740851716266427</v>
      </c>
      <c r="S237">
        <f ca="1"/>
        <v>0</v>
      </c>
      <c r="T237">
        <f ca="1"/>
        <v>0</v>
      </c>
      <c r="U237">
        <f ca="1"/>
        <v>0.86923452981923066</v>
      </c>
      <c r="W237" s="2">
        <f t="shared" ca="1" si="22"/>
        <v>45354</v>
      </c>
      <c r="X237">
        <f t="shared" ca="1" si="23"/>
        <v>0</v>
      </c>
      <c r="Z237" s="63">
        <f t="shared" ca="1" si="25"/>
        <v>-0.34659073422069886</v>
      </c>
      <c r="AA237" s="63">
        <f t="shared" ca="1" si="26"/>
        <v>-0.34659073422069886</v>
      </c>
      <c r="AB237" s="3">
        <f t="shared" ca="1" si="27"/>
        <v>0</v>
      </c>
    </row>
    <row r="238" spans="7:28">
      <c r="G238" t="b">
        <f t="shared" ca="1" si="24"/>
        <v>0</v>
      </c>
      <c r="H238" t="b">
        <f t="shared" ca="1" si="21"/>
        <v>0</v>
      </c>
      <c r="I238" s="2">
        <f ca="1"/>
        <v>45355</v>
      </c>
      <c r="J238">
        <f ca="1"/>
        <v>-2.2311555869143245</v>
      </c>
      <c r="K238">
        <f ca="1"/>
        <v>1.03527487761</v>
      </c>
      <c r="L238">
        <f ca="1"/>
        <v>-0.18766329960825345</v>
      </c>
      <c r="M238">
        <f ca="1"/>
        <v>0.2586979995730832</v>
      </c>
      <c r="N238">
        <f ca="1"/>
        <v>0</v>
      </c>
      <c r="O238">
        <f ca="1"/>
        <v>22.160297731536769</v>
      </c>
      <c r="P238">
        <f ca="1"/>
        <v>20.505470303532398</v>
      </c>
      <c r="Q238">
        <f ca="1"/>
        <v>0</v>
      </c>
      <c r="R238">
        <f ca="1"/>
        <v>0.27679438851184351</v>
      </c>
      <c r="S238">
        <f ca="1"/>
        <v>0</v>
      </c>
      <c r="T238">
        <f ca="1"/>
        <v>0</v>
      </c>
      <c r="U238">
        <f ca="1"/>
        <v>0.88358895010895266</v>
      </c>
      <c r="W238" s="2">
        <f t="shared" ca="1" si="22"/>
        <v>45355</v>
      </c>
      <c r="X238">
        <f t="shared" ca="1" si="23"/>
        <v>0</v>
      </c>
      <c r="Z238" s="63">
        <f t="shared" ca="1" si="25"/>
        <v>-1.1958807093043244</v>
      </c>
      <c r="AA238" s="63">
        <f t="shared" ca="1" si="26"/>
        <v>-1.1958807093043244</v>
      </c>
      <c r="AB238" s="3">
        <f t="shared" ca="1" si="27"/>
        <v>0</v>
      </c>
    </row>
    <row r="239" spans="7:28">
      <c r="G239" t="b">
        <f t="shared" ca="1" si="24"/>
        <v>0</v>
      </c>
      <c r="H239" t="b">
        <f t="shared" ca="1" si="21"/>
        <v>0</v>
      </c>
      <c r="I239" s="2">
        <f ca="1"/>
        <v>45356</v>
      </c>
      <c r="J239">
        <f ca="1"/>
        <v>-3.2383918808226744</v>
      </c>
      <c r="K239">
        <f ca="1"/>
        <v>1.0961731596862911</v>
      </c>
      <c r="L239">
        <f ca="1"/>
        <v>-0.16866858129424145</v>
      </c>
      <c r="M239">
        <f ca="1"/>
        <v>0.25760544707218241</v>
      </c>
      <c r="N239">
        <f ca="1"/>
        <v>0</v>
      </c>
      <c r="O239">
        <f ca="1"/>
        <v>23.25647089122306</v>
      </c>
      <c r="P239">
        <f ca="1"/>
        <v>21.519786376618743</v>
      </c>
      <c r="Q239">
        <f ca="1"/>
        <v>0</v>
      </c>
      <c r="R239">
        <f ca="1"/>
        <v>0.25621458043418266</v>
      </c>
      <c r="S239">
        <f ca="1"/>
        <v>0</v>
      </c>
      <c r="T239">
        <f ca="1"/>
        <v>0</v>
      </c>
      <c r="U239">
        <f ca="1"/>
        <v>0.89673447374696724</v>
      </c>
      <c r="W239" s="2">
        <f t="shared" ca="1" si="22"/>
        <v>45356</v>
      </c>
      <c r="X239">
        <f t="shared" ca="1" si="23"/>
        <v>0</v>
      </c>
      <c r="Z239" s="63">
        <f t="shared" ca="1" si="25"/>
        <v>-2.1422187211363837</v>
      </c>
      <c r="AA239" s="63">
        <f t="shared" ca="1" si="26"/>
        <v>-2.1422187211363832</v>
      </c>
      <c r="AB239" s="3">
        <f t="shared" ca="1" si="27"/>
        <v>0</v>
      </c>
    </row>
    <row r="240" spans="7:28">
      <c r="G240" t="b">
        <f t="shared" ca="1" si="24"/>
        <v>0</v>
      </c>
      <c r="H240" t="b">
        <f t="shared" ca="1" si="21"/>
        <v>0</v>
      </c>
      <c r="I240" s="2">
        <f ca="1"/>
        <v>45357</v>
      </c>
      <c r="J240">
        <f ca="1"/>
        <v>-4.2201905629771552</v>
      </c>
      <c r="K240">
        <f ca="1"/>
        <v>1.0722644254895854</v>
      </c>
      <c r="L240">
        <f ca="1"/>
        <v>-0.14454765687487736</v>
      </c>
      <c r="M240">
        <f ca="1"/>
        <v>0.23501340020998196</v>
      </c>
      <c r="N240">
        <f ca="1"/>
        <v>0</v>
      </c>
      <c r="O240">
        <f ca="1"/>
        <v>24.328735316712645</v>
      </c>
      <c r="P240">
        <f ca="1"/>
        <v>22.511979107997092</v>
      </c>
      <c r="Q240">
        <f ca="1"/>
        <v>0</v>
      </c>
      <c r="R240">
        <f ca="1"/>
        <v>0.24518883203999994</v>
      </c>
      <c r="S240">
        <f ca="1"/>
        <v>0</v>
      </c>
      <c r="T240">
        <f ca="1"/>
        <v>0</v>
      </c>
      <c r="U240">
        <f ca="1"/>
        <v>0.90786193600276333</v>
      </c>
      <c r="W240" s="2">
        <f t="shared" ca="1" si="22"/>
        <v>45357</v>
      </c>
      <c r="X240">
        <f t="shared" ca="1" si="23"/>
        <v>0</v>
      </c>
      <c r="Z240" s="63">
        <f t="shared" ca="1" si="25"/>
        <v>-3.1479261374875698</v>
      </c>
      <c r="AA240" s="63">
        <f t="shared" ca="1" si="26"/>
        <v>-3.1479261374875698</v>
      </c>
      <c r="AB240" s="3">
        <f t="shared" ca="1" si="27"/>
        <v>0</v>
      </c>
    </row>
    <row r="241" spans="7:28">
      <c r="G241" t="b">
        <f t="shared" ca="1" si="24"/>
        <v>0</v>
      </c>
      <c r="H241" t="b">
        <f t="shared" ca="1" si="21"/>
        <v>0</v>
      </c>
      <c r="I241" s="2">
        <f ca="1"/>
        <v>45358</v>
      </c>
      <c r="J241">
        <f ca="1"/>
        <v>-5.257270856845059</v>
      </c>
      <c r="K241">
        <f ca="1"/>
        <v>1.1387898484415118</v>
      </c>
      <c r="L241">
        <f ca="1"/>
        <v>-0.13745220177396078</v>
      </c>
      <c r="M241">
        <f ca="1"/>
        <v>0.23916175634756867</v>
      </c>
      <c r="N241">
        <f ca="1"/>
        <v>0</v>
      </c>
      <c r="O241">
        <f ca="1"/>
        <v>25.467525165154157</v>
      </c>
      <c r="P241">
        <f ca="1"/>
        <v>23.565729454769265</v>
      </c>
      <c r="Q241">
        <f ca="1"/>
        <v>0</v>
      </c>
      <c r="R241">
        <f ca="1"/>
        <v>0.23763102304638478</v>
      </c>
      <c r="S241">
        <f ca="1"/>
        <v>0</v>
      </c>
      <c r="T241">
        <f ca="1"/>
        <v>0</v>
      </c>
      <c r="U241">
        <f ca="1"/>
        <v>0.9180964293660816</v>
      </c>
      <c r="W241" s="2">
        <f t="shared" ca="1" si="22"/>
        <v>45358</v>
      </c>
      <c r="X241">
        <f t="shared" ca="1" si="23"/>
        <v>0</v>
      </c>
      <c r="Z241" s="63">
        <f t="shared" ca="1" si="25"/>
        <v>-4.1184810084035472</v>
      </c>
      <c r="AA241" s="63">
        <f t="shared" ca="1" si="26"/>
        <v>-4.1184810084035472</v>
      </c>
      <c r="AB241" s="3">
        <f t="shared" ca="1" si="27"/>
        <v>0</v>
      </c>
    </row>
    <row r="242" spans="7:28">
      <c r="G242" t="b">
        <f t="shared" ca="1" si="24"/>
        <v>0</v>
      </c>
      <c r="H242" t="b">
        <f t="shared" ca="1" si="21"/>
        <v>0</v>
      </c>
      <c r="I242" s="2">
        <f ca="1"/>
        <v>45359</v>
      </c>
      <c r="J242">
        <f ca="1"/>
        <v>-6.2843559223934653</v>
      </c>
      <c r="K242">
        <f ca="1"/>
        <v>1.1297127496865045</v>
      </c>
      <c r="L242">
        <f ca="1"/>
        <v>-0.12075609694942813</v>
      </c>
      <c r="M242">
        <f ca="1"/>
        <v>0.22338378108752591</v>
      </c>
      <c r="N242">
        <f ca="1"/>
        <v>0</v>
      </c>
      <c r="O242">
        <f ca="1"/>
        <v>26.597237914840662</v>
      </c>
      <c r="P242">
        <f ca="1"/>
        <v>24.61108053808308</v>
      </c>
      <c r="Q242">
        <f ca="1"/>
        <v>0</v>
      </c>
      <c r="R242">
        <f ca="1"/>
        <v>0.2279109335096248</v>
      </c>
      <c r="S242">
        <f ca="1"/>
        <v>0</v>
      </c>
      <c r="T242">
        <f ca="1"/>
        <v>0</v>
      </c>
      <c r="U242">
        <f ca="1"/>
        <v>0.92688711234461052</v>
      </c>
      <c r="W242" s="2">
        <f t="shared" ca="1" si="22"/>
        <v>45359</v>
      </c>
      <c r="X242">
        <f t="shared" ca="1" si="23"/>
        <v>0</v>
      </c>
      <c r="Z242" s="63">
        <f t="shared" ca="1" si="25"/>
        <v>-5.1546431727069608</v>
      </c>
      <c r="AA242" s="63">
        <f t="shared" ca="1" si="26"/>
        <v>-5.1546431727069608</v>
      </c>
      <c r="AB242" s="3">
        <f t="shared" ca="1" si="27"/>
        <v>0</v>
      </c>
    </row>
    <row r="243" spans="7:28">
      <c r="G243" t="b">
        <f t="shared" ca="1" si="24"/>
        <v>0</v>
      </c>
      <c r="H243" t="b">
        <f t="shared" ca="1" si="21"/>
        <v>0</v>
      </c>
      <c r="I243" s="2">
        <f ca="1"/>
        <v>45360</v>
      </c>
      <c r="J243">
        <f ca="1"/>
        <v>-7.4329633788880738</v>
      </c>
      <c r="K243">
        <f ca="1"/>
        <v>1.2675207186190853</v>
      </c>
      <c r="L243">
        <f ca="1"/>
        <v>-0.12782411195671273</v>
      </c>
      <c r="M243">
        <f ca="1"/>
        <v>0.24673737408118956</v>
      </c>
      <c r="N243">
        <f ca="1"/>
        <v>0</v>
      </c>
      <c r="O243">
        <f ca="1"/>
        <v>27.864758633459747</v>
      </c>
      <c r="P243">
        <f ca="1"/>
        <v>25.783948735506584</v>
      </c>
      <c r="Q243">
        <f ca="1"/>
        <v>0</v>
      </c>
      <c r="R243">
        <f ca="1"/>
        <v>0.23169807643662027</v>
      </c>
      <c r="S243">
        <f ca="1"/>
        <v>0</v>
      </c>
      <c r="T243">
        <f ca="1"/>
        <v>0</v>
      </c>
      <c r="U243">
        <f ca="1"/>
        <v>0.93539350253549591</v>
      </c>
      <c r="W243" s="2">
        <f t="shared" ca="1" si="22"/>
        <v>45360</v>
      </c>
      <c r="X243">
        <f t="shared" ca="1" si="23"/>
        <v>0</v>
      </c>
      <c r="Z243" s="63">
        <f t="shared" ca="1" si="25"/>
        <v>-6.1654426602689885</v>
      </c>
      <c r="AA243" s="63">
        <f t="shared" ca="1" si="26"/>
        <v>-6.1654426602689885</v>
      </c>
      <c r="AB243" s="3">
        <f t="shared" ca="1" si="27"/>
        <v>0</v>
      </c>
    </row>
    <row r="244" spans="7:28">
      <c r="G244" t="b">
        <f t="shared" ca="1" si="24"/>
        <v>0</v>
      </c>
      <c r="H244" t="b">
        <f t="shared" ca="1" si="21"/>
        <v>0</v>
      </c>
      <c r="I244" s="2">
        <f ca="1"/>
        <v>45361</v>
      </c>
      <c r="J244">
        <f ca="1"/>
        <v>-8.576696924865935</v>
      </c>
      <c r="K244">
        <f ca="1"/>
        <v>1.2566925799668525</v>
      </c>
      <c r="L244">
        <f ca="1"/>
        <v>-0.12244693064113221</v>
      </c>
      <c r="M244">
        <f ca="1"/>
        <v>0.23540596463012337</v>
      </c>
      <c r="N244">
        <f ca="1"/>
        <v>0</v>
      </c>
      <c r="O244">
        <f ca="1"/>
        <v>29.121451213426599</v>
      </c>
      <c r="P244">
        <f ca="1"/>
        <v>26.94679738904734</v>
      </c>
      <c r="Q244">
        <f ca="1"/>
        <v>0</v>
      </c>
      <c r="R244">
        <f ca="1"/>
        <v>0.24365432109318286</v>
      </c>
      <c r="S244">
        <f ca="1"/>
        <v>0</v>
      </c>
      <c r="T244">
        <f ca="1"/>
        <v>0</v>
      </c>
      <c r="U244">
        <f ca="1"/>
        <v>0.94263997293751944</v>
      </c>
      <c r="W244" s="2">
        <f t="shared" ca="1" si="22"/>
        <v>45361</v>
      </c>
      <c r="X244">
        <f t="shared" ca="1" si="23"/>
        <v>0</v>
      </c>
      <c r="Z244" s="63">
        <f t="shared" ca="1" si="25"/>
        <v>-7.3200043448990826</v>
      </c>
      <c r="AA244" s="63">
        <f t="shared" ca="1" si="26"/>
        <v>-7.3200043448990826</v>
      </c>
      <c r="AB244" s="3">
        <f t="shared" ca="1" si="27"/>
        <v>0</v>
      </c>
    </row>
    <row r="245" spans="7:28">
      <c r="G245" t="b">
        <f t="shared" ca="1" si="24"/>
        <v>0</v>
      </c>
      <c r="H245" t="b">
        <f t="shared" ca="1" si="21"/>
        <v>0</v>
      </c>
      <c r="I245" s="2">
        <f ca="1"/>
        <v>45362</v>
      </c>
      <c r="J245">
        <f ca="1"/>
        <v>-9.7624407872267156</v>
      </c>
      <c r="K245">
        <f ca="1"/>
        <v>1.2955740319855984</v>
      </c>
      <c r="L245">
        <f ca="1"/>
        <v>-0.1327951113012773</v>
      </c>
      <c r="M245">
        <f ca="1"/>
        <v>0.24262528092609525</v>
      </c>
      <c r="N245">
        <f ca="1"/>
        <v>0</v>
      </c>
      <c r="O245">
        <f ca="1"/>
        <v>30.417025245412198</v>
      </c>
      <c r="P245">
        <f ca="1"/>
        <v>28.145624009553494</v>
      </c>
      <c r="Q245">
        <f ca="1"/>
        <v>0</v>
      </c>
      <c r="R245">
        <f ca="1"/>
        <v>0.27874340715438167</v>
      </c>
      <c r="S245">
        <f ca="1"/>
        <v>0</v>
      </c>
      <c r="T245">
        <f ca="1"/>
        <v>0</v>
      </c>
      <c r="U245">
        <f ca="1"/>
        <v>0.94907722947985851</v>
      </c>
      <c r="W245" s="2">
        <f t="shared" ca="1" si="22"/>
        <v>45362</v>
      </c>
      <c r="X245">
        <f t="shared" ca="1" si="23"/>
        <v>0</v>
      </c>
      <c r="Z245" s="63">
        <f t="shared" ca="1" si="25"/>
        <v>-8.4668667552411172</v>
      </c>
      <c r="AA245" s="63">
        <f t="shared" ca="1" si="26"/>
        <v>-8.4668667552411172</v>
      </c>
      <c r="AB245" s="3">
        <f t="shared" ca="1" si="27"/>
        <v>0</v>
      </c>
    </row>
    <row r="246" spans="7:28">
      <c r="G246" t="b">
        <f t="shared" ca="1" si="24"/>
        <v>0</v>
      </c>
      <c r="H246" t="b">
        <f t="shared" ca="1" si="21"/>
        <v>0</v>
      </c>
      <c r="I246" s="2">
        <f ca="1"/>
        <v>45363</v>
      </c>
      <c r="J246">
        <f ca="1"/>
        <v>-11.013695366324429</v>
      </c>
      <c r="K246">
        <f ca="1"/>
        <v>1.3664899455114252</v>
      </c>
      <c r="L246">
        <f ca="1"/>
        <v>-0.13970006683010183</v>
      </c>
      <c r="M246">
        <f ca="1"/>
        <v>0.25493543324381412</v>
      </c>
      <c r="N246">
        <f ca="1"/>
        <v>0</v>
      </c>
      <c r="O246">
        <f ca="1"/>
        <v>31.783515190923623</v>
      </c>
      <c r="P246">
        <f ca="1"/>
        <v>29.41007087471829</v>
      </c>
      <c r="Q246">
        <f ca="1"/>
        <v>0</v>
      </c>
      <c r="R246">
        <f ca="1"/>
        <v>0.3039876751416194</v>
      </c>
      <c r="S246">
        <f ca="1"/>
        <v>0</v>
      </c>
      <c r="T246">
        <f ca="1"/>
        <v>0</v>
      </c>
      <c r="U246">
        <f ca="1"/>
        <v>0.95491730306098155</v>
      </c>
      <c r="W246" s="2">
        <f t="shared" ca="1" si="22"/>
        <v>45363</v>
      </c>
      <c r="X246">
        <f t="shared" ca="1" si="23"/>
        <v>0</v>
      </c>
      <c r="Z246" s="63">
        <f t="shared" ca="1" si="25"/>
        <v>-9.6472054208130036</v>
      </c>
      <c r="AA246" s="63">
        <f t="shared" ca="1" si="26"/>
        <v>-9.6472054208130036</v>
      </c>
      <c r="AB246" s="3">
        <f t="shared" ca="1" si="27"/>
        <v>0</v>
      </c>
    </row>
    <row r="247" spans="7:28">
      <c r="G247" t="b">
        <f t="shared" ca="1" si="24"/>
        <v>0</v>
      </c>
      <c r="H247" t="b">
        <f t="shared" ca="1" si="21"/>
        <v>0</v>
      </c>
      <c r="I247" s="2">
        <f ca="1"/>
        <v>45364</v>
      </c>
      <c r="J247">
        <f ca="1"/>
        <v>-12.282660798758785</v>
      </c>
      <c r="K247">
        <f ca="1"/>
        <v>1.3867875029930303</v>
      </c>
      <c r="L247">
        <f ca="1"/>
        <v>-0.13379004613396717</v>
      </c>
      <c r="M247">
        <f ca="1"/>
        <v>0.25161211669264066</v>
      </c>
      <c r="N247">
        <f ca="1"/>
        <v>0</v>
      </c>
      <c r="O247">
        <f ca="1"/>
        <v>33.170302693916653</v>
      </c>
      <c r="P247">
        <f ca="1"/>
        <v>30.693299570669627</v>
      </c>
      <c r="Q247">
        <f ca="1"/>
        <v>0</v>
      </c>
      <c r="R247">
        <f ca="1"/>
        <v>0.3154318991654812</v>
      </c>
      <c r="S247">
        <f ca="1"/>
        <v>0</v>
      </c>
      <c r="T247">
        <f ca="1"/>
        <v>0</v>
      </c>
      <c r="U247">
        <f ca="1"/>
        <v>0.96001254731419772</v>
      </c>
      <c r="W247" s="2">
        <f t="shared" ca="1" si="22"/>
        <v>45364</v>
      </c>
      <c r="X247">
        <f t="shared" ca="1" si="23"/>
        <v>0</v>
      </c>
      <c r="Z247" s="63">
        <f t="shared" ca="1" si="25"/>
        <v>-10.895873295765755</v>
      </c>
      <c r="AA247" s="63">
        <f t="shared" ca="1" si="26"/>
        <v>-10.895873295765755</v>
      </c>
      <c r="AB247" s="3">
        <f t="shared" ca="1" si="27"/>
        <v>0</v>
      </c>
    </row>
    <row r="248" spans="7:28">
      <c r="G248" t="b">
        <f t="shared" ca="1" si="24"/>
        <v>0</v>
      </c>
      <c r="H248" t="b">
        <f t="shared" ca="1" si="21"/>
        <v>0</v>
      </c>
      <c r="I248" s="2">
        <f ca="1"/>
        <v>45365</v>
      </c>
      <c r="J248">
        <f ca="1"/>
        <v>-13.598269742115638</v>
      </c>
      <c r="K248">
        <f ca="1"/>
        <v>1.4450044006019525</v>
      </c>
      <c r="L248">
        <f ca="1"/>
        <v>-0.11657404172246544</v>
      </c>
      <c r="M248">
        <f ca="1"/>
        <v>0.24596949896756468</v>
      </c>
      <c r="N248">
        <f ca="1"/>
        <v>0</v>
      </c>
      <c r="O248">
        <f ca="1"/>
        <v>34.615307094518606</v>
      </c>
      <c r="P248">
        <f ca="1"/>
        <v>32.030397798499358</v>
      </c>
      <c r="Q248">
        <f ca="1"/>
        <v>0</v>
      </c>
      <c r="R248">
        <f ca="1"/>
        <v>0.28937186985464214</v>
      </c>
      <c r="S248">
        <f ca="1"/>
        <v>0</v>
      </c>
      <c r="T248">
        <f ca="1"/>
        <v>0</v>
      </c>
      <c r="U248">
        <f ca="1"/>
        <v>0.96457917906594526</v>
      </c>
      <c r="W248" s="2">
        <f t="shared" ca="1" si="22"/>
        <v>45365</v>
      </c>
      <c r="X248">
        <f t="shared" ca="1" si="23"/>
        <v>0</v>
      </c>
      <c r="Z248" s="63">
        <f t="shared" ca="1" si="25"/>
        <v>-12.153265341513686</v>
      </c>
      <c r="AA248" s="63">
        <f t="shared" ca="1" si="26"/>
        <v>-12.153265341513686</v>
      </c>
      <c r="AB248" s="3">
        <f t="shared" ca="1" si="27"/>
        <v>0</v>
      </c>
    </row>
    <row r="249" spans="7:28">
      <c r="G249" t="b">
        <f t="shared" ca="1" si="24"/>
        <v>0</v>
      </c>
      <c r="H249" t="b">
        <f t="shared" ca="1" si="21"/>
        <v>0</v>
      </c>
      <c r="I249" s="2">
        <f ca="1"/>
        <v>45366</v>
      </c>
      <c r="J249">
        <f ca="1"/>
        <v>-14.959563907854669</v>
      </c>
      <c r="K249">
        <f ca="1"/>
        <v>1.4978190111221679</v>
      </c>
      <c r="L249">
        <f ca="1"/>
        <v>-0.10859103865569608</v>
      </c>
      <c r="M249">
        <f ca="1"/>
        <v>0.24511588403883292</v>
      </c>
      <c r="N249">
        <f ca="1"/>
        <v>0</v>
      </c>
      <c r="O249">
        <f ca="1"/>
        <v>36.113126105640774</v>
      </c>
      <c r="P249">
        <f ca="1"/>
        <v>33.416366688661107</v>
      </c>
      <c r="Q249">
        <f ca="1"/>
        <v>0</v>
      </c>
      <c r="R249">
        <f ca="1"/>
        <v>0.2848533491436307</v>
      </c>
      <c r="S249">
        <f ca="1"/>
        <v>0</v>
      </c>
      <c r="T249">
        <f ca="1"/>
        <v>0</v>
      </c>
      <c r="U249">
        <f ca="1"/>
        <v>0.96864643928327399</v>
      </c>
      <c r="W249" s="2">
        <f t="shared" ca="1" si="22"/>
        <v>45366</v>
      </c>
      <c r="X249">
        <f t="shared" ca="1" si="23"/>
        <v>0</v>
      </c>
      <c r="Z249" s="63">
        <f t="shared" ca="1" si="25"/>
        <v>-13.461744896732501</v>
      </c>
      <c r="AA249" s="63">
        <f t="shared" ca="1" si="26"/>
        <v>-13.461744896732501</v>
      </c>
      <c r="AB249" s="3">
        <f t="shared" ca="1" si="27"/>
        <v>0</v>
      </c>
    </row>
    <row r="250" spans="7:28">
      <c r="G250" t="b">
        <f t="shared" ca="1" si="24"/>
        <v>0</v>
      </c>
      <c r="H250" t="b">
        <f t="shared" ca="1" si="21"/>
        <v>0</v>
      </c>
      <c r="I250" s="2">
        <f ca="1"/>
        <v>45367</v>
      </c>
      <c r="J250">
        <f ca="1"/>
        <v>-16.349805717773606</v>
      </c>
      <c r="K250">
        <f ca="1"/>
        <v>1.5305623301935469</v>
      </c>
      <c r="L250">
        <f ca="1"/>
        <v>-0.10076561883953161</v>
      </c>
      <c r="M250">
        <f ca="1"/>
        <v>0.24108613911414178</v>
      </c>
      <c r="N250">
        <f ca="1"/>
        <v>0</v>
      </c>
      <c r="O250">
        <f ca="1"/>
        <v>37.643688435834321</v>
      </c>
      <c r="P250">
        <f ca="1"/>
        <v>34.832633779911632</v>
      </c>
      <c r="Q250">
        <f ca="1"/>
        <v>0</v>
      </c>
      <c r="R250">
        <f ca="1"/>
        <v>0.28342571659887333</v>
      </c>
      <c r="S250">
        <f ca="1"/>
        <v>0</v>
      </c>
      <c r="T250">
        <f ca="1"/>
        <v>0</v>
      </c>
      <c r="U250">
        <f ca="1"/>
        <v>0.9722192334453319</v>
      </c>
      <c r="W250" s="2">
        <f t="shared" ca="1" si="22"/>
        <v>45367</v>
      </c>
      <c r="X250">
        <f t="shared" ca="1" si="23"/>
        <v>0</v>
      </c>
      <c r="Z250" s="63">
        <f t="shared" ca="1" si="25"/>
        <v>-14.819243387580059</v>
      </c>
      <c r="AA250" s="63">
        <f t="shared" ca="1" si="26"/>
        <v>-14.819243387580059</v>
      </c>
      <c r="AB250" s="3">
        <f t="shared" ca="1" si="27"/>
        <v>0</v>
      </c>
    </row>
    <row r="251" spans="7:28">
      <c r="G251" t="b">
        <f t="shared" ca="1" si="24"/>
        <v>0</v>
      </c>
      <c r="H251" t="b">
        <f t="shared" ca="1" si="21"/>
        <v>0</v>
      </c>
      <c r="I251" s="2">
        <f ca="1"/>
        <v>45368</v>
      </c>
      <c r="J251">
        <f ca="1"/>
        <v>-17.683099428034854</v>
      </c>
      <c r="K251">
        <f ca="1"/>
        <v>1.4646014259994899</v>
      </c>
      <c r="L251">
        <f ca="1"/>
        <v>-9.0039767094602041E-2</v>
      </c>
      <c r="M251">
        <f ca="1"/>
        <v>0.22134748283284492</v>
      </c>
      <c r="N251">
        <f ca="1"/>
        <v>0</v>
      </c>
      <c r="O251">
        <f ca="1"/>
        <v>39.108289861833811</v>
      </c>
      <c r="P251">
        <f ca="1"/>
        <v>36.187865618904667</v>
      </c>
      <c r="Q251">
        <f ca="1"/>
        <v>0</v>
      </c>
      <c r="R251">
        <f ca="1"/>
        <v>0.28892026311921892</v>
      </c>
      <c r="S251">
        <f ca="1"/>
        <v>0</v>
      </c>
      <c r="T251">
        <f ca="1"/>
        <v>0</v>
      </c>
      <c r="U251">
        <f ca="1"/>
        <v>0.97517626581360473</v>
      </c>
      <c r="W251" s="2">
        <f t="shared" ca="1" si="22"/>
        <v>45368</v>
      </c>
      <c r="X251">
        <f t="shared" ca="1" si="23"/>
        <v>0</v>
      </c>
      <c r="Z251" s="63">
        <f t="shared" ca="1" si="25"/>
        <v>-16.218498002035364</v>
      </c>
      <c r="AA251" s="63">
        <f t="shared" ca="1" si="26"/>
        <v>-16.218498002035364</v>
      </c>
      <c r="AB251" s="3">
        <f t="shared" ca="1" si="27"/>
        <v>0</v>
      </c>
    </row>
    <row r="252" spans="7:28">
      <c r="G252" t="b">
        <f t="shared" ca="1" si="24"/>
        <v>0</v>
      </c>
      <c r="H252" t="b">
        <f t="shared" ca="1" si="21"/>
        <v>0</v>
      </c>
      <c r="I252" s="2">
        <f ca="1"/>
        <v>45369</v>
      </c>
      <c r="J252">
        <f ca="1"/>
        <v>-19.138623987557462</v>
      </c>
      <c r="K252">
        <f ca="1"/>
        <v>1.6037019506227352</v>
      </c>
      <c r="L252">
        <f ca="1"/>
        <v>-8.7690645049740112E-2</v>
      </c>
      <c r="M252">
        <f ca="1"/>
        <v>0.23586803614986834</v>
      </c>
      <c r="N252">
        <f ca="1"/>
        <v>0</v>
      </c>
      <c r="O252">
        <f ca="1"/>
        <v>40.711991812456546</v>
      </c>
      <c r="P252">
        <f ca="1"/>
        <v>37.67181060568219</v>
      </c>
      <c r="Q252">
        <f ca="1"/>
        <v>0</v>
      </c>
      <c r="R252">
        <f ca="1"/>
        <v>0.28109147849878324</v>
      </c>
      <c r="S252">
        <f ca="1"/>
        <v>0</v>
      </c>
      <c r="T252">
        <f ca="1"/>
        <v>0</v>
      </c>
      <c r="U252">
        <f ca="1"/>
        <v>0.97798023129199152</v>
      </c>
      <c r="W252" s="2">
        <f t="shared" ca="1" si="22"/>
        <v>45369</v>
      </c>
      <c r="X252">
        <f t="shared" ca="1" si="23"/>
        <v>0</v>
      </c>
      <c r="Z252" s="63">
        <f t="shared" ca="1" si="25"/>
        <v>-17.534922036934727</v>
      </c>
      <c r="AA252" s="63">
        <f t="shared" ca="1" si="26"/>
        <v>-17.534922036934727</v>
      </c>
      <c r="AB252" s="3">
        <f t="shared" ca="1" si="27"/>
        <v>0</v>
      </c>
    </row>
    <row r="253" spans="7:28">
      <c r="G253" t="b">
        <f t="shared" ca="1" si="24"/>
        <v>0</v>
      </c>
      <c r="H253" t="b">
        <f t="shared" ca="1" si="21"/>
        <v>0</v>
      </c>
      <c r="I253" s="2">
        <f ca="1"/>
        <v>45370</v>
      </c>
      <c r="J253">
        <f ca="1"/>
        <v>-20.716515877344289</v>
      </c>
      <c r="K253">
        <f ca="1"/>
        <v>1.7427644925852235</v>
      </c>
      <c r="L253">
        <f ca="1"/>
        <v>-8.2032040797486161E-2</v>
      </c>
      <c r="M253">
        <f ca="1"/>
        <v>0.24690464359588191</v>
      </c>
      <c r="N253">
        <f ca="1"/>
        <v>0</v>
      </c>
      <c r="O253">
        <f ca="1"/>
        <v>42.454756305041769</v>
      </c>
      <c r="P253">
        <f ca="1"/>
        <v>39.284433593950986</v>
      </c>
      <c r="Q253">
        <f ca="1"/>
        <v>0</v>
      </c>
      <c r="R253">
        <f ca="1"/>
        <v>0.26483389000551394</v>
      </c>
      <c r="S253">
        <f ca="1"/>
        <v>0</v>
      </c>
      <c r="T253">
        <f ca="1"/>
        <v>0</v>
      </c>
      <c r="U253">
        <f ca="1"/>
        <v>0.98059743733784166</v>
      </c>
      <c r="W253" s="2">
        <f t="shared" ca="1" si="22"/>
        <v>45370</v>
      </c>
      <c r="X253">
        <f t="shared" ca="1" si="23"/>
        <v>0</v>
      </c>
      <c r="Z253" s="63">
        <f t="shared" ca="1" si="25"/>
        <v>-18.973751384759066</v>
      </c>
      <c r="AA253" s="63">
        <f t="shared" ca="1" si="26"/>
        <v>-18.973751384759066</v>
      </c>
      <c r="AB253" s="3">
        <f t="shared" ca="1" si="27"/>
        <v>0</v>
      </c>
    </row>
    <row r="254" spans="7:28">
      <c r="G254" t="b">
        <f t="shared" ca="1" si="24"/>
        <v>0</v>
      </c>
      <c r="H254" t="b">
        <f t="shared" ca="1" si="21"/>
        <v>0</v>
      </c>
      <c r="I254" s="2">
        <f ca="1"/>
        <v>45371</v>
      </c>
      <c r="J254">
        <f ca="1"/>
        <v>-22.302871093986564</v>
      </c>
      <c r="K254">
        <f ca="1"/>
        <v>1.7502037930122114</v>
      </c>
      <c r="L254">
        <f ca="1"/>
        <v>-7.2511041447640423E-2</v>
      </c>
      <c r="M254">
        <f ca="1"/>
        <v>0.23635961781757694</v>
      </c>
      <c r="N254">
        <f ca="1"/>
        <v>0</v>
      </c>
      <c r="O254">
        <f ca="1"/>
        <v>44.204960098053981</v>
      </c>
      <c r="P254">
        <f ca="1"/>
        <v>40.903940350472027</v>
      </c>
      <c r="Q254">
        <f ca="1"/>
        <v>0</v>
      </c>
      <c r="R254">
        <f ca="1"/>
        <v>0.25585241596794878</v>
      </c>
      <c r="S254">
        <f ca="1"/>
        <v>0</v>
      </c>
      <c r="T254">
        <f ca="1"/>
        <v>0</v>
      </c>
      <c r="U254">
        <f ca="1"/>
        <v>0.98285097159596346</v>
      </c>
      <c r="W254" s="2">
        <f t="shared" ca="1" si="22"/>
        <v>45371</v>
      </c>
      <c r="X254">
        <f t="shared" ca="1" si="23"/>
        <v>0</v>
      </c>
      <c r="Z254" s="63">
        <f t="shared" ca="1" si="25"/>
        <v>-20.552667300974353</v>
      </c>
      <c r="AA254" s="63">
        <f t="shared" ca="1" si="26"/>
        <v>-20.552667300974353</v>
      </c>
      <c r="AB254" s="3">
        <f t="shared" ca="1" si="27"/>
        <v>0</v>
      </c>
    </row>
    <row r="255" spans="7:28">
      <c r="G255" t="b">
        <f t="shared" ca="1" si="24"/>
        <v>0</v>
      </c>
      <c r="H255" t="b">
        <f t="shared" ca="1" si="21"/>
        <v>0</v>
      </c>
      <c r="I255" s="2">
        <f ca="1"/>
        <v>45372</v>
      </c>
      <c r="J255">
        <f ca="1"/>
        <v>-23.894319233649366</v>
      </c>
      <c r="K255">
        <f ca="1"/>
        <v>1.7534818464262827</v>
      </c>
      <c r="L255">
        <f ca="1"/>
        <v>-6.4929313390415189E-2</v>
      </c>
      <c r="M255">
        <f ca="1"/>
        <v>0.22696302015389516</v>
      </c>
      <c r="N255">
        <f ca="1"/>
        <v>0</v>
      </c>
      <c r="O255">
        <f ca="1"/>
        <v>45.958441944480263</v>
      </c>
      <c r="P255">
        <f ca="1"/>
        <v>42.526480370704142</v>
      </c>
      <c r="Q255">
        <f ca="1"/>
        <v>0</v>
      </c>
      <c r="R255">
        <f ca="1"/>
        <v>0.25003592532944197</v>
      </c>
      <c r="S255">
        <f ca="1"/>
        <v>0</v>
      </c>
      <c r="T255">
        <f ca="1"/>
        <v>0</v>
      </c>
      <c r="U255">
        <f ca="1"/>
        <v>0.98479525479391383</v>
      </c>
      <c r="W255" s="2">
        <f t="shared" ca="1" si="22"/>
        <v>45372</v>
      </c>
      <c r="X255">
        <f t="shared" ca="1" si="23"/>
        <v>0</v>
      </c>
      <c r="Z255" s="63">
        <f t="shared" ca="1" si="25"/>
        <v>-22.140837387223083</v>
      </c>
      <c r="AA255" s="63">
        <f t="shared" ca="1" si="26"/>
        <v>-22.140837387223083</v>
      </c>
      <c r="AB255" s="3">
        <f t="shared" ca="1" si="27"/>
        <v>0</v>
      </c>
    </row>
    <row r="256" spans="7:28">
      <c r="G256" t="b">
        <f t="shared" ca="1" si="24"/>
        <v>0</v>
      </c>
      <c r="H256" t="b">
        <f t="shared" ca="1" si="21"/>
        <v>0</v>
      </c>
      <c r="I256" s="2">
        <f ca="1"/>
        <v>45373</v>
      </c>
      <c r="J256">
        <f ca="1"/>
        <v>-25.470380872344798</v>
      </c>
      <c r="K256">
        <f ca="1"/>
        <v>1.7337180213756653</v>
      </c>
      <c r="L256">
        <f ca="1"/>
        <v>-6.2427049171567717E-2</v>
      </c>
      <c r="M256">
        <f ca="1"/>
        <v>0.22008343185179946</v>
      </c>
      <c r="N256">
        <f ca="1"/>
        <v>0</v>
      </c>
      <c r="O256">
        <f ca="1"/>
        <v>47.692159965855929</v>
      </c>
      <c r="P256">
        <f ca="1"/>
        <v>44.130732435938114</v>
      </c>
      <c r="Q256">
        <f ca="1"/>
        <v>0</v>
      </c>
      <c r="R256">
        <f ca="1"/>
        <v>0.26540167763137296</v>
      </c>
      <c r="S256">
        <f ca="1"/>
        <v>0</v>
      </c>
      <c r="T256">
        <f ca="1"/>
        <v>0</v>
      </c>
      <c r="U256">
        <f ca="1"/>
        <v>0.98645934794188228</v>
      </c>
      <c r="W256" s="2">
        <f t="shared" ca="1" si="22"/>
        <v>45373</v>
      </c>
      <c r="X256">
        <f t="shared" ca="1" si="23"/>
        <v>0</v>
      </c>
      <c r="Z256" s="63">
        <f t="shared" ca="1" si="25"/>
        <v>-23.736662850969132</v>
      </c>
      <c r="AA256" s="63">
        <f t="shared" ca="1" si="26"/>
        <v>-23.736662850969132</v>
      </c>
      <c r="AB256" s="3">
        <f t="shared" ca="1" si="27"/>
        <v>0</v>
      </c>
    </row>
    <row r="257" spans="7:28">
      <c r="G257" t="b">
        <f t="shared" ca="1" si="24"/>
        <v>0</v>
      </c>
      <c r="H257" t="b">
        <f t="shared" ca="1" si="21"/>
        <v>0</v>
      </c>
      <c r="I257" s="2">
        <f ca="1"/>
        <v>45374</v>
      </c>
      <c r="J257">
        <f ca="1"/>
        <v>-27.103348146140583</v>
      </c>
      <c r="K257">
        <f ca="1"/>
        <v>1.7960170278099312</v>
      </c>
      <c r="L257">
        <f ca="1"/>
        <v>-5.7399290529666303E-2</v>
      </c>
      <c r="M257">
        <f ca="1"/>
        <v>0.22044904454381409</v>
      </c>
      <c r="N257">
        <f ca="1"/>
        <v>0</v>
      </c>
      <c r="O257">
        <f ca="1"/>
        <v>49.48817699366586</v>
      </c>
      <c r="P257">
        <f ca="1"/>
        <v>45.792631309073933</v>
      </c>
      <c r="Q257">
        <f ca="1"/>
        <v>0</v>
      </c>
      <c r="R257">
        <f ca="1"/>
        <v>0.2575627456519986</v>
      </c>
      <c r="S257">
        <f ca="1"/>
        <v>0</v>
      </c>
      <c r="T257">
        <f ca="1"/>
        <v>0</v>
      </c>
      <c r="U257">
        <f ca="1"/>
        <v>0.98795556065201229</v>
      </c>
      <c r="W257" s="2">
        <f t="shared" ca="1" si="22"/>
        <v>45374</v>
      </c>
      <c r="X257">
        <f t="shared" ca="1" si="23"/>
        <v>0</v>
      </c>
      <c r="Z257" s="63">
        <f t="shared" ca="1" si="25"/>
        <v>-25.307331118330652</v>
      </c>
      <c r="AA257" s="63">
        <f t="shared" ca="1" si="26"/>
        <v>-25.307331118330652</v>
      </c>
      <c r="AB257" s="3">
        <f t="shared" ca="1" si="27"/>
        <v>0</v>
      </c>
    </row>
    <row r="258" spans="7:28">
      <c r="G258" t="b">
        <f t="shared" ca="1" si="24"/>
        <v>0</v>
      </c>
      <c r="H258" t="b">
        <f t="shared" ca="1" si="21"/>
        <v>0</v>
      </c>
      <c r="I258" s="2">
        <f ca="1"/>
        <v>45375</v>
      </c>
      <c r="J258">
        <f ca="1"/>
        <v>-28.814811128439381</v>
      </c>
      <c r="K258">
        <f ca="1"/>
        <v>1.8832435322581134</v>
      </c>
      <c r="L258">
        <f ca="1"/>
        <v>-5.7566338220389923E-2</v>
      </c>
      <c r="M258">
        <f ca="1"/>
        <v>0.22934688817970394</v>
      </c>
      <c r="N258">
        <f ca="1"/>
        <v>0</v>
      </c>
      <c r="O258">
        <f ca="1"/>
        <v>51.371420525923973</v>
      </c>
      <c r="P258">
        <f ca="1"/>
        <v>47.535243019117964</v>
      </c>
      <c r="Q258">
        <f ca="1"/>
        <v>0</v>
      </c>
      <c r="R258">
        <f ca="1"/>
        <v>0.27034912768271646</v>
      </c>
      <c r="S258">
        <f ca="1"/>
        <v>0</v>
      </c>
      <c r="T258">
        <f ca="1"/>
        <v>0</v>
      </c>
      <c r="U258">
        <f ca="1"/>
        <v>0.98931494994631919</v>
      </c>
      <c r="W258" s="2">
        <f t="shared" ca="1" si="22"/>
        <v>45375</v>
      </c>
      <c r="X258">
        <f t="shared" ca="1" si="23"/>
        <v>0</v>
      </c>
      <c r="Z258" s="63">
        <f t="shared" ca="1" si="25"/>
        <v>-26.931567596181267</v>
      </c>
      <c r="AA258" s="63">
        <f t="shared" ca="1" si="26"/>
        <v>-26.931567596181267</v>
      </c>
      <c r="AB258" s="3">
        <f t="shared" ca="1" si="27"/>
        <v>0</v>
      </c>
    </row>
    <row r="259" spans="7:28">
      <c r="G259" t="b">
        <f t="shared" ca="1" si="24"/>
        <v>0</v>
      </c>
      <c r="H259" t="b">
        <f t="shared" ca="1" si="21"/>
        <v>0</v>
      </c>
      <c r="I259" s="2">
        <f ca="1"/>
        <v>45376</v>
      </c>
      <c r="J259">
        <f ca="1"/>
        <v>-30.477537114636455</v>
      </c>
      <c r="K259">
        <f ca="1"/>
        <v>1.8252176408243201</v>
      </c>
      <c r="L259">
        <f ca="1"/>
        <v>-4.713113408234193E-2</v>
      </c>
      <c r="M259">
        <f ca="1"/>
        <v>0.2096227887095877</v>
      </c>
      <c r="N259">
        <f ca="1"/>
        <v>0</v>
      </c>
      <c r="O259">
        <f ca="1"/>
        <v>53.196638166748293</v>
      </c>
      <c r="P259">
        <f ca="1"/>
        <v>49.224161940010589</v>
      </c>
      <c r="Q259">
        <f ca="1"/>
        <v>0</v>
      </c>
      <c r="R259">
        <f ca="1"/>
        <v>0.25002373389330584</v>
      </c>
      <c r="S259">
        <f ca="1"/>
        <v>0</v>
      </c>
      <c r="T259">
        <f ca="1"/>
        <v>0</v>
      </c>
      <c r="U259">
        <f ca="1"/>
        <v>0.99045979429930975</v>
      </c>
      <c r="W259" s="2">
        <f t="shared" ca="1" si="22"/>
        <v>45376</v>
      </c>
      <c r="X259">
        <f t="shared" ca="1" si="23"/>
        <v>0</v>
      </c>
      <c r="Z259" s="63">
        <f t="shared" ca="1" si="25"/>
        <v>-28.652319473812135</v>
      </c>
      <c r="AA259" s="63">
        <f t="shared" ca="1" si="26"/>
        <v>-28.652319473812135</v>
      </c>
      <c r="AB259" s="3">
        <f t="shared" ca="1" si="27"/>
        <v>0</v>
      </c>
    </row>
    <row r="260" spans="7:28">
      <c r="G260" t="b">
        <f t="shared" ca="1" si="24"/>
        <v>0</v>
      </c>
      <c r="H260" t="b">
        <f t="shared" ca="1" si="21"/>
        <v>0</v>
      </c>
      <c r="I260" s="2">
        <f ca="1"/>
        <v>45377</v>
      </c>
      <c r="J260">
        <f ca="1"/>
        <v>-32.287437530050134</v>
      </c>
      <c r="K260">
        <f ca="1"/>
        <v>1.9884438130167155</v>
      </c>
      <c r="L260">
        <f ca="1"/>
        <v>-4.5845795592072136E-2</v>
      </c>
      <c r="M260">
        <f ca="1"/>
        <v>0.22438919319510811</v>
      </c>
      <c r="N260">
        <f ca="1"/>
        <v>0</v>
      </c>
      <c r="O260">
        <f ca="1"/>
        <v>55.185081979765009</v>
      </c>
      <c r="P260">
        <f ca="1"/>
        <v>51.064118065691645</v>
      </c>
      <c r="Q260">
        <f ca="1"/>
        <v>0</v>
      </c>
      <c r="R260">
        <f ca="1"/>
        <v>0.24491055946579968</v>
      </c>
      <c r="S260">
        <f ca="1"/>
        <v>0</v>
      </c>
      <c r="T260">
        <f ca="1"/>
        <v>0</v>
      </c>
      <c r="U260">
        <f ca="1"/>
        <v>0.99154390375751633</v>
      </c>
      <c r="W260" s="2">
        <f t="shared" ca="1" si="22"/>
        <v>45377</v>
      </c>
      <c r="X260">
        <f t="shared" ca="1" si="23"/>
        <v>0</v>
      </c>
      <c r="Z260" s="63">
        <f t="shared" ca="1" si="25"/>
        <v>-30.298993717033419</v>
      </c>
      <c r="AA260" s="63">
        <f t="shared" ca="1" si="26"/>
        <v>-30.298993717033419</v>
      </c>
      <c r="AB260" s="3">
        <f t="shared" ca="1" si="27"/>
        <v>0</v>
      </c>
    </row>
    <row r="261" spans="7:28">
      <c r="G261" t="b">
        <f t="shared" ca="1" si="24"/>
        <v>0</v>
      </c>
      <c r="H261" t="b">
        <f t="shared" ca="1" si="21"/>
        <v>0</v>
      </c>
      <c r="I261" s="2">
        <f ca="1"/>
        <v>45378</v>
      </c>
      <c r="J261">
        <f ca="1"/>
        <v>-34.201630608731222</v>
      </c>
      <c r="K261">
        <f ca="1"/>
        <v>2.1028337375286625</v>
      </c>
      <c r="L261">
        <f ca="1"/>
        <v>-4.2822475036068397E-2</v>
      </c>
      <c r="M261">
        <f ca="1"/>
        <v>0.23146313388364537</v>
      </c>
      <c r="N261">
        <f ca="1"/>
        <v>0</v>
      </c>
      <c r="O261">
        <f ca="1"/>
        <v>57.287915717293671</v>
      </c>
      <c r="P261">
        <f ca="1"/>
        <v>53.009922011132133</v>
      </c>
      <c r="Q261">
        <f ca="1"/>
        <v>0</v>
      </c>
      <c r="R261">
        <f ca="1"/>
        <v>0.2379030701903084</v>
      </c>
      <c r="S261">
        <f ca="1"/>
        <v>0</v>
      </c>
      <c r="T261">
        <f ca="1"/>
        <v>0</v>
      </c>
      <c r="U261">
        <f ca="1"/>
        <v>0.99253447861539001</v>
      </c>
      <c r="W261" s="2">
        <f t="shared" ca="1" si="22"/>
        <v>45378</v>
      </c>
      <c r="X261">
        <f t="shared" ca="1" si="23"/>
        <v>0</v>
      </c>
      <c r="Z261" s="63">
        <f t="shared" ca="1" si="25"/>
        <v>-32.098796871202559</v>
      </c>
      <c r="AA261" s="63">
        <f t="shared" ca="1" si="26"/>
        <v>-32.098796871202559</v>
      </c>
      <c r="AB261" s="3">
        <f t="shared" ca="1" si="27"/>
        <v>0</v>
      </c>
    </row>
    <row r="262" spans="7:28">
      <c r="G262" t="b">
        <f t="shared" ca="1" si="24"/>
        <v>0</v>
      </c>
      <c r="H262" t="b">
        <f t="shared" ca="1" si="21"/>
        <v>0</v>
      </c>
      <c r="I262" s="2">
        <f ca="1"/>
        <v>45379</v>
      </c>
      <c r="J262">
        <f ca="1"/>
        <v>-36.156560301834396</v>
      </c>
      <c r="K262">
        <f ca="1"/>
        <v>2.1453087295691802</v>
      </c>
      <c r="L262">
        <f ca="1"/>
        <v>-3.8901005267483413E-2</v>
      </c>
      <c r="M262">
        <f ca="1"/>
        <v>0.22928004173348579</v>
      </c>
      <c r="N262">
        <f ca="1"/>
        <v>0</v>
      </c>
      <c r="O262">
        <f ca="1"/>
        <v>59.433224446862852</v>
      </c>
      <c r="P262">
        <f ca="1"/>
        <v>54.995029114791926</v>
      </c>
      <c r="Q262">
        <f ca="1"/>
        <v>0</v>
      </c>
      <c r="R262">
        <f ca="1"/>
        <v>0.23364798520291766</v>
      </c>
      <c r="S262">
        <f ca="1"/>
        <v>0</v>
      </c>
      <c r="T262">
        <f ca="1"/>
        <v>0</v>
      </c>
      <c r="U262">
        <f ca="1"/>
        <v>0.99340648042097035</v>
      </c>
      <c r="W262" s="2">
        <f t="shared" ca="1" si="22"/>
        <v>45379</v>
      </c>
      <c r="X262">
        <f t="shared" ca="1" si="23"/>
        <v>0</v>
      </c>
      <c r="Z262" s="63">
        <f t="shared" ca="1" si="25"/>
        <v>-34.011251572265216</v>
      </c>
      <c r="AA262" s="63">
        <f t="shared" ca="1" si="26"/>
        <v>-34.011251572265216</v>
      </c>
      <c r="AB262" s="3">
        <f t="shared" ca="1" si="27"/>
        <v>0</v>
      </c>
    </row>
    <row r="263" spans="7:28">
      <c r="G263" t="b">
        <f t="shared" ca="1" si="24"/>
        <v>0</v>
      </c>
      <c r="H263" t="b">
        <f t="shared" ref="H263:H326" ca="1" si="28">AND(IF(I263&gt;($I$3-1),TRUE,FALSE),IF(I263&lt;($I$4+1),TRUE,FALSE))</f>
        <v>0</v>
      </c>
      <c r="I263" s="2">
        <f ca="1"/>
        <v>45380</v>
      </c>
      <c r="J263">
        <f ca="1"/>
        <v>-38.164881624373315</v>
      </c>
      <c r="K263">
        <f ca="1"/>
        <v>2.2056715856374325</v>
      </c>
      <c r="L263">
        <f ca="1"/>
        <v>-4.0370835506415403E-2</v>
      </c>
      <c r="M263">
        <f ca="1"/>
        <v>0.23772109860492921</v>
      </c>
      <c r="N263">
        <f ca="1"/>
        <v>0</v>
      </c>
      <c r="O263">
        <f ca="1"/>
        <v>61.638896032500284</v>
      </c>
      <c r="P263">
        <f ca="1"/>
        <v>57.035991458644745</v>
      </c>
      <c r="Q263">
        <f ca="1"/>
        <v>0</v>
      </c>
      <c r="R263">
        <f ca="1"/>
        <v>0.26186399188108928</v>
      </c>
      <c r="S263">
        <f ca="1"/>
        <v>0</v>
      </c>
      <c r="T263">
        <f ca="1"/>
        <v>0</v>
      </c>
      <c r="U263">
        <f ca="1"/>
        <v>0.9941806342862094</v>
      </c>
      <c r="W263" s="2">
        <f t="shared" ref="W263:W326" ca="1" si="29">IFERROR(I263,$W$5)</f>
        <v>45380</v>
      </c>
      <c r="X263">
        <f t="shared" ref="X263:X326" ca="1" si="30">IFERROR(N263,0)</f>
        <v>0</v>
      </c>
      <c r="Z263" s="63">
        <f t="shared" ca="1" si="25"/>
        <v>-35.959210038735883</v>
      </c>
      <c r="AA263" s="63">
        <f t="shared" ca="1" si="26"/>
        <v>-35.959210038735883</v>
      </c>
      <c r="AB263" s="3">
        <f t="shared" ca="1" si="27"/>
        <v>0</v>
      </c>
    </row>
    <row r="264" spans="7:28">
      <c r="G264" t="b">
        <f t="shared" ref="G264:G327" ca="1" si="31">IF(I264&lt;$I$4,TRUE,FALSE)</f>
        <v>0</v>
      </c>
      <c r="H264" t="b">
        <f t="shared" ca="1" si="28"/>
        <v>0</v>
      </c>
      <c r="I264" s="2">
        <f ca="1"/>
        <v>45381</v>
      </c>
      <c r="J264">
        <f ca="1"/>
        <v>-40.094596475695205</v>
      </c>
      <c r="K264">
        <f ca="1"/>
        <v>2.1162218493153375</v>
      </c>
      <c r="L264">
        <f ca="1"/>
        <v>-3.5751947445312737E-2</v>
      </c>
      <c r="M264">
        <f ca="1"/>
        <v>0.2222589454387591</v>
      </c>
      <c r="N264">
        <f ca="1"/>
        <v>0</v>
      </c>
      <c r="O264">
        <f ca="1"/>
        <v>63.755117881815622</v>
      </c>
      <c r="P264">
        <f ca="1"/>
        <v>58.994183754277437</v>
      </c>
      <c r="Q264">
        <f ca="1"/>
        <v>0</v>
      </c>
      <c r="R264">
        <f ca="1"/>
        <v>0.27041561743823633</v>
      </c>
      <c r="S264">
        <f ca="1"/>
        <v>0</v>
      </c>
      <c r="T264">
        <f ca="1"/>
        <v>0</v>
      </c>
      <c r="U264">
        <f ca="1"/>
        <v>0.99482510418926695</v>
      </c>
      <c r="W264" s="2">
        <f t="shared" ca="1" si="29"/>
        <v>45381</v>
      </c>
      <c r="X264">
        <f t="shared" ca="1" si="30"/>
        <v>0</v>
      </c>
      <c r="Z264" s="63">
        <f t="shared" ca="1" si="25"/>
        <v>-37.978374626379868</v>
      </c>
      <c r="AA264" s="63">
        <f t="shared" ca="1" si="26"/>
        <v>-37.978374626379868</v>
      </c>
      <c r="AB264" s="3">
        <f t="shared" ca="1" si="27"/>
        <v>0</v>
      </c>
    </row>
    <row r="265" spans="7:28">
      <c r="G265" t="b">
        <f t="shared" ca="1" si="31"/>
        <v>0</v>
      </c>
      <c r="H265" t="b">
        <f t="shared" ca="1" si="28"/>
        <v>0</v>
      </c>
      <c r="I265" s="2">
        <f ca="1"/>
        <v>45382</v>
      </c>
      <c r="J265">
        <f ca="1"/>
        <v>-41.985300534379377</v>
      </c>
      <c r="K265">
        <f ca="1"/>
        <v>2.0701284627267569</v>
      </c>
      <c r="L265">
        <f ca="1"/>
        <v>-3.0540277930420245E-2</v>
      </c>
      <c r="M265">
        <f ca="1"/>
        <v>0.20996468197300752</v>
      </c>
      <c r="N265">
        <f ca="1"/>
        <v>0</v>
      </c>
      <c r="O265">
        <f ca="1"/>
        <v>65.825246344542379</v>
      </c>
      <c r="P265">
        <f ca="1"/>
        <v>60.909724701930443</v>
      </c>
      <c r="Q265">
        <f ca="1"/>
        <v>0</v>
      </c>
      <c r="R265">
        <f ca="1"/>
        <v>0.26348955036657035</v>
      </c>
      <c r="S265">
        <f ca="1"/>
        <v>0</v>
      </c>
      <c r="T265">
        <f ca="1"/>
        <v>0</v>
      </c>
      <c r="U265">
        <f ca="1"/>
        <v>0.99537651816358008</v>
      </c>
      <c r="W265" s="2">
        <f t="shared" ca="1" si="29"/>
        <v>45382</v>
      </c>
      <c r="X265">
        <f t="shared" ca="1" si="30"/>
        <v>0</v>
      </c>
      <c r="Z265" s="63">
        <f t="shared" ca="1" si="25"/>
        <v>-39.91517207165262</v>
      </c>
      <c r="AA265" s="63">
        <f t="shared" ca="1" si="26"/>
        <v>-39.91517207165262</v>
      </c>
      <c r="AB265" s="3">
        <f t="shared" ca="1" si="27"/>
        <v>0</v>
      </c>
    </row>
    <row r="266" spans="7:28">
      <c r="G266" t="b">
        <f t="shared" ca="1" si="31"/>
        <v>0</v>
      </c>
      <c r="H266" t="b">
        <f t="shared" ca="1" si="28"/>
        <v>0</v>
      </c>
      <c r="I266" s="2">
        <f ca="1"/>
        <v>45383</v>
      </c>
      <c r="J266">
        <f ca="1"/>
        <v>-43.991595385439844</v>
      </c>
      <c r="K266">
        <f ca="1"/>
        <v>2.1966385511385909</v>
      </c>
      <c r="L266">
        <f ca="1"/>
        <v>-2.7869952072386184E-2</v>
      </c>
      <c r="M266">
        <f ca="1"/>
        <v>0.21821365215050709</v>
      </c>
      <c r="N266">
        <f ca="1"/>
        <v>0</v>
      </c>
      <c r="O266">
        <f ca="1"/>
        <v>68.021884895680969</v>
      </c>
      <c r="P266">
        <f ca="1"/>
        <v>62.942328556068425</v>
      </c>
      <c r="Q266">
        <f ca="1"/>
        <v>0</v>
      </c>
      <c r="R266">
        <f ca="1"/>
        <v>0.25448340769968375</v>
      </c>
      <c r="S266">
        <f ca="1"/>
        <v>0</v>
      </c>
      <c r="T266">
        <f ca="1"/>
        <v>0</v>
      </c>
      <c r="U266">
        <f ca="1"/>
        <v>0.99588875226358242</v>
      </c>
      <c r="W266" s="2">
        <f t="shared" ca="1" si="29"/>
        <v>45383</v>
      </c>
      <c r="X266">
        <f t="shared" ca="1" si="30"/>
        <v>0</v>
      </c>
      <c r="Z266" s="63">
        <f t="shared" ca="1" si="25"/>
        <v>-41.794956834301253</v>
      </c>
      <c r="AA266" s="63">
        <f t="shared" ca="1" si="26"/>
        <v>-41.794956834301253</v>
      </c>
      <c r="AB266" s="3">
        <f t="shared" ca="1" si="27"/>
        <v>0</v>
      </c>
    </row>
    <row r="267" spans="7:28">
      <c r="G267" t="b">
        <f t="shared" ca="1" si="31"/>
        <v>0</v>
      </c>
      <c r="H267" t="b">
        <f t="shared" ca="1" si="28"/>
        <v>0</v>
      </c>
      <c r="I267" s="2">
        <f ca="1"/>
        <v>45384</v>
      </c>
      <c r="J267">
        <f ca="1"/>
        <v>-45.975724735307018</v>
      </c>
      <c r="K267">
        <f ca="1"/>
        <v>2.1705830230977909</v>
      </c>
      <c r="L267">
        <f ca="1"/>
        <v>-2.4663676747884722E-2</v>
      </c>
      <c r="M267">
        <f ca="1"/>
        <v>0.21111734997849829</v>
      </c>
      <c r="N267">
        <f ca="1"/>
        <v>0</v>
      </c>
      <c r="O267">
        <f ca="1"/>
        <v>70.19246791877876</v>
      </c>
      <c r="P267">
        <f ca="1"/>
        <v>64.950822587181634</v>
      </c>
      <c r="Q267">
        <f ca="1"/>
        <v>0</v>
      </c>
      <c r="R267">
        <f ca="1"/>
        <v>0.256574589432221</v>
      </c>
      <c r="S267">
        <f ca="1"/>
        <v>0</v>
      </c>
      <c r="T267">
        <f ca="1"/>
        <v>0</v>
      </c>
      <c r="U267">
        <f ca="1"/>
        <v>0.99633186139563545</v>
      </c>
      <c r="W267" s="2">
        <f t="shared" ca="1" si="29"/>
        <v>45384</v>
      </c>
      <c r="X267">
        <f t="shared" ca="1" si="30"/>
        <v>0</v>
      </c>
      <c r="Z267" s="63">
        <f t="shared" ca="1" si="25"/>
        <v>-43.805141712209227</v>
      </c>
      <c r="AA267" s="63">
        <f t="shared" ca="1" si="26"/>
        <v>-43.805141712209227</v>
      </c>
      <c r="AB267" s="3">
        <f t="shared" ca="1" si="27"/>
        <v>0</v>
      </c>
    </row>
    <row r="268" spans="7:28">
      <c r="G268" t="b">
        <f t="shared" ca="1" si="31"/>
        <v>0</v>
      </c>
      <c r="H268" t="b">
        <f t="shared" ca="1" si="28"/>
        <v>0</v>
      </c>
      <c r="I268" s="2">
        <f ca="1"/>
        <v>45385</v>
      </c>
      <c r="J268">
        <f ca="1"/>
        <v>-47.916352247085385</v>
      </c>
      <c r="K268">
        <f ca="1"/>
        <v>2.1218879135409452</v>
      </c>
      <c r="L268">
        <f ca="1"/>
        <v>-2.1866388136501769E-2</v>
      </c>
      <c r="M268">
        <f ca="1"/>
        <v>0.2031267898990792</v>
      </c>
      <c r="N268">
        <f ca="1"/>
        <v>0</v>
      </c>
      <c r="O268">
        <f ca="1"/>
        <v>72.314355832319706</v>
      </c>
      <c r="P268">
        <f ca="1"/>
        <v>66.914257831854286</v>
      </c>
      <c r="Q268">
        <f ca="1"/>
        <v>0</v>
      </c>
      <c r="R268">
        <f ca="1"/>
        <v>0.26291075099168287</v>
      </c>
      <c r="S268">
        <f ca="1"/>
        <v>0</v>
      </c>
      <c r="T268">
        <f ca="1"/>
        <v>0</v>
      </c>
      <c r="U268">
        <f ca="1"/>
        <v>0.99671306985041985</v>
      </c>
      <c r="W268" s="2">
        <f t="shared" ca="1" si="29"/>
        <v>45385</v>
      </c>
      <c r="X268">
        <f t="shared" ca="1" si="30"/>
        <v>0</v>
      </c>
      <c r="Z268" s="63">
        <f t="shared" ref="Z268:Z331" ca="1" si="32">J267+L268+M268+N268</f>
        <v>-45.79446433354444</v>
      </c>
      <c r="AA268" s="63">
        <f t="shared" ref="AA268:AA331" ca="1" si="33">J268+K268+Q268</f>
        <v>-45.79446433354444</v>
      </c>
      <c r="AB268" s="3">
        <f t="shared" ref="AB268:AB331" ca="1" si="34">AA268-Z268</f>
        <v>0</v>
      </c>
    </row>
    <row r="269" spans="7:28">
      <c r="G269" t="b">
        <f t="shared" ca="1" si="31"/>
        <v>0</v>
      </c>
      <c r="H269" t="b">
        <f t="shared" ca="1" si="28"/>
        <v>0</v>
      </c>
      <c r="I269" s="2">
        <f ca="1"/>
        <v>45386</v>
      </c>
      <c r="J269">
        <f ca="1"/>
        <v>-49.851232203126294</v>
      </c>
      <c r="K269">
        <f ca="1"/>
        <v>2.1143726414220509</v>
      </c>
      <c r="L269">
        <f ca="1"/>
        <v>-1.9026521747072422E-2</v>
      </c>
      <c r="M269">
        <f ca="1"/>
        <v>0.19851920712821469</v>
      </c>
      <c r="N269">
        <f ca="1"/>
        <v>0</v>
      </c>
      <c r="O269">
        <f ca="1"/>
        <v>74.428728473741756</v>
      </c>
      <c r="P269">
        <f ca="1"/>
        <v>68.87073900979351</v>
      </c>
      <c r="Q269">
        <f ca="1"/>
        <v>0</v>
      </c>
      <c r="R269">
        <f ca="1"/>
        <v>0.26139698932824346</v>
      </c>
      <c r="S269">
        <f ca="1"/>
        <v>0</v>
      </c>
      <c r="T269">
        <f ca="1"/>
        <v>0</v>
      </c>
      <c r="U269">
        <f ca="1"/>
        <v>0.99704884414634343</v>
      </c>
      <c r="W269" s="2">
        <f t="shared" ca="1" si="29"/>
        <v>45386</v>
      </c>
      <c r="X269">
        <f t="shared" ca="1" si="30"/>
        <v>0</v>
      </c>
      <c r="Z269" s="63">
        <f t="shared" ca="1" si="32"/>
        <v>-47.736859561704243</v>
      </c>
      <c r="AA269" s="63">
        <f t="shared" ca="1" si="33"/>
        <v>-47.736859561704243</v>
      </c>
      <c r="AB269" s="3">
        <f t="shared" ca="1" si="34"/>
        <v>0</v>
      </c>
    </row>
    <row r="270" spans="7:28">
      <c r="G270" t="b">
        <f t="shared" ca="1" si="31"/>
        <v>0</v>
      </c>
      <c r="H270" t="b">
        <f t="shared" ca="1" si="28"/>
        <v>0</v>
      </c>
      <c r="I270" s="2">
        <f ca="1"/>
        <v>45387</v>
      </c>
      <c r="J270">
        <f ca="1"/>
        <v>-51.832118933258073</v>
      </c>
      <c r="K270">
        <f ca="1"/>
        <v>2.1676639388154513</v>
      </c>
      <c r="L270">
        <f ca="1"/>
        <v>-1.7881788282998912E-2</v>
      </c>
      <c r="M270">
        <f ca="1"/>
        <v>0.20465899696667347</v>
      </c>
      <c r="N270">
        <f ca="1"/>
        <v>0</v>
      </c>
      <c r="O270">
        <f ca="1"/>
        <v>76.596392412557208</v>
      </c>
      <c r="P270">
        <f ca="1"/>
        <v>70.876531940190915</v>
      </c>
      <c r="Q270">
        <f ca="1"/>
        <v>0</v>
      </c>
      <c r="R270">
        <f ca="1"/>
        <v>0.27763203031272349</v>
      </c>
      <c r="S270">
        <f ca="1"/>
        <v>0</v>
      </c>
      <c r="T270">
        <f ca="1"/>
        <v>0</v>
      </c>
      <c r="U270">
        <f ca="1"/>
        <v>0.99735351908552861</v>
      </c>
      <c r="W270" s="2">
        <f t="shared" ca="1" si="29"/>
        <v>45387</v>
      </c>
      <c r="X270">
        <f t="shared" ca="1" si="30"/>
        <v>0</v>
      </c>
      <c r="Z270" s="63">
        <f t="shared" ca="1" si="32"/>
        <v>-49.664454994442622</v>
      </c>
      <c r="AA270" s="63">
        <f t="shared" ca="1" si="33"/>
        <v>-49.664454994442622</v>
      </c>
      <c r="AB270" s="3">
        <f t="shared" ca="1" si="34"/>
        <v>0</v>
      </c>
    </row>
    <row r="271" spans="7:28">
      <c r="G271" t="b">
        <f t="shared" ca="1" si="31"/>
        <v>0</v>
      </c>
      <c r="H271" t="b">
        <f t="shared" ca="1" si="28"/>
        <v>0</v>
      </c>
      <c r="I271" s="2">
        <f ca="1"/>
        <v>45388</v>
      </c>
      <c r="J271">
        <f ca="1"/>
        <v>-53.817117756994847</v>
      </c>
      <c r="K271">
        <f ca="1"/>
        <v>2.1796119275465884</v>
      </c>
      <c r="L271">
        <f ca="1"/>
        <v>-1.7094289389874007E-2</v>
      </c>
      <c r="M271">
        <f ca="1"/>
        <v>0.21170739319968843</v>
      </c>
      <c r="N271">
        <f ca="1"/>
        <v>0</v>
      </c>
      <c r="O271">
        <f ca="1"/>
        <v>78.776004340103796</v>
      </c>
      <c r="P271">
        <f ca="1"/>
        <v>72.893380639381746</v>
      </c>
      <c r="Q271">
        <f ca="1"/>
        <v>0</v>
      </c>
      <c r="R271">
        <f ca="1"/>
        <v>0.31483719928218457</v>
      </c>
      <c r="S271">
        <f ca="1"/>
        <v>0</v>
      </c>
      <c r="T271">
        <f ca="1"/>
        <v>0</v>
      </c>
      <c r="U271">
        <f ca="1"/>
        <v>0.99762482208341552</v>
      </c>
      <c r="W271" s="2">
        <f t="shared" ca="1" si="29"/>
        <v>45388</v>
      </c>
      <c r="X271">
        <f t="shared" ca="1" si="30"/>
        <v>0</v>
      </c>
      <c r="Z271" s="63">
        <f t="shared" ca="1" si="32"/>
        <v>-51.637505829448259</v>
      </c>
      <c r="AA271" s="63">
        <f t="shared" ca="1" si="33"/>
        <v>-51.637505829448259</v>
      </c>
      <c r="AB271" s="3">
        <f t="shared" ca="1" si="34"/>
        <v>0</v>
      </c>
    </row>
    <row r="272" spans="7:28">
      <c r="G272" t="b">
        <f t="shared" ca="1" si="31"/>
        <v>0</v>
      </c>
      <c r="H272" t="b">
        <f t="shared" ca="1" si="28"/>
        <v>0</v>
      </c>
      <c r="I272" s="2">
        <f ca="1"/>
        <v>45389</v>
      </c>
      <c r="J272">
        <f ca="1"/>
        <v>-55.829051737137632</v>
      </c>
      <c r="K272">
        <f ca="1"/>
        <v>2.2117799482818441</v>
      </c>
      <c r="L272">
        <f ca="1"/>
        <v>-1.4277842551713604E-2</v>
      </c>
      <c r="M272">
        <f ca="1"/>
        <v>0.2141238106907703</v>
      </c>
      <c r="N272">
        <f ca="1"/>
        <v>0</v>
      </c>
      <c r="O272">
        <f ca="1"/>
        <v>80.98778428838564</v>
      </c>
      <c r="P272">
        <f ca="1"/>
        <v>74.939995201915281</v>
      </c>
      <c r="Q272">
        <f ca="1"/>
        <v>0</v>
      </c>
      <c r="R272">
        <f ca="1"/>
        <v>0.32220894515179321</v>
      </c>
      <c r="S272">
        <f ca="1"/>
        <v>0</v>
      </c>
      <c r="T272">
        <f ca="1"/>
        <v>0</v>
      </c>
      <c r="U272">
        <f ca="1"/>
        <v>0.99786890872188128</v>
      </c>
      <c r="W272" s="2">
        <f t="shared" ca="1" si="29"/>
        <v>45389</v>
      </c>
      <c r="X272">
        <f t="shared" ca="1" si="30"/>
        <v>0</v>
      </c>
      <c r="Z272" s="63">
        <f t="shared" ca="1" si="32"/>
        <v>-53.617271788855788</v>
      </c>
      <c r="AA272" s="63">
        <f t="shared" ca="1" si="33"/>
        <v>-53.617271788855788</v>
      </c>
      <c r="AB272" s="3">
        <f t="shared" ca="1" si="34"/>
        <v>0</v>
      </c>
    </row>
    <row r="273" spans="7:28">
      <c r="G273" t="b">
        <f t="shared" ca="1" si="31"/>
        <v>0</v>
      </c>
      <c r="H273" t="b">
        <f t="shared" ca="1" si="28"/>
        <v>0</v>
      </c>
      <c r="I273" s="2">
        <f ca="1"/>
        <v>45390</v>
      </c>
      <c r="J273">
        <f ca="1"/>
        <v>-57.771638568724441</v>
      </c>
      <c r="K273">
        <f ca="1"/>
        <v>2.1398102778211552</v>
      </c>
      <c r="L273">
        <f ca="1"/>
        <v>-1.1282217887639945E-2</v>
      </c>
      <c r="M273">
        <f ca="1"/>
        <v>0.20850566412198973</v>
      </c>
      <c r="N273">
        <f ca="1"/>
        <v>0</v>
      </c>
      <c r="O273">
        <f ca="1"/>
        <v>83.127594566206795</v>
      </c>
      <c r="P273">
        <f ca="1"/>
        <v>76.920014452496545</v>
      </c>
      <c r="Q273">
        <f ca="1"/>
        <v>0</v>
      </c>
      <c r="R273">
        <f ca="1"/>
        <v>0.34199906759279353</v>
      </c>
      <c r="S273">
        <f ca="1"/>
        <v>0</v>
      </c>
      <c r="T273">
        <f ca="1"/>
        <v>0</v>
      </c>
      <c r="U273">
        <f ca="1"/>
        <v>0.9980789487493712</v>
      </c>
      <c r="W273" s="2">
        <f t="shared" ca="1" si="29"/>
        <v>45390</v>
      </c>
      <c r="X273">
        <f t="shared" ca="1" si="30"/>
        <v>0</v>
      </c>
      <c r="Z273" s="63">
        <f t="shared" ca="1" si="32"/>
        <v>-55.631828290903286</v>
      </c>
      <c r="AA273" s="63">
        <f t="shared" ca="1" si="33"/>
        <v>-55.631828290903286</v>
      </c>
      <c r="AB273" s="3">
        <f t="shared" ca="1" si="34"/>
        <v>0</v>
      </c>
    </row>
    <row r="274" spans="7:28">
      <c r="G274" t="b">
        <f t="shared" ca="1" si="31"/>
        <v>0</v>
      </c>
      <c r="H274" t="b">
        <f t="shared" ca="1" si="28"/>
        <v>0</v>
      </c>
      <c r="I274" s="2">
        <f ca="1"/>
        <v>45391</v>
      </c>
      <c r="J274">
        <f ca="1"/>
        <v>-59.574221735517924</v>
      </c>
      <c r="K274">
        <f ca="1"/>
        <v>1.9859966965468487</v>
      </c>
      <c r="L274">
        <f ca="1"/>
        <v>-7.6894999481567083E-3</v>
      </c>
      <c r="M274">
        <f ca="1"/>
        <v>0.19110302970152176</v>
      </c>
      <c r="N274">
        <f ca="1"/>
        <v>0</v>
      </c>
      <c r="O274">
        <f ca="1"/>
        <v>85.113591262753644</v>
      </c>
      <c r="P274">
        <f ca="1"/>
        <v>78.75770620092463</v>
      </c>
      <c r="Q274">
        <f ca="1"/>
        <v>0</v>
      </c>
      <c r="R274">
        <f ca="1"/>
        <v>0.3461056189980124</v>
      </c>
      <c r="S274">
        <f ca="1"/>
        <v>0</v>
      </c>
      <c r="T274">
        <f ca="1"/>
        <v>0</v>
      </c>
      <c r="U274">
        <f ca="1"/>
        <v>0.99825372046094196</v>
      </c>
      <c r="W274" s="2">
        <f t="shared" ca="1" si="29"/>
        <v>45391</v>
      </c>
      <c r="X274">
        <f t="shared" ca="1" si="30"/>
        <v>0</v>
      </c>
      <c r="Z274" s="63">
        <f t="shared" ca="1" si="32"/>
        <v>-57.588225038971075</v>
      </c>
      <c r="AA274" s="63">
        <f t="shared" ca="1" si="33"/>
        <v>-57.588225038971075</v>
      </c>
      <c r="AB274" s="3">
        <f t="shared" ca="1" si="34"/>
        <v>0</v>
      </c>
    </row>
    <row r="275" spans="7:28">
      <c r="G275" t="b">
        <f t="shared" ca="1" si="31"/>
        <v>0</v>
      </c>
      <c r="H275" t="b">
        <f t="shared" ca="1" si="28"/>
        <v>0</v>
      </c>
      <c r="I275" s="2">
        <f ca="1"/>
        <v>45392</v>
      </c>
      <c r="J275">
        <f ca="1"/>
        <v>-61.431526753041965</v>
      </c>
      <c r="K275">
        <f ca="1"/>
        <v>2.0457481955017727</v>
      </c>
      <c r="L275">
        <f ca="1"/>
        <v>-4.8628345015160335E-3</v>
      </c>
      <c r="M275">
        <f ca="1"/>
        <v>0.19330601247925072</v>
      </c>
      <c r="N275">
        <f ca="1"/>
        <v>0</v>
      </c>
      <c r="O275">
        <f ca="1"/>
        <v>87.159339458255417</v>
      </c>
      <c r="P275">
        <f ca="1"/>
        <v>80.650687485723353</v>
      </c>
      <c r="Q275">
        <f ca="1"/>
        <v>0</v>
      </c>
      <c r="R275">
        <f ca="1"/>
        <v>0.33702715777810371</v>
      </c>
      <c r="S275">
        <f ca="1"/>
        <v>0</v>
      </c>
      <c r="T275">
        <f ca="1"/>
        <v>0</v>
      </c>
      <c r="U275">
        <f ca="1"/>
        <v>0.99841581365738719</v>
      </c>
      <c r="W275" s="2">
        <f t="shared" ca="1" si="29"/>
        <v>45392</v>
      </c>
      <c r="X275">
        <f t="shared" ca="1" si="30"/>
        <v>0</v>
      </c>
      <c r="Z275" s="63">
        <f t="shared" ca="1" si="32"/>
        <v>-59.385778557540192</v>
      </c>
      <c r="AA275" s="63">
        <f t="shared" ca="1" si="33"/>
        <v>-59.385778557540192</v>
      </c>
      <c r="AB275" s="3">
        <f t="shared" ca="1" si="34"/>
        <v>0</v>
      </c>
    </row>
    <row r="276" spans="7:28">
      <c r="G276" t="b">
        <f t="shared" ca="1" si="31"/>
        <v>0</v>
      </c>
      <c r="H276" t="b">
        <f t="shared" ca="1" si="28"/>
        <v>0</v>
      </c>
      <c r="I276" s="2">
        <f ca="1"/>
        <v>45393</v>
      </c>
      <c r="J276">
        <f ca="1"/>
        <v>-63.2787770403312</v>
      </c>
      <c r="K276">
        <f ca="1"/>
        <v>2.0356298157177406</v>
      </c>
      <c r="L276">
        <f ca="1"/>
        <v>-2.1969374786721119E-3</v>
      </c>
      <c r="M276">
        <f ca="1"/>
        <v>0.19057646590717484</v>
      </c>
      <c r="N276">
        <f ca="1"/>
        <v>0</v>
      </c>
      <c r="O276">
        <f ca="1"/>
        <v>89.194969273973157</v>
      </c>
      <c r="P276">
        <f ca="1"/>
        <v>82.534305984033608</v>
      </c>
      <c r="Q276">
        <f ca="1"/>
        <v>0</v>
      </c>
      <c r="R276">
        <f ca="1"/>
        <v>0.33682383161146245</v>
      </c>
      <c r="S276">
        <f ca="1"/>
        <v>0</v>
      </c>
      <c r="T276">
        <f ca="1"/>
        <v>0</v>
      </c>
      <c r="U276">
        <f ca="1"/>
        <v>0.99856107081195544</v>
      </c>
      <c r="W276" s="2">
        <f t="shared" ca="1" si="29"/>
        <v>45393</v>
      </c>
      <c r="X276">
        <f t="shared" ca="1" si="30"/>
        <v>0</v>
      </c>
      <c r="Z276" s="63">
        <f t="shared" ca="1" si="32"/>
        <v>-61.243147224613459</v>
      </c>
      <c r="AA276" s="63">
        <f t="shared" ca="1" si="33"/>
        <v>-61.243147224613459</v>
      </c>
      <c r="AB276" s="3">
        <f t="shared" ca="1" si="34"/>
        <v>0</v>
      </c>
    </row>
    <row r="277" spans="7:28">
      <c r="G277" t="b">
        <f t="shared" ca="1" si="31"/>
        <v>0</v>
      </c>
      <c r="H277" t="b">
        <f t="shared" ca="1" si="28"/>
        <v>0</v>
      </c>
      <c r="I277" s="2">
        <f ca="1"/>
        <v>45394</v>
      </c>
      <c r="J277">
        <f ca="1"/>
        <v>-65.212933467583753</v>
      </c>
      <c r="K277">
        <f ca="1"/>
        <v>2.1313946102985</v>
      </c>
      <c r="L277">
        <f ca="1"/>
        <v>3.3804123179947965E-4</v>
      </c>
      <c r="M277">
        <f ca="1"/>
        <v>0.19690014181414811</v>
      </c>
      <c r="N277">
        <f ca="1"/>
        <v>0</v>
      </c>
      <c r="O277">
        <f ca="1"/>
        <v>91.326363884271657</v>
      </c>
      <c r="P277">
        <f ca="1"/>
        <v>84.506538009796827</v>
      </c>
      <c r="Q277">
        <f ca="1"/>
        <v>0</v>
      </c>
      <c r="R277">
        <f ca="1"/>
        <v>0.3292339614223817</v>
      </c>
      <c r="S277">
        <f ca="1"/>
        <v>0</v>
      </c>
      <c r="T277">
        <f ca="1"/>
        <v>0</v>
      </c>
      <c r="U277">
        <f ca="1"/>
        <v>0.99869795811293649</v>
      </c>
      <c r="W277" s="2">
        <f t="shared" ca="1" si="29"/>
        <v>45394</v>
      </c>
      <c r="X277">
        <f t="shared" ca="1" si="30"/>
        <v>0</v>
      </c>
      <c r="Z277" s="63">
        <f t="shared" ca="1" si="32"/>
        <v>-63.081538857285253</v>
      </c>
      <c r="AA277" s="63">
        <f t="shared" ca="1" si="33"/>
        <v>-63.081538857285253</v>
      </c>
      <c r="AB277" s="3">
        <f t="shared" ca="1" si="34"/>
        <v>0</v>
      </c>
    </row>
    <row r="278" spans="7:28">
      <c r="G278" t="b">
        <f t="shared" ca="1" si="31"/>
        <v>0</v>
      </c>
      <c r="H278" t="b">
        <f t="shared" ca="1" si="28"/>
        <v>0</v>
      </c>
      <c r="I278" s="2">
        <f ca="1"/>
        <v>45395</v>
      </c>
      <c r="J278">
        <f ca="1"/>
        <v>-67.096322227062899</v>
      </c>
      <c r="K278">
        <f ca="1"/>
        <v>2.0735846269367073</v>
      </c>
      <c r="L278">
        <f ca="1"/>
        <v>2.6044312846451589E-3</v>
      </c>
      <c r="M278">
        <f ca="1"/>
        <v>0.18759143617292098</v>
      </c>
      <c r="N278">
        <f ca="1"/>
        <v>0</v>
      </c>
      <c r="O278">
        <f ca="1"/>
        <v>93.399948511208365</v>
      </c>
      <c r="P278">
        <f ca="1"/>
        <v>86.425277031475261</v>
      </c>
      <c r="Q278">
        <f ca="1"/>
        <v>0</v>
      </c>
      <c r="R278">
        <f ca="1"/>
        <v>0.31962825867595657</v>
      </c>
      <c r="S278">
        <f ca="1"/>
        <v>0</v>
      </c>
      <c r="T278">
        <f ca="1"/>
        <v>0</v>
      </c>
      <c r="U278">
        <f ca="1"/>
        <v>0.99881787225046048</v>
      </c>
      <c r="W278" s="2">
        <f t="shared" ca="1" si="29"/>
        <v>45395</v>
      </c>
      <c r="X278">
        <f t="shared" ca="1" si="30"/>
        <v>0</v>
      </c>
      <c r="Z278" s="63">
        <f t="shared" ca="1" si="32"/>
        <v>-65.022737600126177</v>
      </c>
      <c r="AA278" s="63">
        <f t="shared" ca="1" si="33"/>
        <v>-65.022737600126192</v>
      </c>
      <c r="AB278" s="3">
        <f t="shared" ca="1" si="34"/>
        <v>0</v>
      </c>
    </row>
    <row r="279" spans="7:28">
      <c r="G279" t="b">
        <f t="shared" ca="1" si="31"/>
        <v>0</v>
      </c>
      <c r="H279" t="b">
        <f t="shared" ca="1" si="28"/>
        <v>0</v>
      </c>
      <c r="I279" s="2">
        <f ca="1"/>
        <v>45396</v>
      </c>
      <c r="J279">
        <f ca="1"/>
        <v>-69.152490731069719</v>
      </c>
      <c r="K279">
        <f ca="1"/>
        <v>2.2603502560332061</v>
      </c>
      <c r="L279">
        <f ca="1"/>
        <v>4.7148248876922594E-3</v>
      </c>
      <c r="M279">
        <f ca="1"/>
        <v>0.19946692713870159</v>
      </c>
      <c r="N279">
        <f ca="1"/>
        <v>0</v>
      </c>
      <c r="O279">
        <f ca="1"/>
        <v>95.660298767241571</v>
      </c>
      <c r="P279">
        <f ca="1"/>
        <v>88.516834898259248</v>
      </c>
      <c r="Q279">
        <f ca="1"/>
        <v>0</v>
      </c>
      <c r="R279">
        <f ca="1"/>
        <v>0.2967228077868021</v>
      </c>
      <c r="S279">
        <f ca="1"/>
        <v>0</v>
      </c>
      <c r="T279">
        <f ca="1"/>
        <v>0</v>
      </c>
      <c r="U279">
        <f ca="1"/>
        <v>0.99893537743005412</v>
      </c>
      <c r="W279" s="2">
        <f t="shared" ca="1" si="29"/>
        <v>45396</v>
      </c>
      <c r="X279">
        <f t="shared" ca="1" si="30"/>
        <v>0</v>
      </c>
      <c r="Z279" s="63">
        <f t="shared" ca="1" si="32"/>
        <v>-66.892140475036513</v>
      </c>
      <c r="AA279" s="63">
        <f t="shared" ca="1" si="33"/>
        <v>-66.892140475036513</v>
      </c>
      <c r="AB279" s="3">
        <f t="shared" ca="1" si="34"/>
        <v>0</v>
      </c>
    </row>
    <row r="280" spans="7:28">
      <c r="G280" t="b">
        <f t="shared" ca="1" si="31"/>
        <v>0</v>
      </c>
      <c r="H280" t="b">
        <f t="shared" ca="1" si="28"/>
        <v>0</v>
      </c>
      <c r="I280" s="2">
        <f ca="1"/>
        <v>45397</v>
      </c>
      <c r="J280">
        <f ca="1"/>
        <v>-71.158487526407072</v>
      </c>
      <c r="K280">
        <f ca="1"/>
        <v>2.2032654838034773</v>
      </c>
      <c r="L280">
        <f ca="1"/>
        <v>6.3676477998768632E-3</v>
      </c>
      <c r="M280">
        <f ca="1"/>
        <v>0.19090104066625244</v>
      </c>
      <c r="N280">
        <f ca="1"/>
        <v>0</v>
      </c>
      <c r="O280">
        <f ca="1"/>
        <v>97.863564251045048</v>
      </c>
      <c r="P280">
        <f ca="1"/>
        <v>90.555570816713768</v>
      </c>
      <c r="Q280">
        <f ca="1"/>
        <v>0</v>
      </c>
      <c r="R280">
        <f ca="1"/>
        <v>0.28852048663413832</v>
      </c>
      <c r="S280">
        <f ca="1"/>
        <v>0</v>
      </c>
      <c r="T280">
        <f ca="1"/>
        <v>0</v>
      </c>
      <c r="U280">
        <f ca="1"/>
        <v>0.99903814687736769</v>
      </c>
      <c r="W280" s="2">
        <f t="shared" ca="1" si="29"/>
        <v>45397</v>
      </c>
      <c r="X280">
        <f t="shared" ca="1" si="30"/>
        <v>0</v>
      </c>
      <c r="Z280" s="63">
        <f t="shared" ca="1" si="32"/>
        <v>-68.955222042603594</v>
      </c>
      <c r="AA280" s="63">
        <f t="shared" ca="1" si="33"/>
        <v>-68.955222042603594</v>
      </c>
      <c r="AB280" s="3">
        <f t="shared" ca="1" si="34"/>
        <v>0</v>
      </c>
    </row>
    <row r="281" spans="7:28">
      <c r="G281" t="b">
        <f t="shared" ca="1" si="31"/>
        <v>0</v>
      </c>
      <c r="H281" t="b">
        <f t="shared" ca="1" si="28"/>
        <v>0</v>
      </c>
      <c r="I281" s="2">
        <f ca="1"/>
        <v>45398</v>
      </c>
      <c r="J281">
        <f ca="1"/>
        <v>-73.210010885135091</v>
      </c>
      <c r="K281">
        <f ca="1"/>
        <v>2.2553970897928508</v>
      </c>
      <c r="L281">
        <f ca="1"/>
        <v>8.3910547371885968E-3</v>
      </c>
      <c r="M281">
        <f ca="1"/>
        <v>0.19548267632764815</v>
      </c>
      <c r="N281">
        <f ca="1"/>
        <v>0</v>
      </c>
      <c r="O281">
        <f ca="1"/>
        <v>100.1189613408379</v>
      </c>
      <c r="P281">
        <f ca="1"/>
        <v>92.642545396554553</v>
      </c>
      <c r="Q281">
        <f ca="1"/>
        <v>0</v>
      </c>
      <c r="R281">
        <f ca="1"/>
        <v>0.29095509543873449</v>
      </c>
      <c r="S281">
        <f ca="1"/>
        <v>0</v>
      </c>
      <c r="T281">
        <f ca="1"/>
        <v>0</v>
      </c>
      <c r="U281">
        <f ca="1"/>
        <v>0.99913268269370326</v>
      </c>
      <c r="W281" s="2">
        <f t="shared" ca="1" si="29"/>
        <v>45398</v>
      </c>
      <c r="X281">
        <f t="shared" ca="1" si="30"/>
        <v>0</v>
      </c>
      <c r="Z281" s="63">
        <f t="shared" ca="1" si="32"/>
        <v>-70.95461379534224</v>
      </c>
      <c r="AA281" s="63">
        <f t="shared" ca="1" si="33"/>
        <v>-70.95461379534224</v>
      </c>
      <c r="AB281" s="3">
        <f t="shared" ca="1" si="34"/>
        <v>0</v>
      </c>
    </row>
    <row r="282" spans="7:28">
      <c r="G282" t="b">
        <f t="shared" ca="1" si="31"/>
        <v>0</v>
      </c>
      <c r="H282" t="b">
        <f t="shared" ca="1" si="28"/>
        <v>0</v>
      </c>
      <c r="I282" s="2">
        <f ca="1"/>
        <v>45399</v>
      </c>
      <c r="J282">
        <f ca="1"/>
        <v>-75.151934659051761</v>
      </c>
      <c r="K282">
        <f ca="1"/>
        <v>2.1330464783705452</v>
      </c>
      <c r="L282">
        <f ca="1"/>
        <v>9.440938932684162E-3</v>
      </c>
      <c r="M282">
        <f ca="1"/>
        <v>0.18168176552119056</v>
      </c>
      <c r="N282">
        <f ca="1"/>
        <v>0</v>
      </c>
      <c r="O282">
        <f ca="1"/>
        <v>102.25200781920844</v>
      </c>
      <c r="P282">
        <f ca="1"/>
        <v>94.616305936605229</v>
      </c>
      <c r="Q282">
        <f ca="1"/>
        <v>0</v>
      </c>
      <c r="R282">
        <f ca="1"/>
        <v>0.28388886549385578</v>
      </c>
      <c r="S282">
        <f ca="1"/>
        <v>0</v>
      </c>
      <c r="T282">
        <f ca="1"/>
        <v>0</v>
      </c>
      <c r="U282">
        <f ca="1"/>
        <v>0.99921325313976328</v>
      </c>
      <c r="W282" s="2">
        <f t="shared" ca="1" si="29"/>
        <v>45399</v>
      </c>
      <c r="X282">
        <f t="shared" ca="1" si="30"/>
        <v>0</v>
      </c>
      <c r="Z282" s="63">
        <f t="shared" ca="1" si="32"/>
        <v>-73.018888180681216</v>
      </c>
      <c r="AA282" s="63">
        <f t="shared" ca="1" si="33"/>
        <v>-73.018888180681216</v>
      </c>
      <c r="AB282" s="3">
        <f t="shared" ca="1" si="34"/>
        <v>0</v>
      </c>
    </row>
    <row r="283" spans="7:28">
      <c r="G283" t="b">
        <f t="shared" ca="1" si="31"/>
        <v>0</v>
      </c>
      <c r="H283" t="b">
        <f t="shared" ca="1" si="28"/>
        <v>0</v>
      </c>
      <c r="I283" s="2">
        <f ca="1"/>
        <v>45400</v>
      </c>
      <c r="J283">
        <f ca="1"/>
        <v>-77.119525972328958</v>
      </c>
      <c r="K283">
        <f ca="1"/>
        <v>2.1592308906493116</v>
      </c>
      <c r="L283">
        <f ca="1"/>
        <v>1.0571256155039066E-2</v>
      </c>
      <c r="M283">
        <f ca="1"/>
        <v>0.1810683212170757</v>
      </c>
      <c r="N283">
        <f ca="1"/>
        <v>0</v>
      </c>
      <c r="O283">
        <f ca="1"/>
        <v>104.41123870985776</v>
      </c>
      <c r="P283">
        <f ca="1"/>
        <v>96.61429555944629</v>
      </c>
      <c r="Q283">
        <f ca="1"/>
        <v>0</v>
      </c>
      <c r="R283">
        <f ca="1"/>
        <v>0.27178881599574461</v>
      </c>
      <c r="S283">
        <f ca="1"/>
        <v>0</v>
      </c>
      <c r="T283">
        <f ca="1"/>
        <v>0</v>
      </c>
      <c r="U283">
        <f ca="1"/>
        <v>0.99928700382944702</v>
      </c>
      <c r="W283" s="2">
        <f t="shared" ca="1" si="29"/>
        <v>45400</v>
      </c>
      <c r="X283">
        <f t="shared" ca="1" si="30"/>
        <v>0</v>
      </c>
      <c r="Z283" s="63">
        <f t="shared" ca="1" si="32"/>
        <v>-74.960295081679661</v>
      </c>
      <c r="AA283" s="63">
        <f t="shared" ca="1" si="33"/>
        <v>-74.960295081679647</v>
      </c>
      <c r="AB283" s="3">
        <f t="shared" ca="1" si="34"/>
        <v>0</v>
      </c>
    </row>
    <row r="284" spans="7:28">
      <c r="G284" t="b">
        <f t="shared" ca="1" si="31"/>
        <v>0</v>
      </c>
      <c r="H284" t="b">
        <f t="shared" ca="1" si="28"/>
        <v>0</v>
      </c>
      <c r="I284" s="2">
        <f ca="1"/>
        <v>45401</v>
      </c>
      <c r="J284">
        <f ca="1"/>
        <v>-79.152857720215863</v>
      </c>
      <c r="K284">
        <f ca="1"/>
        <v>2.2338276838190865</v>
      </c>
      <c r="L284">
        <f ca="1"/>
        <v>1.2436331028901293E-2</v>
      </c>
      <c r="M284">
        <f ca="1"/>
        <v>0.1880596049032886</v>
      </c>
      <c r="N284">
        <f ca="1"/>
        <v>0</v>
      </c>
      <c r="O284">
        <f ca="1"/>
        <v>106.64506639367684</v>
      </c>
      <c r="P284">
        <f ca="1"/>
        <v>98.681311435707471</v>
      </c>
      <c r="Q284">
        <f ca="1"/>
        <v>0</v>
      </c>
      <c r="R284">
        <f ca="1"/>
        <v>0.27441722822415077</v>
      </c>
      <c r="S284">
        <f ca="1"/>
        <v>0</v>
      </c>
      <c r="T284">
        <f ca="1"/>
        <v>0</v>
      </c>
      <c r="U284">
        <f ca="1"/>
        <v>0.9993559063439188</v>
      </c>
      <c r="W284" s="2">
        <f t="shared" ca="1" si="29"/>
        <v>45401</v>
      </c>
      <c r="X284">
        <f t="shared" ca="1" si="30"/>
        <v>0</v>
      </c>
      <c r="Z284" s="63">
        <f t="shared" ca="1" si="32"/>
        <v>-76.919030036396776</v>
      </c>
      <c r="AA284" s="63">
        <f t="shared" ca="1" si="33"/>
        <v>-76.919030036396776</v>
      </c>
      <c r="AB284" s="3">
        <f t="shared" ca="1" si="34"/>
        <v>0</v>
      </c>
    </row>
    <row r="285" spans="7:28">
      <c r="G285" t="b">
        <f t="shared" ca="1" si="31"/>
        <v>0</v>
      </c>
      <c r="H285" t="b">
        <f t="shared" ca="1" si="28"/>
        <v>0</v>
      </c>
      <c r="I285" s="2">
        <f ca="1"/>
        <v>45402</v>
      </c>
      <c r="J285">
        <f ca="1"/>
        <v>-81.036192813329563</v>
      </c>
      <c r="K285">
        <f ca="1"/>
        <v>2.0700565860732212</v>
      </c>
      <c r="L285">
        <f ca="1"/>
        <v>1.3165670786108308E-2</v>
      </c>
      <c r="M285">
        <f ca="1"/>
        <v>0.17355582217341189</v>
      </c>
      <c r="N285">
        <f ca="1"/>
        <v>0</v>
      </c>
      <c r="O285">
        <f ca="1"/>
        <v>108.71512297975006</v>
      </c>
      <c r="P285">
        <f ca="1"/>
        <v>100.59678587411938</v>
      </c>
      <c r="Q285">
        <f ca="1"/>
        <v>0</v>
      </c>
      <c r="R285">
        <f ca="1"/>
        <v>0.27734027472217782</v>
      </c>
      <c r="S285">
        <f ca="1"/>
        <v>0</v>
      </c>
      <c r="T285">
        <f ca="1"/>
        <v>0</v>
      </c>
      <c r="U285">
        <f ca="1"/>
        <v>0.99941373498163988</v>
      </c>
      <c r="W285" s="2">
        <f t="shared" ca="1" si="29"/>
        <v>45402</v>
      </c>
      <c r="X285">
        <f t="shared" ca="1" si="30"/>
        <v>0</v>
      </c>
      <c r="Z285" s="63">
        <f t="shared" ca="1" si="32"/>
        <v>-78.966136227256342</v>
      </c>
      <c r="AA285" s="63">
        <f t="shared" ca="1" si="33"/>
        <v>-78.966136227256342</v>
      </c>
      <c r="AB285" s="3">
        <f t="shared" ca="1" si="34"/>
        <v>0</v>
      </c>
    </row>
    <row r="286" spans="7:28">
      <c r="G286" t="b">
        <f t="shared" ca="1" si="31"/>
        <v>0</v>
      </c>
      <c r="H286" t="b">
        <f t="shared" ca="1" si="28"/>
        <v>0</v>
      </c>
      <c r="I286" s="2">
        <f ca="1"/>
        <v>45403</v>
      </c>
      <c r="J286">
        <f ca="1"/>
        <v>-82.89036289668195</v>
      </c>
      <c r="K286">
        <f ca="1"/>
        <v>2.0358104281692562</v>
      </c>
      <c r="L286">
        <f ca="1"/>
        <v>1.357457429860176E-2</v>
      </c>
      <c r="M286">
        <f ca="1"/>
        <v>0.16806577051826158</v>
      </c>
      <c r="N286">
        <f ca="1"/>
        <v>0</v>
      </c>
      <c r="O286">
        <f ca="1"/>
        <v>110.75093340791932</v>
      </c>
      <c r="P286">
        <f ca="1"/>
        <v>102.4805714975877</v>
      </c>
      <c r="Q286">
        <f ca="1"/>
        <v>0</v>
      </c>
      <c r="R286">
        <f ca="1"/>
        <v>0.26460097676174388</v>
      </c>
      <c r="S286">
        <f ca="1"/>
        <v>0</v>
      </c>
      <c r="T286">
        <f ca="1"/>
        <v>0</v>
      </c>
      <c r="U286">
        <f ca="1"/>
        <v>0.99946552125821908</v>
      </c>
      <c r="W286" s="2">
        <f t="shared" ca="1" si="29"/>
        <v>45403</v>
      </c>
      <c r="X286">
        <f t="shared" ca="1" si="30"/>
        <v>0</v>
      </c>
      <c r="Z286" s="63">
        <f t="shared" ca="1" si="32"/>
        <v>-80.854552468512694</v>
      </c>
      <c r="AA286" s="63">
        <f t="shared" ca="1" si="33"/>
        <v>-80.854552468512694</v>
      </c>
      <c r="AB286" s="3">
        <f t="shared" ca="1" si="34"/>
        <v>0</v>
      </c>
    </row>
    <row r="287" spans="7:28">
      <c r="G287" t="b">
        <f t="shared" ca="1" si="31"/>
        <v>0</v>
      </c>
      <c r="H287" t="b">
        <f t="shared" ca="1" si="28"/>
        <v>0</v>
      </c>
      <c r="I287" s="2">
        <f ca="1"/>
        <v>45404</v>
      </c>
      <c r="J287">
        <f ca="1"/>
        <v>-84.844908694500077</v>
      </c>
      <c r="K287">
        <f ca="1"/>
        <v>2.1444278874436122</v>
      </c>
      <c r="L287">
        <f ca="1"/>
        <v>1.4593219644588373E-2</v>
      </c>
      <c r="M287">
        <f ca="1"/>
        <v>0.17528886998089216</v>
      </c>
      <c r="N287">
        <f ca="1"/>
        <v>0</v>
      </c>
      <c r="O287">
        <f ca="1"/>
        <v>112.89536129536293</v>
      </c>
      <c r="P287">
        <f ca="1"/>
        <v>104.46486353629363</v>
      </c>
      <c r="Q287">
        <f ca="1"/>
        <v>0</v>
      </c>
      <c r="R287">
        <f ca="1"/>
        <v>0.25239512542618414</v>
      </c>
      <c r="S287">
        <f ca="1"/>
        <v>0</v>
      </c>
      <c r="T287">
        <f ca="1"/>
        <v>0</v>
      </c>
      <c r="U287">
        <f ca="1"/>
        <v>0.99951514651904072</v>
      </c>
      <c r="W287" s="2">
        <f t="shared" ca="1" si="29"/>
        <v>45404</v>
      </c>
      <c r="X287">
        <f t="shared" ca="1" si="30"/>
        <v>0</v>
      </c>
      <c r="Z287" s="63">
        <f t="shared" ca="1" si="32"/>
        <v>-82.700480807056479</v>
      </c>
      <c r="AA287" s="63">
        <f t="shared" ca="1" si="33"/>
        <v>-82.700480807056465</v>
      </c>
      <c r="AB287" s="3">
        <f t="shared" ca="1" si="34"/>
        <v>0</v>
      </c>
    </row>
    <row r="288" spans="7:28">
      <c r="G288" t="b">
        <f t="shared" ca="1" si="31"/>
        <v>0</v>
      </c>
      <c r="H288" t="b">
        <f t="shared" ca="1" si="28"/>
        <v>0</v>
      </c>
      <c r="I288" s="2">
        <f ca="1"/>
        <v>45405</v>
      </c>
      <c r="J288">
        <f ca="1"/>
        <v>-86.695572751032273</v>
      </c>
      <c r="K288">
        <f ca="1"/>
        <v>2.0332616395455432</v>
      </c>
      <c r="L288">
        <f ca="1"/>
        <v>1.5460190927520046E-2</v>
      </c>
      <c r="M288">
        <f ca="1"/>
        <v>0.16713739208583248</v>
      </c>
      <c r="N288">
        <f ca="1"/>
        <v>0</v>
      </c>
      <c r="O288">
        <f ca="1"/>
        <v>114.92862293490847</v>
      </c>
      <c r="P288">
        <f ca="1"/>
        <v>106.34629070275622</v>
      </c>
      <c r="Q288">
        <f ca="1"/>
        <v>0</v>
      </c>
      <c r="R288">
        <f ca="1"/>
        <v>0.25955926017126352</v>
      </c>
      <c r="S288">
        <f ca="1"/>
        <v>0</v>
      </c>
      <c r="T288">
        <f ca="1"/>
        <v>0</v>
      </c>
      <c r="U288">
        <f ca="1"/>
        <v>0.99955797881913488</v>
      </c>
      <c r="W288" s="2">
        <f t="shared" ca="1" si="29"/>
        <v>45405</v>
      </c>
      <c r="X288">
        <f t="shared" ca="1" si="30"/>
        <v>0</v>
      </c>
      <c r="Z288" s="63">
        <f t="shared" ca="1" si="32"/>
        <v>-84.66231111148673</v>
      </c>
      <c r="AA288" s="63">
        <f t="shared" ca="1" si="33"/>
        <v>-84.66231111148673</v>
      </c>
      <c r="AB288" s="3">
        <f t="shared" ca="1" si="34"/>
        <v>0</v>
      </c>
    </row>
    <row r="289" spans="7:28">
      <c r="G289" t="b">
        <f t="shared" ca="1" si="31"/>
        <v>0</v>
      </c>
      <c r="H289" t="b">
        <f t="shared" ca="1" si="28"/>
        <v>0</v>
      </c>
      <c r="I289" s="2">
        <f ca="1"/>
        <v>45406</v>
      </c>
      <c r="J289">
        <f ca="1"/>
        <v>-88.632257865048842</v>
      </c>
      <c r="K289">
        <f ca="1"/>
        <v>2.1312818985135493</v>
      </c>
      <c r="L289">
        <f ca="1"/>
        <v>1.751995633291159E-2</v>
      </c>
      <c r="M289">
        <f ca="1"/>
        <v>0.17707682816407008</v>
      </c>
      <c r="N289">
        <f ca="1"/>
        <v>0</v>
      </c>
      <c r="O289">
        <f ca="1"/>
        <v>117.05990483342202</v>
      </c>
      <c r="P289">
        <f ca="1"/>
        <v>108.31841843352362</v>
      </c>
      <c r="Q289">
        <f ca="1"/>
        <v>0</v>
      </c>
      <c r="R289">
        <f ca="1"/>
        <v>0.26508119098524829</v>
      </c>
      <c r="S289">
        <f ca="1"/>
        <v>0</v>
      </c>
      <c r="T289">
        <f ca="1"/>
        <v>0</v>
      </c>
      <c r="U289">
        <f ca="1"/>
        <v>0.99959888813906128</v>
      </c>
      <c r="W289" s="2">
        <f t="shared" ca="1" si="29"/>
        <v>45406</v>
      </c>
      <c r="X289">
        <f t="shared" ca="1" si="30"/>
        <v>0</v>
      </c>
      <c r="Z289" s="63">
        <f t="shared" ca="1" si="32"/>
        <v>-86.500975966535293</v>
      </c>
      <c r="AA289" s="63">
        <f t="shared" ca="1" si="33"/>
        <v>-86.500975966535293</v>
      </c>
      <c r="AB289" s="3">
        <f t="shared" ca="1" si="34"/>
        <v>0</v>
      </c>
    </row>
    <row r="290" spans="7:28">
      <c r="G290" t="b">
        <f t="shared" ca="1" si="31"/>
        <v>0</v>
      </c>
      <c r="H290" t="b">
        <f t="shared" ca="1" si="28"/>
        <v>0</v>
      </c>
      <c r="I290" s="2">
        <f ca="1"/>
        <v>45407</v>
      </c>
      <c r="J290">
        <f ca="1"/>
        <v>-90.592445208838896</v>
      </c>
      <c r="K290">
        <f ca="1"/>
        <v>2.1535493009592557</v>
      </c>
      <c r="L290">
        <f ca="1"/>
        <v>1.7460413471603431E-2</v>
      </c>
      <c r="M290">
        <f ca="1"/>
        <v>0.17590154369759481</v>
      </c>
      <c r="N290">
        <f ca="1"/>
        <v>0</v>
      </c>
      <c r="O290">
        <f ca="1"/>
        <v>119.21345413438128</v>
      </c>
      <c r="P290">
        <f ca="1"/>
        <v>110.31115074122943</v>
      </c>
      <c r="Q290">
        <f ca="1"/>
        <v>0</v>
      </c>
      <c r="R290">
        <f ca="1"/>
        <v>0.24616229171923976</v>
      </c>
      <c r="S290">
        <f ca="1"/>
        <v>0</v>
      </c>
      <c r="T290">
        <f ca="1"/>
        <v>0</v>
      </c>
      <c r="U290">
        <f ca="1"/>
        <v>0.99963647147785117</v>
      </c>
      <c r="W290" s="2">
        <f t="shared" ca="1" si="29"/>
        <v>45407</v>
      </c>
      <c r="X290">
        <f t="shared" ca="1" si="30"/>
        <v>0</v>
      </c>
      <c r="Z290" s="63">
        <f t="shared" ca="1" si="32"/>
        <v>-88.43889590787964</v>
      </c>
      <c r="AA290" s="63">
        <f t="shared" ca="1" si="33"/>
        <v>-88.43889590787964</v>
      </c>
      <c r="AB290" s="3">
        <f t="shared" ca="1" si="34"/>
        <v>0</v>
      </c>
    </row>
    <row r="291" spans="7:28">
      <c r="G291" t="b">
        <f t="shared" ca="1" si="31"/>
        <v>0</v>
      </c>
      <c r="H291" t="b">
        <f t="shared" ca="1" si="28"/>
        <v>0</v>
      </c>
      <c r="I291" s="2">
        <f ca="1"/>
        <v>45408</v>
      </c>
      <c r="J291">
        <f ca="1"/>
        <v>-92.563735361675995</v>
      </c>
      <c r="K291">
        <f ca="1"/>
        <v>2.1702726969371611</v>
      </c>
      <c r="L291">
        <f ca="1"/>
        <v>1.9271844626942425E-2</v>
      </c>
      <c r="M291">
        <f ca="1"/>
        <v>0.17971069947311888</v>
      </c>
      <c r="N291">
        <f ca="1"/>
        <v>0</v>
      </c>
      <c r="O291">
        <f ca="1"/>
        <v>121.38372683131844</v>
      </c>
      <c r="P291">
        <f ca="1"/>
        <v>112.31935761988881</v>
      </c>
      <c r="Q291">
        <f ca="1"/>
        <v>0</v>
      </c>
      <c r="R291">
        <f ca="1"/>
        <v>0.25487675544484972</v>
      </c>
      <c r="S291">
        <f ca="1"/>
        <v>0</v>
      </c>
      <c r="T291">
        <f ca="1"/>
        <v>0</v>
      </c>
      <c r="U291">
        <f ca="1"/>
        <v>0.99967089447147728</v>
      </c>
      <c r="W291" s="2">
        <f t="shared" ca="1" si="29"/>
        <v>45408</v>
      </c>
      <c r="X291">
        <f t="shared" ca="1" si="30"/>
        <v>0</v>
      </c>
      <c r="Z291" s="63">
        <f t="shared" ca="1" si="32"/>
        <v>-90.393462664738834</v>
      </c>
      <c r="AA291" s="63">
        <f t="shared" ca="1" si="33"/>
        <v>-90.393462664738834</v>
      </c>
      <c r="AB291" s="3">
        <f t="shared" ca="1" si="34"/>
        <v>0</v>
      </c>
    </row>
    <row r="292" spans="7:28">
      <c r="G292" t="b">
        <f t="shared" ca="1" si="31"/>
        <v>0</v>
      </c>
      <c r="H292" t="b">
        <f t="shared" ca="1" si="28"/>
        <v>0</v>
      </c>
      <c r="I292" s="2">
        <f ca="1"/>
        <v>45409</v>
      </c>
      <c r="J292">
        <f ca="1"/>
        <v>-94.570135498231977</v>
      </c>
      <c r="K292">
        <f ca="1"/>
        <v>2.2160406054672706</v>
      </c>
      <c r="L292">
        <f ca="1"/>
        <v>2.1947488704796569E-2</v>
      </c>
      <c r="M292">
        <f ca="1"/>
        <v>0.18769298020649564</v>
      </c>
      <c r="N292">
        <f ca="1"/>
        <v>0</v>
      </c>
      <c r="O292">
        <f ca="1"/>
        <v>123.59976743678571</v>
      </c>
      <c r="P292">
        <f ca="1"/>
        <v>114.36991467364911</v>
      </c>
      <c r="Q292">
        <f ca="1"/>
        <v>0</v>
      </c>
      <c r="R292">
        <f ca="1"/>
        <v>0.26938634459464711</v>
      </c>
      <c r="S292">
        <f ca="1"/>
        <v>0</v>
      </c>
      <c r="T292">
        <f ca="1"/>
        <v>0</v>
      </c>
      <c r="U292">
        <f ca="1"/>
        <v>0.99970280958954949</v>
      </c>
      <c r="W292" s="2">
        <f t="shared" ca="1" si="29"/>
        <v>45409</v>
      </c>
      <c r="X292">
        <f t="shared" ca="1" si="30"/>
        <v>0</v>
      </c>
      <c r="Z292" s="63">
        <f t="shared" ca="1" si="32"/>
        <v>-92.354094892764707</v>
      </c>
      <c r="AA292" s="63">
        <f t="shared" ca="1" si="33"/>
        <v>-92.354094892764707</v>
      </c>
      <c r="AB292" s="3">
        <f t="shared" ca="1" si="34"/>
        <v>0</v>
      </c>
    </row>
    <row r="293" spans="7:28">
      <c r="G293" t="b">
        <f t="shared" ca="1" si="31"/>
        <v>0</v>
      </c>
      <c r="H293" t="b">
        <f t="shared" ca="1" si="28"/>
        <v>0</v>
      </c>
      <c r="I293" s="2">
        <f ca="1"/>
        <v>45410</v>
      </c>
      <c r="J293">
        <f ca="1"/>
        <v>-96.331182360828691</v>
      </c>
      <c r="K293">
        <f ca="1"/>
        <v>1.9691789705199625</v>
      </c>
      <c r="L293">
        <f ca="1"/>
        <v>2.7013360853914037E-2</v>
      </c>
      <c r="M293">
        <f ca="1"/>
        <v>0.1811187470693299</v>
      </c>
      <c r="N293">
        <f ca="1"/>
        <v>0</v>
      </c>
      <c r="O293">
        <f ca="1"/>
        <v>125.56894640730567</v>
      </c>
      <c r="P293">
        <f ca="1"/>
        <v>116.19204456520168</v>
      </c>
      <c r="Q293">
        <f ca="1"/>
        <v>0</v>
      </c>
      <c r="R293">
        <f ca="1"/>
        <v>0.34318623111242696</v>
      </c>
      <c r="S293">
        <f ca="1"/>
        <v>0</v>
      </c>
      <c r="T293">
        <f ca="1"/>
        <v>0</v>
      </c>
      <c r="U293">
        <f ca="1"/>
        <v>0.99972868048020791</v>
      </c>
      <c r="W293" s="2">
        <f t="shared" ca="1" si="29"/>
        <v>45410</v>
      </c>
      <c r="X293">
        <f t="shared" ca="1" si="30"/>
        <v>0</v>
      </c>
      <c r="Z293" s="63">
        <f t="shared" ca="1" si="32"/>
        <v>-94.362003390308729</v>
      </c>
      <c r="AA293" s="63">
        <f t="shared" ca="1" si="33"/>
        <v>-94.362003390308729</v>
      </c>
      <c r="AB293" s="3">
        <f t="shared" ca="1" si="34"/>
        <v>0</v>
      </c>
    </row>
    <row r="294" spans="7:28">
      <c r="G294" t="b">
        <f t="shared" ca="1" si="31"/>
        <v>0</v>
      </c>
      <c r="H294" t="b">
        <f t="shared" ca="1" si="28"/>
        <v>0</v>
      </c>
      <c r="I294" s="2">
        <f ca="1"/>
        <v>45411</v>
      </c>
      <c r="J294">
        <f ca="1"/>
        <v>-98.030203360153067</v>
      </c>
      <c r="K294">
        <f ca="1"/>
        <v>1.908545015963071</v>
      </c>
      <c r="L294">
        <f ca="1"/>
        <v>2.9434279304282995E-2</v>
      </c>
      <c r="M294">
        <f ca="1"/>
        <v>0.18008973733441097</v>
      </c>
      <c r="N294">
        <f ca="1"/>
        <v>0</v>
      </c>
      <c r="O294">
        <f ca="1"/>
        <v>127.47749142326875</v>
      </c>
      <c r="P294">
        <f ca="1"/>
        <v>117.95806836244024</v>
      </c>
      <c r="Q294">
        <f ca="1"/>
        <v>0</v>
      </c>
      <c r="R294">
        <f ca="1"/>
        <v>0.36059862141105087</v>
      </c>
      <c r="S294">
        <f ca="1"/>
        <v>0</v>
      </c>
      <c r="T294">
        <f ca="1"/>
        <v>0</v>
      </c>
      <c r="U294">
        <f ca="1"/>
        <v>0.99975171586294698</v>
      </c>
      <c r="W294" s="2">
        <f t="shared" ca="1" si="29"/>
        <v>45411</v>
      </c>
      <c r="X294">
        <f t="shared" ca="1" si="30"/>
        <v>0</v>
      </c>
      <c r="Z294" s="63">
        <f t="shared" ca="1" si="32"/>
        <v>-96.121658344189996</v>
      </c>
      <c r="AA294" s="63">
        <f t="shared" ca="1" si="33"/>
        <v>-96.121658344189996</v>
      </c>
      <c r="AB294" s="3">
        <f t="shared" ca="1" si="34"/>
        <v>0</v>
      </c>
    </row>
    <row r="295" spans="7:28">
      <c r="G295" t="b">
        <f t="shared" ca="1" si="31"/>
        <v>0</v>
      </c>
      <c r="H295" t="b">
        <f t="shared" ca="1" si="28"/>
        <v>0</v>
      </c>
      <c r="I295" s="2">
        <f ca="1"/>
        <v>45412</v>
      </c>
      <c r="J295">
        <f ca="1"/>
        <v>-99.66411263999224</v>
      </c>
      <c r="K295">
        <f ca="1"/>
        <v>1.8350415434985763</v>
      </c>
      <c r="L295">
        <f ca="1"/>
        <v>2.9318809286969838E-2</v>
      </c>
      <c r="M295">
        <f ca="1"/>
        <v>0.17181345437242823</v>
      </c>
      <c r="N295">
        <f ca="1"/>
        <v>0</v>
      </c>
      <c r="O295">
        <f ca="1"/>
        <v>129.31253296676732</v>
      </c>
      <c r="P295">
        <f ca="1"/>
        <v>119.65607758288535</v>
      </c>
      <c r="Q295">
        <f ca="1"/>
        <v>0</v>
      </c>
      <c r="R295">
        <f ca="1"/>
        <v>0.34986217080913706</v>
      </c>
      <c r="S295">
        <f ca="1"/>
        <v>0</v>
      </c>
      <c r="T295">
        <f ca="1"/>
        <v>0</v>
      </c>
      <c r="U295">
        <f ca="1"/>
        <v>0.99977212619027234</v>
      </c>
      <c r="W295" s="2">
        <f t="shared" ca="1" si="29"/>
        <v>45412</v>
      </c>
      <c r="X295">
        <f t="shared" ca="1" si="30"/>
        <v>0</v>
      </c>
      <c r="Z295" s="63">
        <f t="shared" ca="1" si="32"/>
        <v>-97.829071096493664</v>
      </c>
      <c r="AA295" s="63">
        <f t="shared" ca="1" si="33"/>
        <v>-97.829071096493664</v>
      </c>
      <c r="AB295" s="3">
        <f t="shared" ca="1" si="34"/>
        <v>0</v>
      </c>
    </row>
    <row r="296" spans="7:28">
      <c r="G296" t="b">
        <f t="shared" ca="1" si="31"/>
        <v>0</v>
      </c>
      <c r="H296" t="b">
        <f t="shared" ca="1" si="28"/>
        <v>0</v>
      </c>
      <c r="I296" s="2">
        <f ca="1"/>
        <v>45413</v>
      </c>
      <c r="J296">
        <f ca="1"/>
        <v>-101.30818117089635</v>
      </c>
      <c r="K296">
        <f ca="1"/>
        <v>1.845414740988474</v>
      </c>
      <c r="L296">
        <f ca="1"/>
        <v>2.990495832872142E-2</v>
      </c>
      <c r="M296">
        <f ca="1"/>
        <v>0.17144125175563432</v>
      </c>
      <c r="N296">
        <f ca="1"/>
        <v>0</v>
      </c>
      <c r="O296">
        <f ca="1"/>
        <v>131.1579477077558</v>
      </c>
      <c r="P296">
        <f ca="1"/>
        <v>121.36368537892987</v>
      </c>
      <c r="Q296">
        <f ca="1"/>
        <v>0</v>
      </c>
      <c r="R296">
        <f ca="1"/>
        <v>0.33838453793789042</v>
      </c>
      <c r="S296">
        <f ca="1"/>
        <v>0</v>
      </c>
      <c r="T296">
        <f ca="1"/>
        <v>0</v>
      </c>
      <c r="U296">
        <f ca="1"/>
        <v>0.99979106999115097</v>
      </c>
      <c r="W296" s="2">
        <f t="shared" ca="1" si="29"/>
        <v>45413</v>
      </c>
      <c r="X296">
        <f t="shared" ca="1" si="30"/>
        <v>0</v>
      </c>
      <c r="Z296" s="63">
        <f t="shared" ca="1" si="32"/>
        <v>-99.462766429907887</v>
      </c>
      <c r="AA296" s="63">
        <f t="shared" ca="1" si="33"/>
        <v>-99.462766429907873</v>
      </c>
      <c r="AB296" s="3">
        <f t="shared" ca="1" si="34"/>
        <v>0</v>
      </c>
    </row>
    <row r="297" spans="7:28">
      <c r="G297" t="b">
        <f t="shared" ca="1" si="31"/>
        <v>0</v>
      </c>
      <c r="H297" t="b">
        <f t="shared" ca="1" si="28"/>
        <v>0</v>
      </c>
      <c r="I297" s="2">
        <f ca="1"/>
        <v>45414</v>
      </c>
      <c r="J297">
        <f ca="1"/>
        <v>-102.9353983812201</v>
      </c>
      <c r="K297">
        <f ca="1"/>
        <v>1.8242877261348553</v>
      </c>
      <c r="L297">
        <f ca="1"/>
        <v>2.9595532399355307E-2</v>
      </c>
      <c r="M297">
        <f ca="1"/>
        <v>0.16747498341175265</v>
      </c>
      <c r="N297">
        <f ca="1"/>
        <v>0</v>
      </c>
      <c r="O297">
        <f ca="1"/>
        <v>132.98223543389065</v>
      </c>
      <c r="P297">
        <f ca="1"/>
        <v>123.05174382681442</v>
      </c>
      <c r="Q297">
        <f ca="1"/>
        <v>0</v>
      </c>
      <c r="R297">
        <f ca="1"/>
        <v>0.32283311489060218</v>
      </c>
      <c r="S297">
        <f ca="1"/>
        <v>0</v>
      </c>
      <c r="T297">
        <f ca="1"/>
        <v>0</v>
      </c>
      <c r="U297">
        <f ca="1"/>
        <v>0.99980835866970652</v>
      </c>
      <c r="W297" s="2">
        <f t="shared" ca="1" si="29"/>
        <v>45414</v>
      </c>
      <c r="X297">
        <f t="shared" ca="1" si="30"/>
        <v>0</v>
      </c>
      <c r="Z297" s="63">
        <f t="shared" ca="1" si="32"/>
        <v>-101.11111065508524</v>
      </c>
      <c r="AA297" s="63">
        <f t="shared" ca="1" si="33"/>
        <v>-101.11111065508524</v>
      </c>
      <c r="AB297" s="3">
        <f t="shared" ca="1" si="34"/>
        <v>0</v>
      </c>
    </row>
    <row r="298" spans="7:28">
      <c r="G298" t="b">
        <f t="shared" ca="1" si="31"/>
        <v>0</v>
      </c>
      <c r="H298" t="b">
        <f t="shared" ca="1" si="28"/>
        <v>0</v>
      </c>
      <c r="I298" s="2">
        <f ca="1"/>
        <v>45415</v>
      </c>
      <c r="J298">
        <f ca="1"/>
        <v>-104.63283795173089</v>
      </c>
      <c r="K298">
        <f ca="1"/>
        <v>1.9060234474027595</v>
      </c>
      <c r="L298">
        <f ca="1"/>
        <v>3.1974251948412302E-2</v>
      </c>
      <c r="M298">
        <f ca="1"/>
        <v>0.17660962494354987</v>
      </c>
      <c r="N298">
        <f ca="1"/>
        <v>0</v>
      </c>
      <c r="O298">
        <f ca="1"/>
        <v>134.88825888129341</v>
      </c>
      <c r="P298">
        <f ca="1"/>
        <v>124.81543435444358</v>
      </c>
      <c r="Q298">
        <f ca="1"/>
        <v>0</v>
      </c>
      <c r="R298">
        <f ca="1"/>
        <v>0.32369599527241855</v>
      </c>
      <c r="S298">
        <f ca="1"/>
        <v>0</v>
      </c>
      <c r="T298">
        <f ca="1"/>
        <v>0</v>
      </c>
      <c r="U298">
        <f ca="1"/>
        <v>0.99982501352362485</v>
      </c>
      <c r="W298" s="2">
        <f t="shared" ca="1" si="29"/>
        <v>45415</v>
      </c>
      <c r="X298">
        <f t="shared" ca="1" si="30"/>
        <v>0</v>
      </c>
      <c r="Z298" s="63">
        <f t="shared" ca="1" si="32"/>
        <v>-102.72681450432813</v>
      </c>
      <c r="AA298" s="63">
        <f t="shared" ca="1" si="33"/>
        <v>-102.72681450432813</v>
      </c>
      <c r="AB298" s="3">
        <f t="shared" ca="1" si="34"/>
        <v>0</v>
      </c>
    </row>
    <row r="299" spans="7:28">
      <c r="G299" t="b">
        <f t="shared" ca="1" si="31"/>
        <v>0</v>
      </c>
      <c r="H299" t="b">
        <f t="shared" ca="1" si="28"/>
        <v>0</v>
      </c>
      <c r="I299" s="2">
        <f ca="1"/>
        <v>45416</v>
      </c>
      <c r="J299">
        <f ca="1"/>
        <v>-106.31012501542983</v>
      </c>
      <c r="K299">
        <f ca="1"/>
        <v>1.8834459372175161</v>
      </c>
      <c r="L299">
        <f ca="1"/>
        <v>3.209441117824241E-2</v>
      </c>
      <c r="M299">
        <f ca="1"/>
        <v>0.17406446234033518</v>
      </c>
      <c r="N299">
        <f ca="1"/>
        <v>0</v>
      </c>
      <c r="O299">
        <f ca="1"/>
        <v>136.77170481851093</v>
      </c>
      <c r="P299">
        <f ca="1"/>
        <v>126.55823335479096</v>
      </c>
      <c r="Q299">
        <f ca="1"/>
        <v>0</v>
      </c>
      <c r="R299">
        <f ca="1"/>
        <v>0.31462508398982619</v>
      </c>
      <c r="S299">
        <f ca="1"/>
        <v>0</v>
      </c>
      <c r="T299">
        <f ca="1"/>
        <v>0</v>
      </c>
      <c r="U299">
        <f ca="1"/>
        <v>0.99984016743311632</v>
      </c>
      <c r="W299" s="2">
        <f t="shared" ca="1" si="29"/>
        <v>45416</v>
      </c>
      <c r="X299">
        <f t="shared" ca="1" si="30"/>
        <v>0</v>
      </c>
      <c r="Z299" s="63">
        <f t="shared" ca="1" si="32"/>
        <v>-104.42667907821232</v>
      </c>
      <c r="AA299" s="63">
        <f t="shared" ca="1" si="33"/>
        <v>-104.42667907821232</v>
      </c>
      <c r="AB299" s="3">
        <f t="shared" ca="1" si="34"/>
        <v>0</v>
      </c>
    </row>
    <row r="300" spans="7:28">
      <c r="G300" t="b">
        <f t="shared" ca="1" si="31"/>
        <v>0</v>
      </c>
      <c r="H300" t="b">
        <f t="shared" ca="1" si="28"/>
        <v>0</v>
      </c>
      <c r="I300" s="2">
        <f ca="1"/>
        <v>45417</v>
      </c>
      <c r="J300">
        <f ca="1"/>
        <v>-108.08391791522877</v>
      </c>
      <c r="K300">
        <f ca="1"/>
        <v>2.0066290504028927</v>
      </c>
      <c r="L300">
        <f ca="1"/>
        <v>3.8373257527801741E-2</v>
      </c>
      <c r="M300">
        <f ca="1"/>
        <v>0.19446289307616221</v>
      </c>
      <c r="N300">
        <f ca="1"/>
        <v>0</v>
      </c>
      <c r="O300">
        <f ca="1"/>
        <v>138.77833386891382</v>
      </c>
      <c r="P300">
        <f ca="1"/>
        <v>128.41501672935209</v>
      </c>
      <c r="Q300">
        <f ca="1"/>
        <v>0</v>
      </c>
      <c r="R300">
        <f ca="1"/>
        <v>0.34353131545048032</v>
      </c>
      <c r="S300">
        <f ca="1"/>
        <v>0</v>
      </c>
      <c r="T300">
        <f ca="1"/>
        <v>0</v>
      </c>
      <c r="U300">
        <f ca="1"/>
        <v>0.9998550004119342</v>
      </c>
      <c r="W300" s="2">
        <f t="shared" ca="1" si="29"/>
        <v>45417</v>
      </c>
      <c r="X300">
        <f t="shared" ca="1" si="30"/>
        <v>0</v>
      </c>
      <c r="Z300" s="63">
        <f t="shared" ca="1" si="32"/>
        <v>-106.07728886482586</v>
      </c>
      <c r="AA300" s="63">
        <f t="shared" ca="1" si="33"/>
        <v>-106.07728886482587</v>
      </c>
      <c r="AB300" s="3">
        <f t="shared" ca="1" si="34"/>
        <v>0</v>
      </c>
    </row>
    <row r="301" spans="7:28">
      <c r="G301" t="b">
        <f t="shared" ca="1" si="31"/>
        <v>0</v>
      </c>
      <c r="H301" t="b">
        <f t="shared" ca="1" si="28"/>
        <v>0</v>
      </c>
      <c r="I301" s="2">
        <f ca="1"/>
        <v>45418</v>
      </c>
      <c r="J301">
        <f ca="1"/>
        <v>-109.77355174819044</v>
      </c>
      <c r="K301">
        <f ca="1"/>
        <v>1.9112025935814074</v>
      </c>
      <c r="L301">
        <f ca="1"/>
        <v>3.7311828337202257E-2</v>
      </c>
      <c r="M301">
        <f ca="1"/>
        <v>0.18425693228253201</v>
      </c>
      <c r="N301">
        <f ca="1"/>
        <v>0</v>
      </c>
      <c r="O301">
        <f ca="1"/>
        <v>140.68953646249523</v>
      </c>
      <c r="P301">
        <f ca="1"/>
        <v>130.18349964873747</v>
      </c>
      <c r="Q301">
        <f ca="1"/>
        <v>0</v>
      </c>
      <c r="R301">
        <f ca="1"/>
        <v>0.33297847247054058</v>
      </c>
      <c r="S301">
        <f ca="1"/>
        <v>0</v>
      </c>
      <c r="T301">
        <f ca="1"/>
        <v>0</v>
      </c>
      <c r="U301">
        <f ca="1"/>
        <v>0.99986796930942801</v>
      </c>
      <c r="W301" s="2">
        <f t="shared" ca="1" si="29"/>
        <v>45418</v>
      </c>
      <c r="X301">
        <f t="shared" ca="1" si="30"/>
        <v>0</v>
      </c>
      <c r="Z301" s="63">
        <f t="shared" ca="1" si="32"/>
        <v>-107.86234915460902</v>
      </c>
      <c r="AA301" s="63">
        <f t="shared" ca="1" si="33"/>
        <v>-107.86234915460903</v>
      </c>
      <c r="AB301" s="3">
        <f t="shared" ca="1" si="34"/>
        <v>0</v>
      </c>
    </row>
    <row r="302" spans="7:28">
      <c r="G302" t="b">
        <f t="shared" ca="1" si="31"/>
        <v>0</v>
      </c>
      <c r="H302" t="b">
        <f t="shared" ca="1" si="28"/>
        <v>0</v>
      </c>
      <c r="I302" s="2">
        <f ca="1"/>
        <v>45419</v>
      </c>
      <c r="J302">
        <f ca="1"/>
        <v>-111.2758203464339</v>
      </c>
      <c r="K302">
        <f ca="1"/>
        <v>1.7122481835661176</v>
      </c>
      <c r="L302">
        <f ca="1"/>
        <v>3.8445397353470412E-2</v>
      </c>
      <c r="M302">
        <f ca="1"/>
        <v>0.17153418796918701</v>
      </c>
      <c r="N302">
        <f ca="1"/>
        <v>0</v>
      </c>
      <c r="O302">
        <f ca="1"/>
        <v>142.40178464606134</v>
      </c>
      <c r="P302">
        <f ca="1"/>
        <v>131.76788514327103</v>
      </c>
      <c r="Q302">
        <f ca="1"/>
        <v>0</v>
      </c>
      <c r="R302">
        <f ca="1"/>
        <v>0.35816620477648625</v>
      </c>
      <c r="S302">
        <f ca="1"/>
        <v>0</v>
      </c>
      <c r="T302">
        <f ca="1"/>
        <v>0</v>
      </c>
      <c r="U302">
        <f ca="1"/>
        <v>0.99987870175329474</v>
      </c>
      <c r="W302" s="2">
        <f t="shared" ca="1" si="29"/>
        <v>45419</v>
      </c>
      <c r="X302">
        <f t="shared" ca="1" si="30"/>
        <v>0</v>
      </c>
      <c r="Z302" s="63">
        <f t="shared" ca="1" si="32"/>
        <v>-109.56357216286779</v>
      </c>
      <c r="AA302" s="63">
        <f t="shared" ca="1" si="33"/>
        <v>-109.56357216286779</v>
      </c>
      <c r="AB302" s="3">
        <f t="shared" ca="1" si="34"/>
        <v>0</v>
      </c>
    </row>
    <row r="303" spans="7:28">
      <c r="G303" t="b">
        <f t="shared" ca="1" si="31"/>
        <v>0</v>
      </c>
      <c r="H303" t="b">
        <f t="shared" ca="1" si="28"/>
        <v>0</v>
      </c>
      <c r="I303" s="2">
        <f ca="1"/>
        <v>45420</v>
      </c>
      <c r="J303">
        <f ca="1"/>
        <v>-112.7870583987393</v>
      </c>
      <c r="K303">
        <f ca="1"/>
        <v>1.7203295690797802</v>
      </c>
      <c r="L303">
        <f ca="1"/>
        <v>3.8240837722916865E-2</v>
      </c>
      <c r="M303">
        <f ca="1"/>
        <v>0.17085067905147294</v>
      </c>
      <c r="N303">
        <f ca="1"/>
        <v>0</v>
      </c>
      <c r="O303">
        <f ca="1"/>
        <v>144.12211421514112</v>
      </c>
      <c r="P303">
        <f ca="1"/>
        <v>133.35974854323121</v>
      </c>
      <c r="Q303">
        <f ca="1"/>
        <v>0</v>
      </c>
      <c r="R303">
        <f ca="1"/>
        <v>0.34279796421453562</v>
      </c>
      <c r="S303">
        <f ca="1"/>
        <v>0</v>
      </c>
      <c r="T303">
        <f ca="1"/>
        <v>0</v>
      </c>
      <c r="U303">
        <f ca="1"/>
        <v>0.99988870238892846</v>
      </c>
      <c r="W303" s="2">
        <f t="shared" ca="1" si="29"/>
        <v>45420</v>
      </c>
      <c r="X303">
        <f t="shared" ca="1" si="30"/>
        <v>0</v>
      </c>
      <c r="Z303" s="63">
        <f t="shared" ca="1" si="32"/>
        <v>-111.06672882965951</v>
      </c>
      <c r="AA303" s="63">
        <f t="shared" ca="1" si="33"/>
        <v>-111.06672882965952</v>
      </c>
      <c r="AB303" s="3">
        <f t="shared" ca="1" si="34"/>
        <v>0</v>
      </c>
    </row>
    <row r="304" spans="7:28">
      <c r="G304" t="b">
        <f t="shared" ca="1" si="31"/>
        <v>0</v>
      </c>
      <c r="H304" t="b">
        <f t="shared" ca="1" si="28"/>
        <v>0</v>
      </c>
      <c r="I304" s="2">
        <f ca="1"/>
        <v>45421</v>
      </c>
      <c r="J304">
        <f ca="1"/>
        <v>-114.25658310996664</v>
      </c>
      <c r="K304">
        <f ca="1"/>
        <v>1.6805547664060896</v>
      </c>
      <c r="L304">
        <f ca="1"/>
        <v>4.0126318905080893E-2</v>
      </c>
      <c r="M304">
        <f ca="1"/>
        <v>0.17090373627366587</v>
      </c>
      <c r="N304">
        <f ca="1"/>
        <v>0</v>
      </c>
      <c r="O304">
        <f ca="1"/>
        <v>145.80266898154721</v>
      </c>
      <c r="P304">
        <f ca="1"/>
        <v>134.9148073368213</v>
      </c>
      <c r="Q304">
        <f ca="1"/>
        <v>0</v>
      </c>
      <c r="R304">
        <f ca="1"/>
        <v>0.35354045930403544</v>
      </c>
      <c r="S304">
        <f ca="1"/>
        <v>0</v>
      </c>
      <c r="T304">
        <f ca="1"/>
        <v>0</v>
      </c>
      <c r="U304">
        <f ca="1"/>
        <v>0.99989776686443765</v>
      </c>
      <c r="W304" s="2">
        <f t="shared" ca="1" si="29"/>
        <v>45421</v>
      </c>
      <c r="X304">
        <f t="shared" ca="1" si="30"/>
        <v>0</v>
      </c>
      <c r="Z304" s="63">
        <f t="shared" ca="1" si="32"/>
        <v>-112.57602834356055</v>
      </c>
      <c r="AA304" s="63">
        <f t="shared" ca="1" si="33"/>
        <v>-112.57602834356055</v>
      </c>
      <c r="AB304" s="3">
        <f t="shared" ca="1" si="34"/>
        <v>0</v>
      </c>
    </row>
    <row r="305" spans="7:28">
      <c r="G305" t="b">
        <f t="shared" ca="1" si="31"/>
        <v>0</v>
      </c>
      <c r="H305" t="b">
        <f t="shared" ca="1" si="28"/>
        <v>0</v>
      </c>
      <c r="I305" s="2">
        <f ca="1"/>
        <v>45422</v>
      </c>
      <c r="J305">
        <f ca="1"/>
        <v>-115.76004624297013</v>
      </c>
      <c r="K305">
        <f ca="1"/>
        <v>1.7176984521638587</v>
      </c>
      <c r="L305">
        <f ca="1"/>
        <v>4.0483367713108009E-2</v>
      </c>
      <c r="M305">
        <f ca="1"/>
        <v>0.17375195144725444</v>
      </c>
      <c r="N305">
        <f ca="1"/>
        <v>0</v>
      </c>
      <c r="O305">
        <f ca="1"/>
        <v>147.52036743371107</v>
      </c>
      <c r="P305">
        <f ca="1"/>
        <v>136.50423609937553</v>
      </c>
      <c r="Q305">
        <f ca="1"/>
        <v>0</v>
      </c>
      <c r="R305">
        <f ca="1"/>
        <v>0.33983861644824082</v>
      </c>
      <c r="S305">
        <f ca="1"/>
        <v>0</v>
      </c>
      <c r="T305">
        <f ca="1"/>
        <v>0</v>
      </c>
      <c r="U305">
        <f ca="1"/>
        <v>0.99990636133761024</v>
      </c>
      <c r="W305" s="2">
        <f t="shared" ca="1" si="29"/>
        <v>45422</v>
      </c>
      <c r="X305">
        <f t="shared" ca="1" si="30"/>
        <v>0</v>
      </c>
      <c r="Z305" s="63">
        <f t="shared" ca="1" si="32"/>
        <v>-114.04234779080628</v>
      </c>
      <c r="AA305" s="63">
        <f t="shared" ca="1" si="33"/>
        <v>-114.04234779080628</v>
      </c>
      <c r="AB305" s="3">
        <f t="shared" ca="1" si="34"/>
        <v>0</v>
      </c>
    </row>
    <row r="306" spans="7:28">
      <c r="G306" t="b">
        <f t="shared" ca="1" si="31"/>
        <v>0</v>
      </c>
      <c r="H306" t="b">
        <f t="shared" ca="1" si="28"/>
        <v>0</v>
      </c>
      <c r="I306" s="2">
        <f ca="1"/>
        <v>45423</v>
      </c>
      <c r="J306">
        <f ca="1"/>
        <v>-117.29199920844735</v>
      </c>
      <c r="K306">
        <f ca="1"/>
        <v>1.7554015180662077</v>
      </c>
      <c r="L306">
        <f ca="1"/>
        <v>4.2891187436978839E-2</v>
      </c>
      <c r="M306">
        <f ca="1"/>
        <v>0.18055736515201365</v>
      </c>
      <c r="N306">
        <f ca="1"/>
        <v>0</v>
      </c>
      <c r="O306">
        <f ca="1"/>
        <v>149.27576895177728</v>
      </c>
      <c r="P306">
        <f ca="1"/>
        <v>138.12855243914456</v>
      </c>
      <c r="Q306">
        <f ca="1"/>
        <v>0</v>
      </c>
      <c r="R306">
        <f ca="1"/>
        <v>0.34298840578823103</v>
      </c>
      <c r="S306">
        <f ca="1"/>
        <v>0</v>
      </c>
      <c r="T306">
        <f ca="1"/>
        <v>0</v>
      </c>
      <c r="U306">
        <f ca="1"/>
        <v>0.99991449267101873</v>
      </c>
      <c r="W306" s="2">
        <f t="shared" ca="1" si="29"/>
        <v>45423</v>
      </c>
      <c r="X306">
        <f t="shared" ca="1" si="30"/>
        <v>0</v>
      </c>
      <c r="Z306" s="63">
        <f t="shared" ca="1" si="32"/>
        <v>-115.53659769038114</v>
      </c>
      <c r="AA306" s="63">
        <f t="shared" ca="1" si="33"/>
        <v>-115.53659769038114</v>
      </c>
      <c r="AB306" s="3">
        <f t="shared" ca="1" si="34"/>
        <v>0</v>
      </c>
    </row>
    <row r="307" spans="7:28">
      <c r="G307" t="b">
        <f t="shared" ca="1" si="31"/>
        <v>0</v>
      </c>
      <c r="H307" t="b">
        <f t="shared" ca="1" si="28"/>
        <v>0</v>
      </c>
      <c r="I307" s="2">
        <f ca="1"/>
        <v>45424</v>
      </c>
      <c r="J307">
        <f ca="1"/>
        <v>-118.71208357870344</v>
      </c>
      <c r="K307">
        <f ca="1"/>
        <v>1.6291464876684927</v>
      </c>
      <c r="L307">
        <f ca="1"/>
        <v>4.1005014444245091E-2</v>
      </c>
      <c r="M307">
        <f ca="1"/>
        <v>0.16805710296815032</v>
      </c>
      <c r="N307">
        <f ca="1"/>
        <v>0</v>
      </c>
      <c r="O307">
        <f ca="1"/>
        <v>150.90491543944577</v>
      </c>
      <c r="P307">
        <f ca="1"/>
        <v>139.63604188390272</v>
      </c>
      <c r="Q307">
        <f ca="1"/>
        <v>0</v>
      </c>
      <c r="R307">
        <f ca="1"/>
        <v>0.3355825553947438</v>
      </c>
      <c r="S307">
        <f ca="1"/>
        <v>0</v>
      </c>
      <c r="T307">
        <f ca="1"/>
        <v>0</v>
      </c>
      <c r="U307">
        <f ca="1"/>
        <v>0.99992148988434104</v>
      </c>
      <c r="W307" s="2">
        <f t="shared" ca="1" si="29"/>
        <v>45424</v>
      </c>
      <c r="X307">
        <f t="shared" ca="1" si="30"/>
        <v>0</v>
      </c>
      <c r="Z307" s="63">
        <f t="shared" ca="1" si="32"/>
        <v>-117.08293709103496</v>
      </c>
      <c r="AA307" s="63">
        <f t="shared" ca="1" si="33"/>
        <v>-117.08293709103495</v>
      </c>
      <c r="AB307" s="3">
        <f t="shared" ca="1" si="34"/>
        <v>0</v>
      </c>
    </row>
    <row r="308" spans="7:28">
      <c r="G308" t="b">
        <f t="shared" ca="1" si="31"/>
        <v>0</v>
      </c>
      <c r="H308" t="b">
        <f t="shared" ca="1" si="28"/>
        <v>0</v>
      </c>
      <c r="I308" s="2">
        <f ca="1"/>
        <v>45425</v>
      </c>
      <c r="J308">
        <f ca="1"/>
        <v>-120.09366615029572</v>
      </c>
      <c r="K308">
        <f ca="1"/>
        <v>1.5896997138144116</v>
      </c>
      <c r="L308">
        <f ca="1"/>
        <v>4.1692446261585303E-2</v>
      </c>
      <c r="M308">
        <f ca="1"/>
        <v>0.16642469596054965</v>
      </c>
      <c r="N308">
        <f ca="1"/>
        <v>0</v>
      </c>
      <c r="O308">
        <f ca="1"/>
        <v>152.49461515326018</v>
      </c>
      <c r="P308">
        <f ca="1"/>
        <v>141.1070302554518</v>
      </c>
      <c r="Q308">
        <f ca="1"/>
        <v>0</v>
      </c>
      <c r="R308">
        <f ca="1"/>
        <v>0.33725065147909072</v>
      </c>
      <c r="S308">
        <f ca="1"/>
        <v>0</v>
      </c>
      <c r="T308">
        <f ca="1"/>
        <v>0</v>
      </c>
      <c r="U308">
        <f ca="1"/>
        <v>0.99992784174755078</v>
      </c>
      <c r="W308" s="2">
        <f t="shared" ca="1" si="29"/>
        <v>45425</v>
      </c>
      <c r="X308">
        <f t="shared" ca="1" si="30"/>
        <v>0</v>
      </c>
      <c r="Z308" s="63">
        <f t="shared" ca="1" si="32"/>
        <v>-118.50396643648132</v>
      </c>
      <c r="AA308" s="63">
        <f t="shared" ca="1" si="33"/>
        <v>-118.50396643648131</v>
      </c>
      <c r="AB308" s="3">
        <f t="shared" ca="1" si="34"/>
        <v>0</v>
      </c>
    </row>
    <row r="309" spans="7:28">
      <c r="G309" t="b">
        <f t="shared" ca="1" si="31"/>
        <v>0</v>
      </c>
      <c r="H309" t="b">
        <f t="shared" ca="1" si="28"/>
        <v>0</v>
      </c>
      <c r="I309" s="2">
        <f ca="1"/>
        <v>45426</v>
      </c>
      <c r="J309">
        <f ca="1"/>
        <v>-121.39842189429564</v>
      </c>
      <c r="K309">
        <f ca="1"/>
        <v>1.5053848467398439</v>
      </c>
      <c r="L309">
        <f ca="1"/>
        <v>4.1103854563232289E-2</v>
      </c>
      <c r="M309">
        <f ca="1"/>
        <v>0.15952524817668762</v>
      </c>
      <c r="N309">
        <f ca="1"/>
        <v>0</v>
      </c>
      <c r="O309">
        <f ca="1"/>
        <v>154.00000000000003</v>
      </c>
      <c r="P309">
        <f ca="1"/>
        <v>142.5</v>
      </c>
      <c r="Q309">
        <f ca="1"/>
        <v>0</v>
      </c>
      <c r="R309">
        <f ca="1"/>
        <v>0.33577047682867417</v>
      </c>
      <c r="S309">
        <f ca="1"/>
        <v>0</v>
      </c>
      <c r="T309">
        <f ca="1"/>
        <v>0</v>
      </c>
      <c r="U309">
        <f ca="1"/>
        <v>0.99993345063478134</v>
      </c>
      <c r="W309" s="2">
        <f t="shared" ca="1" si="29"/>
        <v>45426</v>
      </c>
      <c r="X309">
        <f t="shared" ca="1" si="30"/>
        <v>0</v>
      </c>
      <c r="Z309" s="63">
        <f t="shared" ca="1" si="32"/>
        <v>-119.89303704755579</v>
      </c>
      <c r="AA309" s="63">
        <f t="shared" ca="1" si="33"/>
        <v>-119.89303704755579</v>
      </c>
      <c r="AB309" s="3">
        <f t="shared" ca="1" si="34"/>
        <v>0</v>
      </c>
    </row>
    <row r="310" spans="7:28">
      <c r="G310" t="e">
        <f t="shared" ca="1" si="31"/>
        <v>#N/A</v>
      </c>
      <c r="H310" t="e">
        <f t="shared" ca="1" si="28"/>
        <v>#N/A</v>
      </c>
      <c r="I310" s="2" t="e">
        <f ca="1"/>
        <v>#N/A</v>
      </c>
      <c r="J310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W310" s="2">
        <f t="shared" ca="1" si="29"/>
        <v>0</v>
      </c>
      <c r="X310">
        <f t="shared" ca="1" si="30"/>
        <v>0</v>
      </c>
      <c r="Z310" s="63" t="e">
        <f t="shared" ca="1" si="32"/>
        <v>#N/A</v>
      </c>
      <c r="AA310" s="63" t="e">
        <f t="shared" ca="1" si="33"/>
        <v>#N/A</v>
      </c>
      <c r="AB310" s="3" t="e">
        <f t="shared" ca="1" si="34"/>
        <v>#N/A</v>
      </c>
    </row>
    <row r="311" spans="7:28">
      <c r="G311" t="e">
        <f t="shared" ca="1" si="31"/>
        <v>#N/A</v>
      </c>
      <c r="H311" t="e">
        <f t="shared" ca="1" si="28"/>
        <v>#N/A</v>
      </c>
      <c r="I311" s="2" t="e">
        <f ca="1"/>
        <v>#N/A</v>
      </c>
      <c r="J311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W311" s="2">
        <f t="shared" ca="1" si="29"/>
        <v>0</v>
      </c>
      <c r="X311">
        <f t="shared" ca="1" si="30"/>
        <v>0</v>
      </c>
      <c r="Z311" s="63" t="e">
        <f t="shared" ca="1" si="32"/>
        <v>#N/A</v>
      </c>
      <c r="AA311" s="63" t="e">
        <f t="shared" ca="1" si="33"/>
        <v>#N/A</v>
      </c>
      <c r="AB311" s="3" t="e">
        <f t="shared" ca="1" si="34"/>
        <v>#N/A</v>
      </c>
    </row>
    <row r="312" spans="7:28">
      <c r="G312" t="e">
        <f t="shared" ca="1" si="31"/>
        <v>#N/A</v>
      </c>
      <c r="H312" t="e">
        <f t="shared" ca="1" si="28"/>
        <v>#N/A</v>
      </c>
      <c r="I312" s="2" t="e">
        <f ca="1"/>
        <v>#N/A</v>
      </c>
      <c r="J31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W312" s="2">
        <f t="shared" ca="1" si="29"/>
        <v>0</v>
      </c>
      <c r="X312">
        <f t="shared" ca="1" si="30"/>
        <v>0</v>
      </c>
      <c r="Z312" s="63" t="e">
        <f t="shared" ca="1" si="32"/>
        <v>#N/A</v>
      </c>
      <c r="AA312" s="63" t="e">
        <f t="shared" ca="1" si="33"/>
        <v>#N/A</v>
      </c>
      <c r="AB312" s="3" t="e">
        <f t="shared" ca="1" si="34"/>
        <v>#N/A</v>
      </c>
    </row>
    <row r="313" spans="7:28">
      <c r="G313" t="e">
        <f t="shared" ca="1" si="31"/>
        <v>#N/A</v>
      </c>
      <c r="H313" t="e">
        <f t="shared" ca="1" si="28"/>
        <v>#N/A</v>
      </c>
      <c r="I313" s="2" t="e">
        <f ca="1"/>
        <v>#N/A</v>
      </c>
      <c r="J313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W313" s="2">
        <f t="shared" ca="1" si="29"/>
        <v>0</v>
      </c>
      <c r="X313">
        <f t="shared" ca="1" si="30"/>
        <v>0</v>
      </c>
      <c r="Z313" s="63" t="e">
        <f t="shared" ca="1" si="32"/>
        <v>#N/A</v>
      </c>
      <c r="AA313" s="63" t="e">
        <f t="shared" ca="1" si="33"/>
        <v>#N/A</v>
      </c>
      <c r="AB313" s="3" t="e">
        <f t="shared" ca="1" si="34"/>
        <v>#N/A</v>
      </c>
    </row>
    <row r="314" spans="7:28">
      <c r="G314" t="e">
        <f t="shared" ca="1" si="31"/>
        <v>#N/A</v>
      </c>
      <c r="H314" t="e">
        <f t="shared" ca="1" si="28"/>
        <v>#N/A</v>
      </c>
      <c r="I314" s="2" t="e">
        <f ca="1"/>
        <v>#N/A</v>
      </c>
      <c r="J314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W314" s="2">
        <f t="shared" ca="1" si="29"/>
        <v>0</v>
      </c>
      <c r="X314">
        <f t="shared" ca="1" si="30"/>
        <v>0</v>
      </c>
      <c r="Z314" s="63" t="e">
        <f t="shared" ca="1" si="32"/>
        <v>#N/A</v>
      </c>
      <c r="AA314" s="63" t="e">
        <f t="shared" ca="1" si="33"/>
        <v>#N/A</v>
      </c>
      <c r="AB314" s="3" t="e">
        <f t="shared" ca="1" si="34"/>
        <v>#N/A</v>
      </c>
    </row>
    <row r="315" spans="7:28">
      <c r="G315" t="e">
        <f t="shared" ca="1" si="31"/>
        <v>#N/A</v>
      </c>
      <c r="H315" t="e">
        <f t="shared" ca="1" si="28"/>
        <v>#N/A</v>
      </c>
      <c r="I315" s="2" t="e">
        <f ca="1"/>
        <v>#N/A</v>
      </c>
      <c r="J315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W315" s="2">
        <f t="shared" ca="1" si="29"/>
        <v>0</v>
      </c>
      <c r="X315">
        <f t="shared" ca="1" si="30"/>
        <v>0</v>
      </c>
      <c r="Z315" s="63" t="e">
        <f t="shared" ca="1" si="32"/>
        <v>#N/A</v>
      </c>
      <c r="AA315" s="63" t="e">
        <f t="shared" ca="1" si="33"/>
        <v>#N/A</v>
      </c>
      <c r="AB315" s="3" t="e">
        <f t="shared" ca="1" si="34"/>
        <v>#N/A</v>
      </c>
    </row>
    <row r="316" spans="7:28">
      <c r="G316" t="e">
        <f t="shared" ca="1" si="31"/>
        <v>#N/A</v>
      </c>
      <c r="H316" t="e">
        <f t="shared" ca="1" si="28"/>
        <v>#N/A</v>
      </c>
      <c r="I316" s="2" t="e">
        <f ca="1"/>
        <v>#N/A</v>
      </c>
      <c r="J316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W316" s="2">
        <f t="shared" ca="1" si="29"/>
        <v>0</v>
      </c>
      <c r="X316">
        <f t="shared" ca="1" si="30"/>
        <v>0</v>
      </c>
      <c r="Z316" s="63" t="e">
        <f t="shared" ca="1" si="32"/>
        <v>#N/A</v>
      </c>
      <c r="AA316" s="63" t="e">
        <f t="shared" ca="1" si="33"/>
        <v>#N/A</v>
      </c>
      <c r="AB316" s="3" t="e">
        <f t="shared" ca="1" si="34"/>
        <v>#N/A</v>
      </c>
    </row>
    <row r="317" spans="7:28">
      <c r="G317" t="e">
        <f t="shared" ca="1" si="31"/>
        <v>#N/A</v>
      </c>
      <c r="H317" t="e">
        <f t="shared" ca="1" si="28"/>
        <v>#N/A</v>
      </c>
      <c r="I317" s="2" t="e">
        <f ca="1"/>
        <v>#N/A</v>
      </c>
      <c r="J317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W317" s="2">
        <f t="shared" ca="1" si="29"/>
        <v>0</v>
      </c>
      <c r="X317">
        <f t="shared" ca="1" si="30"/>
        <v>0</v>
      </c>
      <c r="Z317" s="63" t="e">
        <f t="shared" ca="1" si="32"/>
        <v>#N/A</v>
      </c>
      <c r="AA317" s="63" t="e">
        <f t="shared" ca="1" si="33"/>
        <v>#N/A</v>
      </c>
      <c r="AB317" s="3" t="e">
        <f t="shared" ca="1" si="34"/>
        <v>#N/A</v>
      </c>
    </row>
    <row r="318" spans="7:28">
      <c r="G318" t="e">
        <f t="shared" ca="1" si="31"/>
        <v>#N/A</v>
      </c>
      <c r="H318" t="e">
        <f t="shared" ca="1" si="28"/>
        <v>#N/A</v>
      </c>
      <c r="I318" s="2" t="e">
        <f ca="1"/>
        <v>#N/A</v>
      </c>
      <c r="J318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W318" s="2">
        <f t="shared" ca="1" si="29"/>
        <v>0</v>
      </c>
      <c r="X318">
        <f t="shared" ca="1" si="30"/>
        <v>0</v>
      </c>
      <c r="Z318" s="63" t="e">
        <f t="shared" ca="1" si="32"/>
        <v>#N/A</v>
      </c>
      <c r="AA318" s="63" t="e">
        <f t="shared" ca="1" si="33"/>
        <v>#N/A</v>
      </c>
      <c r="AB318" s="3" t="e">
        <f t="shared" ca="1" si="34"/>
        <v>#N/A</v>
      </c>
    </row>
    <row r="319" spans="7:28">
      <c r="G319" t="e">
        <f t="shared" ca="1" si="31"/>
        <v>#N/A</v>
      </c>
      <c r="H319" t="e">
        <f t="shared" ca="1" si="28"/>
        <v>#N/A</v>
      </c>
      <c r="I319" s="2" t="e">
        <f ca="1"/>
        <v>#N/A</v>
      </c>
      <c r="J319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W319" s="2">
        <f t="shared" ca="1" si="29"/>
        <v>0</v>
      </c>
      <c r="X319">
        <f t="shared" ca="1" si="30"/>
        <v>0</v>
      </c>
      <c r="Z319" s="63" t="e">
        <f t="shared" ca="1" si="32"/>
        <v>#N/A</v>
      </c>
      <c r="AA319" s="63" t="e">
        <f t="shared" ca="1" si="33"/>
        <v>#N/A</v>
      </c>
      <c r="AB319" s="3" t="e">
        <f t="shared" ca="1" si="34"/>
        <v>#N/A</v>
      </c>
    </row>
    <row r="320" spans="7:28">
      <c r="G320" t="e">
        <f t="shared" ca="1" si="31"/>
        <v>#N/A</v>
      </c>
      <c r="H320" t="e">
        <f t="shared" ca="1" si="28"/>
        <v>#N/A</v>
      </c>
      <c r="I320" s="2" t="e">
        <f ca="1"/>
        <v>#N/A</v>
      </c>
      <c r="J320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W320" s="2">
        <f t="shared" ca="1" si="29"/>
        <v>0</v>
      </c>
      <c r="X320">
        <f t="shared" ca="1" si="30"/>
        <v>0</v>
      </c>
      <c r="Z320" s="63" t="e">
        <f t="shared" ca="1" si="32"/>
        <v>#N/A</v>
      </c>
      <c r="AA320" s="63" t="e">
        <f t="shared" ca="1" si="33"/>
        <v>#N/A</v>
      </c>
      <c r="AB320" s="3" t="e">
        <f t="shared" ca="1" si="34"/>
        <v>#N/A</v>
      </c>
    </row>
    <row r="321" spans="7:28">
      <c r="G321" t="e">
        <f t="shared" ca="1" si="31"/>
        <v>#N/A</v>
      </c>
      <c r="H321" t="e">
        <f t="shared" ca="1" si="28"/>
        <v>#N/A</v>
      </c>
      <c r="I321" s="2" t="e">
        <f ca="1"/>
        <v>#N/A</v>
      </c>
      <c r="J321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W321" s="2">
        <f t="shared" ca="1" si="29"/>
        <v>0</v>
      </c>
      <c r="X321">
        <f t="shared" ca="1" si="30"/>
        <v>0</v>
      </c>
      <c r="Z321" s="63" t="e">
        <f t="shared" ca="1" si="32"/>
        <v>#N/A</v>
      </c>
      <c r="AA321" s="63" t="e">
        <f t="shared" ca="1" si="33"/>
        <v>#N/A</v>
      </c>
      <c r="AB321" s="3" t="e">
        <f t="shared" ca="1" si="34"/>
        <v>#N/A</v>
      </c>
    </row>
    <row r="322" spans="7:28">
      <c r="G322" t="e">
        <f t="shared" ca="1" si="31"/>
        <v>#N/A</v>
      </c>
      <c r="H322" t="e">
        <f t="shared" ca="1" si="28"/>
        <v>#N/A</v>
      </c>
      <c r="I322" s="2" t="e">
        <f ca="1"/>
        <v>#N/A</v>
      </c>
      <c r="J32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W322" s="2">
        <f t="shared" ca="1" si="29"/>
        <v>0</v>
      </c>
      <c r="X322">
        <f t="shared" ca="1" si="30"/>
        <v>0</v>
      </c>
      <c r="Z322" s="63" t="e">
        <f t="shared" ca="1" si="32"/>
        <v>#N/A</v>
      </c>
      <c r="AA322" s="63" t="e">
        <f t="shared" ca="1" si="33"/>
        <v>#N/A</v>
      </c>
      <c r="AB322" s="3" t="e">
        <f t="shared" ca="1" si="34"/>
        <v>#N/A</v>
      </c>
    </row>
    <row r="323" spans="7:28">
      <c r="G323" t="e">
        <f t="shared" ca="1" si="31"/>
        <v>#N/A</v>
      </c>
      <c r="H323" t="e">
        <f t="shared" ca="1" si="28"/>
        <v>#N/A</v>
      </c>
      <c r="I323" s="2" t="e">
        <f ca="1"/>
        <v>#N/A</v>
      </c>
      <c r="J323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W323" s="2">
        <f t="shared" ca="1" si="29"/>
        <v>0</v>
      </c>
      <c r="X323">
        <f t="shared" ca="1" si="30"/>
        <v>0</v>
      </c>
      <c r="Z323" s="63" t="e">
        <f t="shared" ca="1" si="32"/>
        <v>#N/A</v>
      </c>
      <c r="AA323" s="63" t="e">
        <f t="shared" ca="1" si="33"/>
        <v>#N/A</v>
      </c>
      <c r="AB323" s="3" t="e">
        <f t="shared" ca="1" si="34"/>
        <v>#N/A</v>
      </c>
    </row>
    <row r="324" spans="7:28">
      <c r="G324" t="e">
        <f t="shared" ca="1" si="31"/>
        <v>#N/A</v>
      </c>
      <c r="H324" t="e">
        <f t="shared" ca="1" si="28"/>
        <v>#N/A</v>
      </c>
      <c r="I324" s="2" t="e">
        <f ca="1"/>
        <v>#N/A</v>
      </c>
      <c r="J324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W324" s="2">
        <f t="shared" ca="1" si="29"/>
        <v>0</v>
      </c>
      <c r="X324">
        <f t="shared" ca="1" si="30"/>
        <v>0</v>
      </c>
      <c r="Z324" s="63" t="e">
        <f t="shared" ca="1" si="32"/>
        <v>#N/A</v>
      </c>
      <c r="AA324" s="63" t="e">
        <f t="shared" ca="1" si="33"/>
        <v>#N/A</v>
      </c>
      <c r="AB324" s="3" t="e">
        <f t="shared" ca="1" si="34"/>
        <v>#N/A</v>
      </c>
    </row>
    <row r="325" spans="7:28">
      <c r="G325" t="e">
        <f t="shared" ca="1" si="31"/>
        <v>#N/A</v>
      </c>
      <c r="H325" t="e">
        <f t="shared" ca="1" si="28"/>
        <v>#N/A</v>
      </c>
      <c r="I325" s="2" t="e">
        <f ca="1"/>
        <v>#N/A</v>
      </c>
      <c r="J325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W325" s="2">
        <f t="shared" ca="1" si="29"/>
        <v>0</v>
      </c>
      <c r="X325">
        <f t="shared" ca="1" si="30"/>
        <v>0</v>
      </c>
      <c r="Z325" s="63" t="e">
        <f t="shared" ca="1" si="32"/>
        <v>#N/A</v>
      </c>
      <c r="AA325" s="63" t="e">
        <f t="shared" ca="1" si="33"/>
        <v>#N/A</v>
      </c>
      <c r="AB325" s="3" t="e">
        <f t="shared" ca="1" si="34"/>
        <v>#N/A</v>
      </c>
    </row>
    <row r="326" spans="7:28">
      <c r="G326" t="e">
        <f t="shared" ca="1" si="31"/>
        <v>#N/A</v>
      </c>
      <c r="H326" t="e">
        <f t="shared" ca="1" si="28"/>
        <v>#N/A</v>
      </c>
      <c r="I326" s="2" t="e">
        <f ca="1"/>
        <v>#N/A</v>
      </c>
      <c r="J326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W326" s="2">
        <f t="shared" ca="1" si="29"/>
        <v>0</v>
      </c>
      <c r="X326">
        <f t="shared" ca="1" si="30"/>
        <v>0</v>
      </c>
      <c r="Z326" s="63" t="e">
        <f t="shared" ca="1" si="32"/>
        <v>#N/A</v>
      </c>
      <c r="AA326" s="63" t="e">
        <f t="shared" ca="1" si="33"/>
        <v>#N/A</v>
      </c>
      <c r="AB326" s="3" t="e">
        <f t="shared" ca="1" si="34"/>
        <v>#N/A</v>
      </c>
    </row>
    <row r="327" spans="7:28">
      <c r="G327" t="e">
        <f t="shared" ca="1" si="31"/>
        <v>#N/A</v>
      </c>
      <c r="H327" t="e">
        <f t="shared" ref="H327:H390" ca="1" si="35">AND(IF(I327&gt;($I$3-1),TRUE,FALSE),IF(I327&lt;($I$4+1),TRUE,FALSE))</f>
        <v>#N/A</v>
      </c>
      <c r="I327" s="2" t="e">
        <f ca="1"/>
        <v>#N/A</v>
      </c>
      <c r="J327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W327" s="2">
        <f t="shared" ref="W327:W390" ca="1" si="36">IFERROR(I327,$W$5)</f>
        <v>0</v>
      </c>
      <c r="X327">
        <f t="shared" ref="X327:X390" ca="1" si="37">IFERROR(N327,0)</f>
        <v>0</v>
      </c>
      <c r="Z327" s="63" t="e">
        <f t="shared" ca="1" si="32"/>
        <v>#N/A</v>
      </c>
      <c r="AA327" s="63" t="e">
        <f t="shared" ca="1" si="33"/>
        <v>#N/A</v>
      </c>
      <c r="AB327" s="3" t="e">
        <f t="shared" ca="1" si="34"/>
        <v>#N/A</v>
      </c>
    </row>
    <row r="328" spans="7:28">
      <c r="G328" t="e">
        <f t="shared" ref="G328:G391" ca="1" si="38">IF(I328&lt;$I$4,TRUE,FALSE)</f>
        <v>#N/A</v>
      </c>
      <c r="H328" t="e">
        <f t="shared" ca="1" si="35"/>
        <v>#N/A</v>
      </c>
      <c r="I328" s="2" t="e">
        <f ca="1"/>
        <v>#N/A</v>
      </c>
      <c r="J328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W328" s="2">
        <f t="shared" ca="1" si="36"/>
        <v>0</v>
      </c>
      <c r="X328">
        <f t="shared" ca="1" si="37"/>
        <v>0</v>
      </c>
      <c r="Z328" s="63" t="e">
        <f t="shared" ca="1" si="32"/>
        <v>#N/A</v>
      </c>
      <c r="AA328" s="63" t="e">
        <f t="shared" ca="1" si="33"/>
        <v>#N/A</v>
      </c>
      <c r="AB328" s="3" t="e">
        <f t="shared" ca="1" si="34"/>
        <v>#N/A</v>
      </c>
    </row>
    <row r="329" spans="7:28">
      <c r="G329" t="e">
        <f t="shared" ca="1" si="38"/>
        <v>#N/A</v>
      </c>
      <c r="H329" t="e">
        <f t="shared" ca="1" si="35"/>
        <v>#N/A</v>
      </c>
      <c r="I329" s="2" t="e">
        <f ca="1"/>
        <v>#N/A</v>
      </c>
      <c r="J329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W329" s="2">
        <f t="shared" ca="1" si="36"/>
        <v>0</v>
      </c>
      <c r="X329">
        <f t="shared" ca="1" si="37"/>
        <v>0</v>
      </c>
      <c r="Z329" s="63" t="e">
        <f t="shared" ca="1" si="32"/>
        <v>#N/A</v>
      </c>
      <c r="AA329" s="63" t="e">
        <f t="shared" ca="1" si="33"/>
        <v>#N/A</v>
      </c>
      <c r="AB329" s="3" t="e">
        <f t="shared" ca="1" si="34"/>
        <v>#N/A</v>
      </c>
    </row>
    <row r="330" spans="7:28">
      <c r="G330" t="e">
        <f t="shared" ca="1" si="38"/>
        <v>#N/A</v>
      </c>
      <c r="H330" t="e">
        <f t="shared" ca="1" si="35"/>
        <v>#N/A</v>
      </c>
      <c r="I330" s="2" t="e">
        <f ca="1"/>
        <v>#N/A</v>
      </c>
      <c r="J330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W330" s="2">
        <f t="shared" ca="1" si="36"/>
        <v>0</v>
      </c>
      <c r="X330">
        <f t="shared" ca="1" si="37"/>
        <v>0</v>
      </c>
      <c r="Z330" s="63" t="e">
        <f t="shared" ca="1" si="32"/>
        <v>#N/A</v>
      </c>
      <c r="AA330" s="63" t="e">
        <f t="shared" ca="1" si="33"/>
        <v>#N/A</v>
      </c>
      <c r="AB330" s="3" t="e">
        <f t="shared" ca="1" si="34"/>
        <v>#N/A</v>
      </c>
    </row>
    <row r="331" spans="7:28">
      <c r="G331" t="e">
        <f t="shared" ca="1" si="38"/>
        <v>#N/A</v>
      </c>
      <c r="H331" t="e">
        <f t="shared" ca="1" si="35"/>
        <v>#N/A</v>
      </c>
      <c r="I331" s="2" t="e">
        <f ca="1"/>
        <v>#N/A</v>
      </c>
      <c r="J331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W331" s="2">
        <f t="shared" ca="1" si="36"/>
        <v>0</v>
      </c>
      <c r="X331">
        <f t="shared" ca="1" si="37"/>
        <v>0</v>
      </c>
      <c r="Z331" s="63" t="e">
        <f t="shared" ca="1" si="32"/>
        <v>#N/A</v>
      </c>
      <c r="AA331" s="63" t="e">
        <f t="shared" ca="1" si="33"/>
        <v>#N/A</v>
      </c>
      <c r="AB331" s="3" t="e">
        <f t="shared" ca="1" si="34"/>
        <v>#N/A</v>
      </c>
    </row>
    <row r="332" spans="7:28">
      <c r="G332" t="e">
        <f t="shared" ca="1" si="38"/>
        <v>#N/A</v>
      </c>
      <c r="H332" t="e">
        <f t="shared" ca="1" si="35"/>
        <v>#N/A</v>
      </c>
      <c r="I332" s="2" t="e">
        <f ca="1"/>
        <v>#N/A</v>
      </c>
      <c r="J33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W332" s="2">
        <f t="shared" ca="1" si="36"/>
        <v>0</v>
      </c>
      <c r="X332">
        <f t="shared" ca="1" si="37"/>
        <v>0</v>
      </c>
      <c r="Z332" s="63" t="e">
        <f t="shared" ref="Z332:Z395" ca="1" si="39">J331+L332+M332+N332</f>
        <v>#N/A</v>
      </c>
      <c r="AA332" s="63" t="e">
        <f t="shared" ref="AA332:AA395" ca="1" si="40">J332+K332+Q332</f>
        <v>#N/A</v>
      </c>
      <c r="AB332" s="3" t="e">
        <f t="shared" ref="AB332:AB395" ca="1" si="41">AA332-Z332</f>
        <v>#N/A</v>
      </c>
    </row>
    <row r="333" spans="7:28">
      <c r="G333" t="e">
        <f t="shared" ca="1" si="38"/>
        <v>#N/A</v>
      </c>
      <c r="H333" t="e">
        <f t="shared" ca="1" si="35"/>
        <v>#N/A</v>
      </c>
      <c r="I333" s="2" t="e">
        <f ca="1"/>
        <v>#N/A</v>
      </c>
      <c r="J333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W333" s="2">
        <f t="shared" ca="1" si="36"/>
        <v>0</v>
      </c>
      <c r="X333">
        <f t="shared" ca="1" si="37"/>
        <v>0</v>
      </c>
      <c r="Z333" s="63" t="e">
        <f t="shared" ca="1" si="39"/>
        <v>#N/A</v>
      </c>
      <c r="AA333" s="63" t="e">
        <f t="shared" ca="1" si="40"/>
        <v>#N/A</v>
      </c>
      <c r="AB333" s="3" t="e">
        <f t="shared" ca="1" si="41"/>
        <v>#N/A</v>
      </c>
    </row>
    <row r="334" spans="7:28">
      <c r="G334" t="e">
        <f t="shared" ca="1" si="38"/>
        <v>#N/A</v>
      </c>
      <c r="H334" t="e">
        <f t="shared" ca="1" si="35"/>
        <v>#N/A</v>
      </c>
      <c r="I334" s="2" t="e">
        <f ca="1"/>
        <v>#N/A</v>
      </c>
      <c r="J334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W334" s="2">
        <f t="shared" ca="1" si="36"/>
        <v>0</v>
      </c>
      <c r="X334">
        <f t="shared" ca="1" si="37"/>
        <v>0</v>
      </c>
      <c r="Z334" s="63" t="e">
        <f t="shared" ca="1" si="39"/>
        <v>#N/A</v>
      </c>
      <c r="AA334" s="63" t="e">
        <f t="shared" ca="1" si="40"/>
        <v>#N/A</v>
      </c>
      <c r="AB334" s="3" t="e">
        <f t="shared" ca="1" si="41"/>
        <v>#N/A</v>
      </c>
    </row>
    <row r="335" spans="7:28">
      <c r="G335" t="e">
        <f t="shared" ca="1" si="38"/>
        <v>#N/A</v>
      </c>
      <c r="H335" t="e">
        <f t="shared" ca="1" si="35"/>
        <v>#N/A</v>
      </c>
      <c r="I335" s="2" t="e">
        <f ca="1"/>
        <v>#N/A</v>
      </c>
      <c r="J335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W335" s="2">
        <f t="shared" ca="1" si="36"/>
        <v>0</v>
      </c>
      <c r="X335">
        <f t="shared" ca="1" si="37"/>
        <v>0</v>
      </c>
      <c r="Z335" s="63" t="e">
        <f t="shared" ca="1" si="39"/>
        <v>#N/A</v>
      </c>
      <c r="AA335" s="63" t="e">
        <f t="shared" ca="1" si="40"/>
        <v>#N/A</v>
      </c>
      <c r="AB335" s="3" t="e">
        <f t="shared" ca="1" si="41"/>
        <v>#N/A</v>
      </c>
    </row>
    <row r="336" spans="7:28">
      <c r="G336" t="e">
        <f t="shared" ca="1" si="38"/>
        <v>#N/A</v>
      </c>
      <c r="H336" t="e">
        <f t="shared" ca="1" si="35"/>
        <v>#N/A</v>
      </c>
      <c r="I336" s="2" t="e">
        <f ca="1"/>
        <v>#N/A</v>
      </c>
      <c r="J336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W336" s="2">
        <f t="shared" ca="1" si="36"/>
        <v>0</v>
      </c>
      <c r="X336">
        <f t="shared" ca="1" si="37"/>
        <v>0</v>
      </c>
      <c r="Z336" s="63" t="e">
        <f t="shared" ca="1" si="39"/>
        <v>#N/A</v>
      </c>
      <c r="AA336" s="63" t="e">
        <f t="shared" ca="1" si="40"/>
        <v>#N/A</v>
      </c>
      <c r="AB336" s="3" t="e">
        <f t="shared" ca="1" si="41"/>
        <v>#N/A</v>
      </c>
    </row>
    <row r="337" spans="7:28">
      <c r="G337" t="e">
        <f t="shared" ca="1" si="38"/>
        <v>#N/A</v>
      </c>
      <c r="H337" t="e">
        <f t="shared" ca="1" si="35"/>
        <v>#N/A</v>
      </c>
      <c r="I337" s="2" t="e">
        <f ca="1"/>
        <v>#N/A</v>
      </c>
      <c r="J337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W337" s="2">
        <f t="shared" ca="1" si="36"/>
        <v>0</v>
      </c>
      <c r="X337">
        <f t="shared" ca="1" si="37"/>
        <v>0</v>
      </c>
      <c r="Z337" s="63" t="e">
        <f t="shared" ca="1" si="39"/>
        <v>#N/A</v>
      </c>
      <c r="AA337" s="63" t="e">
        <f t="shared" ca="1" si="40"/>
        <v>#N/A</v>
      </c>
      <c r="AB337" s="3" t="e">
        <f t="shared" ca="1" si="41"/>
        <v>#N/A</v>
      </c>
    </row>
    <row r="338" spans="7:28">
      <c r="G338" t="e">
        <f t="shared" ca="1" si="38"/>
        <v>#N/A</v>
      </c>
      <c r="H338" t="e">
        <f t="shared" ca="1" si="35"/>
        <v>#N/A</v>
      </c>
      <c r="I338" s="2" t="e">
        <f ca="1"/>
        <v>#N/A</v>
      </c>
      <c r="J338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W338" s="2">
        <f t="shared" ca="1" si="36"/>
        <v>0</v>
      </c>
      <c r="X338">
        <f t="shared" ca="1" si="37"/>
        <v>0</v>
      </c>
      <c r="Z338" s="63" t="e">
        <f t="shared" ca="1" si="39"/>
        <v>#N/A</v>
      </c>
      <c r="AA338" s="63" t="e">
        <f t="shared" ca="1" si="40"/>
        <v>#N/A</v>
      </c>
      <c r="AB338" s="3" t="e">
        <f t="shared" ca="1" si="41"/>
        <v>#N/A</v>
      </c>
    </row>
    <row r="339" spans="7:28">
      <c r="G339" t="e">
        <f t="shared" ca="1" si="38"/>
        <v>#N/A</v>
      </c>
      <c r="H339" t="e">
        <f t="shared" ca="1" si="35"/>
        <v>#N/A</v>
      </c>
      <c r="I339" s="2" t="e">
        <f ca="1"/>
        <v>#N/A</v>
      </c>
      <c r="J339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W339" s="2">
        <f t="shared" ca="1" si="36"/>
        <v>0</v>
      </c>
      <c r="X339">
        <f t="shared" ca="1" si="37"/>
        <v>0</v>
      </c>
      <c r="Z339" s="63" t="e">
        <f t="shared" ca="1" si="39"/>
        <v>#N/A</v>
      </c>
      <c r="AA339" s="63" t="e">
        <f t="shared" ca="1" si="40"/>
        <v>#N/A</v>
      </c>
      <c r="AB339" s="3" t="e">
        <f t="shared" ca="1" si="41"/>
        <v>#N/A</v>
      </c>
    </row>
    <row r="340" spans="7:28">
      <c r="G340" t="e">
        <f t="shared" ca="1" si="38"/>
        <v>#N/A</v>
      </c>
      <c r="H340" t="e">
        <f t="shared" ca="1" si="35"/>
        <v>#N/A</v>
      </c>
      <c r="I340" s="2" t="e">
        <f ca="1"/>
        <v>#N/A</v>
      </c>
      <c r="J340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W340" s="2">
        <f t="shared" ca="1" si="36"/>
        <v>0</v>
      </c>
      <c r="X340">
        <f t="shared" ca="1" si="37"/>
        <v>0</v>
      </c>
      <c r="Z340" s="63" t="e">
        <f t="shared" ca="1" si="39"/>
        <v>#N/A</v>
      </c>
      <c r="AA340" s="63" t="e">
        <f t="shared" ca="1" si="40"/>
        <v>#N/A</v>
      </c>
      <c r="AB340" s="3" t="e">
        <f t="shared" ca="1" si="41"/>
        <v>#N/A</v>
      </c>
    </row>
    <row r="341" spans="7:28">
      <c r="G341" t="e">
        <f t="shared" ca="1" si="38"/>
        <v>#N/A</v>
      </c>
      <c r="H341" t="e">
        <f t="shared" ca="1" si="35"/>
        <v>#N/A</v>
      </c>
      <c r="I341" s="2" t="e">
        <f ca="1"/>
        <v>#N/A</v>
      </c>
      <c r="J341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W341" s="2">
        <f t="shared" ca="1" si="36"/>
        <v>0</v>
      </c>
      <c r="X341">
        <f t="shared" ca="1" si="37"/>
        <v>0</v>
      </c>
      <c r="Z341" s="63" t="e">
        <f t="shared" ca="1" si="39"/>
        <v>#N/A</v>
      </c>
      <c r="AA341" s="63" t="e">
        <f t="shared" ca="1" si="40"/>
        <v>#N/A</v>
      </c>
      <c r="AB341" s="3" t="e">
        <f t="shared" ca="1" si="41"/>
        <v>#N/A</v>
      </c>
    </row>
    <row r="342" spans="7:28">
      <c r="G342" t="e">
        <f t="shared" ca="1" si="38"/>
        <v>#N/A</v>
      </c>
      <c r="H342" t="e">
        <f t="shared" ca="1" si="35"/>
        <v>#N/A</v>
      </c>
      <c r="I342" s="2" t="e">
        <f ca="1"/>
        <v>#N/A</v>
      </c>
      <c r="J34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W342" s="2">
        <f t="shared" ca="1" si="36"/>
        <v>0</v>
      </c>
      <c r="X342">
        <f t="shared" ca="1" si="37"/>
        <v>0</v>
      </c>
      <c r="Z342" s="63" t="e">
        <f t="shared" ca="1" si="39"/>
        <v>#N/A</v>
      </c>
      <c r="AA342" s="63" t="e">
        <f t="shared" ca="1" si="40"/>
        <v>#N/A</v>
      </c>
      <c r="AB342" s="3" t="e">
        <f t="shared" ca="1" si="41"/>
        <v>#N/A</v>
      </c>
    </row>
    <row r="343" spans="7:28">
      <c r="G343" t="e">
        <f t="shared" ca="1" si="38"/>
        <v>#N/A</v>
      </c>
      <c r="H343" t="e">
        <f t="shared" ca="1" si="35"/>
        <v>#N/A</v>
      </c>
      <c r="I343" s="2" t="e">
        <f ca="1"/>
        <v>#N/A</v>
      </c>
      <c r="J343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W343" s="2">
        <f t="shared" ca="1" si="36"/>
        <v>0</v>
      </c>
      <c r="X343">
        <f t="shared" ca="1" si="37"/>
        <v>0</v>
      </c>
      <c r="Z343" s="63" t="e">
        <f t="shared" ca="1" si="39"/>
        <v>#N/A</v>
      </c>
      <c r="AA343" s="63" t="e">
        <f t="shared" ca="1" si="40"/>
        <v>#N/A</v>
      </c>
      <c r="AB343" s="3" t="e">
        <f t="shared" ca="1" si="41"/>
        <v>#N/A</v>
      </c>
    </row>
    <row r="344" spans="7:28">
      <c r="G344" t="e">
        <f t="shared" ca="1" si="38"/>
        <v>#N/A</v>
      </c>
      <c r="H344" t="e">
        <f t="shared" ca="1" si="35"/>
        <v>#N/A</v>
      </c>
      <c r="I344" s="2" t="e">
        <f ca="1"/>
        <v>#N/A</v>
      </c>
      <c r="J344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W344" s="2">
        <f t="shared" ca="1" si="36"/>
        <v>0</v>
      </c>
      <c r="X344">
        <f t="shared" ca="1" si="37"/>
        <v>0</v>
      </c>
      <c r="Z344" s="63" t="e">
        <f t="shared" ca="1" si="39"/>
        <v>#N/A</v>
      </c>
      <c r="AA344" s="63" t="e">
        <f t="shared" ca="1" si="40"/>
        <v>#N/A</v>
      </c>
      <c r="AB344" s="3" t="e">
        <f t="shared" ca="1" si="41"/>
        <v>#N/A</v>
      </c>
    </row>
    <row r="345" spans="7:28">
      <c r="G345" t="e">
        <f t="shared" ca="1" si="38"/>
        <v>#N/A</v>
      </c>
      <c r="H345" t="e">
        <f t="shared" ca="1" si="35"/>
        <v>#N/A</v>
      </c>
      <c r="I345" s="2" t="e">
        <f ca="1"/>
        <v>#N/A</v>
      </c>
      <c r="J345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W345" s="2">
        <f t="shared" ca="1" si="36"/>
        <v>0</v>
      </c>
      <c r="X345">
        <f t="shared" ca="1" si="37"/>
        <v>0</v>
      </c>
      <c r="Z345" s="63" t="e">
        <f t="shared" ca="1" si="39"/>
        <v>#N/A</v>
      </c>
      <c r="AA345" s="63" t="e">
        <f t="shared" ca="1" si="40"/>
        <v>#N/A</v>
      </c>
      <c r="AB345" s="3" t="e">
        <f t="shared" ca="1" si="41"/>
        <v>#N/A</v>
      </c>
    </row>
    <row r="346" spans="7:28">
      <c r="G346" t="e">
        <f t="shared" ca="1" si="38"/>
        <v>#N/A</v>
      </c>
      <c r="H346" t="e">
        <f t="shared" ca="1" si="35"/>
        <v>#N/A</v>
      </c>
      <c r="I346" s="2" t="e">
        <f ca="1"/>
        <v>#N/A</v>
      </c>
      <c r="J346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W346" s="2">
        <f t="shared" ca="1" si="36"/>
        <v>0</v>
      </c>
      <c r="X346">
        <f t="shared" ca="1" si="37"/>
        <v>0</v>
      </c>
      <c r="Z346" s="63" t="e">
        <f t="shared" ca="1" si="39"/>
        <v>#N/A</v>
      </c>
      <c r="AA346" s="63" t="e">
        <f t="shared" ca="1" si="40"/>
        <v>#N/A</v>
      </c>
      <c r="AB346" s="3" t="e">
        <f t="shared" ca="1" si="41"/>
        <v>#N/A</v>
      </c>
    </row>
    <row r="347" spans="7:28">
      <c r="G347" t="e">
        <f t="shared" ca="1" si="38"/>
        <v>#N/A</v>
      </c>
      <c r="H347" t="e">
        <f t="shared" ca="1" si="35"/>
        <v>#N/A</v>
      </c>
      <c r="I347" s="2" t="e">
        <f ca="1"/>
        <v>#N/A</v>
      </c>
      <c r="J347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W347" s="2">
        <f t="shared" ca="1" si="36"/>
        <v>0</v>
      </c>
      <c r="X347">
        <f t="shared" ca="1" si="37"/>
        <v>0</v>
      </c>
      <c r="Z347" s="63" t="e">
        <f t="shared" ca="1" si="39"/>
        <v>#N/A</v>
      </c>
      <c r="AA347" s="63" t="e">
        <f t="shared" ca="1" si="40"/>
        <v>#N/A</v>
      </c>
      <c r="AB347" s="3" t="e">
        <f t="shared" ca="1" si="41"/>
        <v>#N/A</v>
      </c>
    </row>
    <row r="348" spans="7:28">
      <c r="G348" t="e">
        <f t="shared" ca="1" si="38"/>
        <v>#N/A</v>
      </c>
      <c r="H348" t="e">
        <f t="shared" ca="1" si="35"/>
        <v>#N/A</v>
      </c>
      <c r="I348" s="2" t="e">
        <f ca="1"/>
        <v>#N/A</v>
      </c>
      <c r="J348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W348" s="2">
        <f t="shared" ca="1" si="36"/>
        <v>0</v>
      </c>
      <c r="X348">
        <f t="shared" ca="1" si="37"/>
        <v>0</v>
      </c>
      <c r="Z348" s="63" t="e">
        <f t="shared" ca="1" si="39"/>
        <v>#N/A</v>
      </c>
      <c r="AA348" s="63" t="e">
        <f t="shared" ca="1" si="40"/>
        <v>#N/A</v>
      </c>
      <c r="AB348" s="3" t="e">
        <f t="shared" ca="1" si="41"/>
        <v>#N/A</v>
      </c>
    </row>
    <row r="349" spans="7:28">
      <c r="G349" t="e">
        <f t="shared" ca="1" si="38"/>
        <v>#N/A</v>
      </c>
      <c r="H349" t="e">
        <f t="shared" ca="1" si="35"/>
        <v>#N/A</v>
      </c>
      <c r="I349" s="2" t="e">
        <f ca="1"/>
        <v>#N/A</v>
      </c>
      <c r="J349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W349" s="2">
        <f t="shared" ca="1" si="36"/>
        <v>0</v>
      </c>
      <c r="X349">
        <f t="shared" ca="1" si="37"/>
        <v>0</v>
      </c>
      <c r="Z349" s="63" t="e">
        <f t="shared" ca="1" si="39"/>
        <v>#N/A</v>
      </c>
      <c r="AA349" s="63" t="e">
        <f t="shared" ca="1" si="40"/>
        <v>#N/A</v>
      </c>
      <c r="AB349" s="3" t="e">
        <f t="shared" ca="1" si="41"/>
        <v>#N/A</v>
      </c>
    </row>
    <row r="350" spans="7:28">
      <c r="G350" t="e">
        <f t="shared" ca="1" si="38"/>
        <v>#N/A</v>
      </c>
      <c r="H350" t="e">
        <f t="shared" ca="1" si="35"/>
        <v>#N/A</v>
      </c>
      <c r="I350" s="2" t="e">
        <f ca="1"/>
        <v>#N/A</v>
      </c>
      <c r="J350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W350" s="2">
        <f t="shared" ca="1" si="36"/>
        <v>0</v>
      </c>
      <c r="X350">
        <f t="shared" ca="1" si="37"/>
        <v>0</v>
      </c>
      <c r="Z350" s="63" t="e">
        <f t="shared" ca="1" si="39"/>
        <v>#N/A</v>
      </c>
      <c r="AA350" s="63" t="e">
        <f t="shared" ca="1" si="40"/>
        <v>#N/A</v>
      </c>
      <c r="AB350" s="3" t="e">
        <f t="shared" ca="1" si="41"/>
        <v>#N/A</v>
      </c>
    </row>
    <row r="351" spans="7:28">
      <c r="G351" t="e">
        <f t="shared" ca="1" si="38"/>
        <v>#N/A</v>
      </c>
      <c r="H351" t="e">
        <f t="shared" ca="1" si="35"/>
        <v>#N/A</v>
      </c>
      <c r="I351" s="2" t="e">
        <f ca="1"/>
        <v>#N/A</v>
      </c>
      <c r="J351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W351" s="2">
        <f t="shared" ca="1" si="36"/>
        <v>0</v>
      </c>
      <c r="X351">
        <f t="shared" ca="1" si="37"/>
        <v>0</v>
      </c>
      <c r="Z351" s="63" t="e">
        <f t="shared" ca="1" si="39"/>
        <v>#N/A</v>
      </c>
      <c r="AA351" s="63" t="e">
        <f t="shared" ca="1" si="40"/>
        <v>#N/A</v>
      </c>
      <c r="AB351" s="3" t="e">
        <f t="shared" ca="1" si="41"/>
        <v>#N/A</v>
      </c>
    </row>
    <row r="352" spans="7:28">
      <c r="G352" t="e">
        <f t="shared" ca="1" si="38"/>
        <v>#N/A</v>
      </c>
      <c r="H352" t="e">
        <f t="shared" ca="1" si="35"/>
        <v>#N/A</v>
      </c>
      <c r="I352" s="2" t="e">
        <f ca="1"/>
        <v>#N/A</v>
      </c>
      <c r="J35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W352" s="2">
        <f t="shared" ca="1" si="36"/>
        <v>0</v>
      </c>
      <c r="X352">
        <f t="shared" ca="1" si="37"/>
        <v>0</v>
      </c>
      <c r="Z352" s="63" t="e">
        <f t="shared" ca="1" si="39"/>
        <v>#N/A</v>
      </c>
      <c r="AA352" s="63" t="e">
        <f t="shared" ca="1" si="40"/>
        <v>#N/A</v>
      </c>
      <c r="AB352" s="3" t="e">
        <f t="shared" ca="1" si="41"/>
        <v>#N/A</v>
      </c>
    </row>
    <row r="353" spans="7:28">
      <c r="G353" t="e">
        <f t="shared" ca="1" si="38"/>
        <v>#N/A</v>
      </c>
      <c r="H353" t="e">
        <f t="shared" ca="1" si="35"/>
        <v>#N/A</v>
      </c>
      <c r="I353" s="2" t="e">
        <f ca="1"/>
        <v>#N/A</v>
      </c>
      <c r="J353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W353" s="2">
        <f t="shared" ca="1" si="36"/>
        <v>0</v>
      </c>
      <c r="X353">
        <f t="shared" ca="1" si="37"/>
        <v>0</v>
      </c>
      <c r="Z353" s="63" t="e">
        <f t="shared" ca="1" si="39"/>
        <v>#N/A</v>
      </c>
      <c r="AA353" s="63" t="e">
        <f t="shared" ca="1" si="40"/>
        <v>#N/A</v>
      </c>
      <c r="AB353" s="3" t="e">
        <f t="shared" ca="1" si="41"/>
        <v>#N/A</v>
      </c>
    </row>
    <row r="354" spans="7:28">
      <c r="G354" t="e">
        <f t="shared" ca="1" si="38"/>
        <v>#N/A</v>
      </c>
      <c r="H354" t="e">
        <f t="shared" ca="1" si="35"/>
        <v>#N/A</v>
      </c>
      <c r="I354" s="2" t="e">
        <f ca="1"/>
        <v>#N/A</v>
      </c>
      <c r="J354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W354" s="2">
        <f t="shared" ca="1" si="36"/>
        <v>0</v>
      </c>
      <c r="X354">
        <f t="shared" ca="1" si="37"/>
        <v>0</v>
      </c>
      <c r="Z354" s="63" t="e">
        <f t="shared" ca="1" si="39"/>
        <v>#N/A</v>
      </c>
      <c r="AA354" s="63" t="e">
        <f t="shared" ca="1" si="40"/>
        <v>#N/A</v>
      </c>
      <c r="AB354" s="3" t="e">
        <f t="shared" ca="1" si="41"/>
        <v>#N/A</v>
      </c>
    </row>
    <row r="355" spans="7:28">
      <c r="G355" t="e">
        <f t="shared" ca="1" si="38"/>
        <v>#N/A</v>
      </c>
      <c r="H355" t="e">
        <f t="shared" ca="1" si="35"/>
        <v>#N/A</v>
      </c>
      <c r="I355" s="2" t="e">
        <f ca="1"/>
        <v>#N/A</v>
      </c>
      <c r="J355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W355" s="2">
        <f t="shared" ca="1" si="36"/>
        <v>0</v>
      </c>
      <c r="X355">
        <f t="shared" ca="1" si="37"/>
        <v>0</v>
      </c>
      <c r="Z355" s="63" t="e">
        <f t="shared" ca="1" si="39"/>
        <v>#N/A</v>
      </c>
      <c r="AA355" s="63" t="e">
        <f t="shared" ca="1" si="40"/>
        <v>#N/A</v>
      </c>
      <c r="AB355" s="3" t="e">
        <f t="shared" ca="1" si="41"/>
        <v>#N/A</v>
      </c>
    </row>
    <row r="356" spans="7:28">
      <c r="G356" t="e">
        <f t="shared" ca="1" si="38"/>
        <v>#N/A</v>
      </c>
      <c r="H356" t="e">
        <f t="shared" ca="1" si="35"/>
        <v>#N/A</v>
      </c>
      <c r="I356" s="2" t="e">
        <f ca="1"/>
        <v>#N/A</v>
      </c>
      <c r="J356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W356" s="2">
        <f t="shared" ca="1" si="36"/>
        <v>0</v>
      </c>
      <c r="X356">
        <f t="shared" ca="1" si="37"/>
        <v>0</v>
      </c>
      <c r="Z356" s="63" t="e">
        <f t="shared" ca="1" si="39"/>
        <v>#N/A</v>
      </c>
      <c r="AA356" s="63" t="e">
        <f t="shared" ca="1" si="40"/>
        <v>#N/A</v>
      </c>
      <c r="AB356" s="3" t="e">
        <f t="shared" ca="1" si="41"/>
        <v>#N/A</v>
      </c>
    </row>
    <row r="357" spans="7:28">
      <c r="G357" t="e">
        <f t="shared" ca="1" si="38"/>
        <v>#N/A</v>
      </c>
      <c r="H357" t="e">
        <f t="shared" ca="1" si="35"/>
        <v>#N/A</v>
      </c>
      <c r="I357" s="2" t="e">
        <f ca="1"/>
        <v>#N/A</v>
      </c>
      <c r="J357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W357" s="2">
        <f t="shared" ca="1" si="36"/>
        <v>0</v>
      </c>
      <c r="X357">
        <f t="shared" ca="1" si="37"/>
        <v>0</v>
      </c>
      <c r="Z357" s="63" t="e">
        <f t="shared" ca="1" si="39"/>
        <v>#N/A</v>
      </c>
      <c r="AA357" s="63" t="e">
        <f t="shared" ca="1" si="40"/>
        <v>#N/A</v>
      </c>
      <c r="AB357" s="3" t="e">
        <f t="shared" ca="1" si="41"/>
        <v>#N/A</v>
      </c>
    </row>
    <row r="358" spans="7:28">
      <c r="G358" t="e">
        <f t="shared" ca="1" si="38"/>
        <v>#N/A</v>
      </c>
      <c r="H358" t="e">
        <f t="shared" ca="1" si="35"/>
        <v>#N/A</v>
      </c>
      <c r="I358" s="2" t="e">
        <f ca="1"/>
        <v>#N/A</v>
      </c>
      <c r="J358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W358" s="2">
        <f t="shared" ca="1" si="36"/>
        <v>0</v>
      </c>
      <c r="X358">
        <f t="shared" ca="1" si="37"/>
        <v>0</v>
      </c>
      <c r="Z358" s="63" t="e">
        <f t="shared" ca="1" si="39"/>
        <v>#N/A</v>
      </c>
      <c r="AA358" s="63" t="e">
        <f t="shared" ca="1" si="40"/>
        <v>#N/A</v>
      </c>
      <c r="AB358" s="3" t="e">
        <f t="shared" ca="1" si="41"/>
        <v>#N/A</v>
      </c>
    </row>
    <row r="359" spans="7:28">
      <c r="G359" t="e">
        <f t="shared" ca="1" si="38"/>
        <v>#N/A</v>
      </c>
      <c r="H359" t="e">
        <f t="shared" ca="1" si="35"/>
        <v>#N/A</v>
      </c>
      <c r="I359" s="2" t="e">
        <f ca="1"/>
        <v>#N/A</v>
      </c>
      <c r="J359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W359" s="2">
        <f t="shared" ca="1" si="36"/>
        <v>0</v>
      </c>
      <c r="X359">
        <f t="shared" ca="1" si="37"/>
        <v>0</v>
      </c>
      <c r="Z359" s="63" t="e">
        <f t="shared" ca="1" si="39"/>
        <v>#N/A</v>
      </c>
      <c r="AA359" s="63" t="e">
        <f t="shared" ca="1" si="40"/>
        <v>#N/A</v>
      </c>
      <c r="AB359" s="3" t="e">
        <f t="shared" ca="1" si="41"/>
        <v>#N/A</v>
      </c>
    </row>
    <row r="360" spans="7:28">
      <c r="G360" t="e">
        <f t="shared" ca="1" si="38"/>
        <v>#N/A</v>
      </c>
      <c r="H360" t="e">
        <f t="shared" ca="1" si="35"/>
        <v>#N/A</v>
      </c>
      <c r="I360" s="2" t="e">
        <f ca="1"/>
        <v>#N/A</v>
      </c>
      <c r="J360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W360" s="2">
        <f t="shared" ca="1" si="36"/>
        <v>0</v>
      </c>
      <c r="X360">
        <f t="shared" ca="1" si="37"/>
        <v>0</v>
      </c>
      <c r="Z360" s="63" t="e">
        <f t="shared" ca="1" si="39"/>
        <v>#N/A</v>
      </c>
      <c r="AA360" s="63" t="e">
        <f t="shared" ca="1" si="40"/>
        <v>#N/A</v>
      </c>
      <c r="AB360" s="3" t="e">
        <f t="shared" ca="1" si="41"/>
        <v>#N/A</v>
      </c>
    </row>
    <row r="361" spans="7:28">
      <c r="G361" t="e">
        <f t="shared" ca="1" si="38"/>
        <v>#N/A</v>
      </c>
      <c r="H361" t="e">
        <f t="shared" ca="1" si="35"/>
        <v>#N/A</v>
      </c>
      <c r="I361" s="2" t="e">
        <f ca="1"/>
        <v>#N/A</v>
      </c>
      <c r="J361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W361" s="2">
        <f t="shared" ca="1" si="36"/>
        <v>0</v>
      </c>
      <c r="X361">
        <f t="shared" ca="1" si="37"/>
        <v>0</v>
      </c>
      <c r="Z361" s="63" t="e">
        <f t="shared" ca="1" si="39"/>
        <v>#N/A</v>
      </c>
      <c r="AA361" s="63" t="e">
        <f t="shared" ca="1" si="40"/>
        <v>#N/A</v>
      </c>
      <c r="AB361" s="3" t="e">
        <f t="shared" ca="1" si="41"/>
        <v>#N/A</v>
      </c>
    </row>
    <row r="362" spans="7:28">
      <c r="G362" t="e">
        <f t="shared" ca="1" si="38"/>
        <v>#N/A</v>
      </c>
      <c r="H362" t="e">
        <f t="shared" ca="1" si="35"/>
        <v>#N/A</v>
      </c>
      <c r="I362" s="2" t="e">
        <f ca="1"/>
        <v>#N/A</v>
      </c>
      <c r="J36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W362" s="2">
        <f t="shared" ca="1" si="36"/>
        <v>0</v>
      </c>
      <c r="X362">
        <f t="shared" ca="1" si="37"/>
        <v>0</v>
      </c>
      <c r="Z362" s="63" t="e">
        <f t="shared" ca="1" si="39"/>
        <v>#N/A</v>
      </c>
      <c r="AA362" s="63" t="e">
        <f t="shared" ca="1" si="40"/>
        <v>#N/A</v>
      </c>
      <c r="AB362" s="3" t="e">
        <f t="shared" ca="1" si="41"/>
        <v>#N/A</v>
      </c>
    </row>
    <row r="363" spans="7:28">
      <c r="G363" t="e">
        <f t="shared" ca="1" si="38"/>
        <v>#N/A</v>
      </c>
      <c r="H363" t="e">
        <f t="shared" ca="1" si="35"/>
        <v>#N/A</v>
      </c>
      <c r="I363" s="2" t="e">
        <f ca="1"/>
        <v>#N/A</v>
      </c>
      <c r="J363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W363" s="2">
        <f t="shared" ca="1" si="36"/>
        <v>0</v>
      </c>
      <c r="X363">
        <f t="shared" ca="1" si="37"/>
        <v>0</v>
      </c>
      <c r="Z363" s="63" t="e">
        <f t="shared" ca="1" si="39"/>
        <v>#N/A</v>
      </c>
      <c r="AA363" s="63" t="e">
        <f t="shared" ca="1" si="40"/>
        <v>#N/A</v>
      </c>
      <c r="AB363" s="3" t="e">
        <f t="shared" ca="1" si="41"/>
        <v>#N/A</v>
      </c>
    </row>
    <row r="364" spans="7:28">
      <c r="G364" t="e">
        <f t="shared" ca="1" si="38"/>
        <v>#N/A</v>
      </c>
      <c r="H364" t="e">
        <f t="shared" ca="1" si="35"/>
        <v>#N/A</v>
      </c>
      <c r="I364" s="2" t="e">
        <f ca="1"/>
        <v>#N/A</v>
      </c>
      <c r="J364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W364" s="2">
        <f t="shared" ca="1" si="36"/>
        <v>0</v>
      </c>
      <c r="X364">
        <f t="shared" ca="1" si="37"/>
        <v>0</v>
      </c>
      <c r="Z364" s="63" t="e">
        <f t="shared" ca="1" si="39"/>
        <v>#N/A</v>
      </c>
      <c r="AA364" s="63" t="e">
        <f t="shared" ca="1" si="40"/>
        <v>#N/A</v>
      </c>
      <c r="AB364" s="3" t="e">
        <f t="shared" ca="1" si="41"/>
        <v>#N/A</v>
      </c>
    </row>
    <row r="365" spans="7:28">
      <c r="G365" t="e">
        <f t="shared" ca="1" si="38"/>
        <v>#N/A</v>
      </c>
      <c r="H365" t="e">
        <f t="shared" ca="1" si="35"/>
        <v>#N/A</v>
      </c>
      <c r="I365" s="2" t="e">
        <f ca="1"/>
        <v>#N/A</v>
      </c>
      <c r="J365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W365" s="2">
        <f t="shared" ca="1" si="36"/>
        <v>0</v>
      </c>
      <c r="X365">
        <f t="shared" ca="1" si="37"/>
        <v>0</v>
      </c>
      <c r="Z365" s="63" t="e">
        <f t="shared" ca="1" si="39"/>
        <v>#N/A</v>
      </c>
      <c r="AA365" s="63" t="e">
        <f t="shared" ca="1" si="40"/>
        <v>#N/A</v>
      </c>
      <c r="AB365" s="3" t="e">
        <f t="shared" ca="1" si="41"/>
        <v>#N/A</v>
      </c>
    </row>
    <row r="366" spans="7:28">
      <c r="G366" t="e">
        <f t="shared" ca="1" si="38"/>
        <v>#N/A</v>
      </c>
      <c r="H366" t="e">
        <f t="shared" ca="1" si="35"/>
        <v>#N/A</v>
      </c>
      <c r="I366" s="2" t="e">
        <f ca="1"/>
        <v>#N/A</v>
      </c>
      <c r="J366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W366" s="2">
        <f t="shared" ca="1" si="36"/>
        <v>0</v>
      </c>
      <c r="X366">
        <f t="shared" ca="1" si="37"/>
        <v>0</v>
      </c>
      <c r="Z366" s="63" t="e">
        <f t="shared" ca="1" si="39"/>
        <v>#N/A</v>
      </c>
      <c r="AA366" s="63" t="e">
        <f t="shared" ca="1" si="40"/>
        <v>#N/A</v>
      </c>
      <c r="AB366" s="3" t="e">
        <f t="shared" ca="1" si="41"/>
        <v>#N/A</v>
      </c>
    </row>
    <row r="367" spans="7:28">
      <c r="G367" t="e">
        <f t="shared" ca="1" si="38"/>
        <v>#N/A</v>
      </c>
      <c r="H367" t="e">
        <f t="shared" ca="1" si="35"/>
        <v>#N/A</v>
      </c>
      <c r="I367" s="2" t="e">
        <f ca="1"/>
        <v>#N/A</v>
      </c>
      <c r="J367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W367" s="2">
        <f t="shared" ca="1" si="36"/>
        <v>0</v>
      </c>
      <c r="X367">
        <f t="shared" ca="1" si="37"/>
        <v>0</v>
      </c>
      <c r="Z367" s="63" t="e">
        <f t="shared" ca="1" si="39"/>
        <v>#N/A</v>
      </c>
      <c r="AA367" s="63" t="e">
        <f t="shared" ca="1" si="40"/>
        <v>#N/A</v>
      </c>
      <c r="AB367" s="3" t="e">
        <f t="shared" ca="1" si="41"/>
        <v>#N/A</v>
      </c>
    </row>
    <row r="368" spans="7:28">
      <c r="G368" t="e">
        <f t="shared" ca="1" si="38"/>
        <v>#N/A</v>
      </c>
      <c r="H368" t="e">
        <f t="shared" ca="1" si="35"/>
        <v>#N/A</v>
      </c>
      <c r="I368" s="2" t="e">
        <f ca="1"/>
        <v>#N/A</v>
      </c>
      <c r="J368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W368" s="2">
        <f t="shared" ca="1" si="36"/>
        <v>0</v>
      </c>
      <c r="X368">
        <f t="shared" ca="1" si="37"/>
        <v>0</v>
      </c>
      <c r="Z368" s="63" t="e">
        <f t="shared" ca="1" si="39"/>
        <v>#N/A</v>
      </c>
      <c r="AA368" s="63" t="e">
        <f t="shared" ca="1" si="40"/>
        <v>#N/A</v>
      </c>
      <c r="AB368" s="3" t="e">
        <f t="shared" ca="1" si="41"/>
        <v>#N/A</v>
      </c>
    </row>
    <row r="369" spans="7:28">
      <c r="G369" t="e">
        <f t="shared" ca="1" si="38"/>
        <v>#N/A</v>
      </c>
      <c r="H369" t="e">
        <f t="shared" ca="1" si="35"/>
        <v>#N/A</v>
      </c>
      <c r="I369" s="2" t="e">
        <f ca="1"/>
        <v>#N/A</v>
      </c>
      <c r="J369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W369" s="2">
        <f t="shared" ca="1" si="36"/>
        <v>0</v>
      </c>
      <c r="X369">
        <f t="shared" ca="1" si="37"/>
        <v>0</v>
      </c>
      <c r="Z369" s="63" t="e">
        <f t="shared" ca="1" si="39"/>
        <v>#N/A</v>
      </c>
      <c r="AA369" s="63" t="e">
        <f t="shared" ca="1" si="40"/>
        <v>#N/A</v>
      </c>
      <c r="AB369" s="3" t="e">
        <f t="shared" ca="1" si="41"/>
        <v>#N/A</v>
      </c>
    </row>
    <row r="370" spans="7:28">
      <c r="G370" t="e">
        <f t="shared" ca="1" si="38"/>
        <v>#N/A</v>
      </c>
      <c r="H370" t="e">
        <f t="shared" ca="1" si="35"/>
        <v>#N/A</v>
      </c>
      <c r="I370" s="2" t="e">
        <f ca="1"/>
        <v>#N/A</v>
      </c>
      <c r="J370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W370" s="2">
        <f t="shared" ca="1" si="36"/>
        <v>0</v>
      </c>
      <c r="X370">
        <f t="shared" ca="1" si="37"/>
        <v>0</v>
      </c>
      <c r="Z370" s="63" t="e">
        <f t="shared" ca="1" si="39"/>
        <v>#N/A</v>
      </c>
      <c r="AA370" s="63" t="e">
        <f t="shared" ca="1" si="40"/>
        <v>#N/A</v>
      </c>
      <c r="AB370" s="3" t="e">
        <f t="shared" ca="1" si="41"/>
        <v>#N/A</v>
      </c>
    </row>
    <row r="371" spans="7:28">
      <c r="G371" t="e">
        <f t="shared" ca="1" si="38"/>
        <v>#N/A</v>
      </c>
      <c r="H371" t="e">
        <f t="shared" ca="1" si="35"/>
        <v>#N/A</v>
      </c>
      <c r="I371" s="2" t="e">
        <f ca="1"/>
        <v>#N/A</v>
      </c>
      <c r="J371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W371" s="2">
        <f t="shared" ca="1" si="36"/>
        <v>0</v>
      </c>
      <c r="X371">
        <f t="shared" ca="1" si="37"/>
        <v>0</v>
      </c>
      <c r="Z371" s="63" t="e">
        <f t="shared" ca="1" si="39"/>
        <v>#N/A</v>
      </c>
      <c r="AA371" s="63" t="e">
        <f t="shared" ca="1" si="40"/>
        <v>#N/A</v>
      </c>
      <c r="AB371" s="3" t="e">
        <f t="shared" ca="1" si="41"/>
        <v>#N/A</v>
      </c>
    </row>
    <row r="372" spans="7:28">
      <c r="G372" t="e">
        <f t="shared" ca="1" si="38"/>
        <v>#N/A</v>
      </c>
      <c r="H372" t="e">
        <f t="shared" ca="1" si="35"/>
        <v>#N/A</v>
      </c>
      <c r="I372" s="2" t="e">
        <f ca="1"/>
        <v>#N/A</v>
      </c>
      <c r="J37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W372" s="2">
        <f t="shared" ca="1" si="36"/>
        <v>0</v>
      </c>
      <c r="X372">
        <f t="shared" ca="1" si="37"/>
        <v>0</v>
      </c>
      <c r="Z372" s="63" t="e">
        <f t="shared" ca="1" si="39"/>
        <v>#N/A</v>
      </c>
      <c r="AA372" s="63" t="e">
        <f t="shared" ca="1" si="40"/>
        <v>#N/A</v>
      </c>
      <c r="AB372" s="3" t="e">
        <f t="shared" ca="1" si="41"/>
        <v>#N/A</v>
      </c>
    </row>
    <row r="373" spans="7:28">
      <c r="G373" t="e">
        <f t="shared" ca="1" si="38"/>
        <v>#N/A</v>
      </c>
      <c r="H373" t="e">
        <f t="shared" ca="1" si="35"/>
        <v>#N/A</v>
      </c>
      <c r="I373" s="2" t="e">
        <f ca="1"/>
        <v>#N/A</v>
      </c>
      <c r="J373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W373" s="2">
        <f t="shared" ca="1" si="36"/>
        <v>0</v>
      </c>
      <c r="X373">
        <f t="shared" ca="1" si="37"/>
        <v>0</v>
      </c>
      <c r="Z373" s="63" t="e">
        <f t="shared" ca="1" si="39"/>
        <v>#N/A</v>
      </c>
      <c r="AA373" s="63" t="e">
        <f t="shared" ca="1" si="40"/>
        <v>#N/A</v>
      </c>
      <c r="AB373" s="3" t="e">
        <f t="shared" ca="1" si="41"/>
        <v>#N/A</v>
      </c>
    </row>
    <row r="374" spans="7:28">
      <c r="G374" t="e">
        <f t="shared" ca="1" si="38"/>
        <v>#N/A</v>
      </c>
      <c r="H374" t="e">
        <f t="shared" ca="1" si="35"/>
        <v>#N/A</v>
      </c>
      <c r="I374" s="2" t="e">
        <f ca="1"/>
        <v>#N/A</v>
      </c>
      <c r="J374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W374" s="2">
        <f t="shared" ca="1" si="36"/>
        <v>0</v>
      </c>
      <c r="X374">
        <f t="shared" ca="1" si="37"/>
        <v>0</v>
      </c>
      <c r="Z374" s="63" t="e">
        <f t="shared" ca="1" si="39"/>
        <v>#N/A</v>
      </c>
      <c r="AA374" s="63" t="e">
        <f t="shared" ca="1" si="40"/>
        <v>#N/A</v>
      </c>
      <c r="AB374" s="3" t="e">
        <f t="shared" ca="1" si="41"/>
        <v>#N/A</v>
      </c>
    </row>
    <row r="375" spans="7:28">
      <c r="G375" t="e">
        <f t="shared" ca="1" si="38"/>
        <v>#N/A</v>
      </c>
      <c r="H375" t="e">
        <f t="shared" ca="1" si="35"/>
        <v>#N/A</v>
      </c>
      <c r="I375" s="2" t="e">
        <f ca="1"/>
        <v>#N/A</v>
      </c>
      <c r="J375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W375" s="2">
        <f t="shared" ca="1" si="36"/>
        <v>0</v>
      </c>
      <c r="X375">
        <f t="shared" ca="1" si="37"/>
        <v>0</v>
      </c>
      <c r="Z375" s="63" t="e">
        <f t="shared" ca="1" si="39"/>
        <v>#N/A</v>
      </c>
      <c r="AA375" s="63" t="e">
        <f t="shared" ca="1" si="40"/>
        <v>#N/A</v>
      </c>
      <c r="AB375" s="3" t="e">
        <f t="shared" ca="1" si="41"/>
        <v>#N/A</v>
      </c>
    </row>
    <row r="376" spans="7:28">
      <c r="G376" t="e">
        <f t="shared" ca="1" si="38"/>
        <v>#N/A</v>
      </c>
      <c r="H376" t="e">
        <f t="shared" ca="1" si="35"/>
        <v>#N/A</v>
      </c>
      <c r="I376" s="2" t="e">
        <f ca="1"/>
        <v>#N/A</v>
      </c>
      <c r="J376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W376" s="2">
        <f t="shared" ca="1" si="36"/>
        <v>0</v>
      </c>
      <c r="X376">
        <f t="shared" ca="1" si="37"/>
        <v>0</v>
      </c>
      <c r="Z376" s="63" t="e">
        <f t="shared" ca="1" si="39"/>
        <v>#N/A</v>
      </c>
      <c r="AA376" s="63" t="e">
        <f t="shared" ca="1" si="40"/>
        <v>#N/A</v>
      </c>
      <c r="AB376" s="3" t="e">
        <f t="shared" ca="1" si="41"/>
        <v>#N/A</v>
      </c>
    </row>
    <row r="377" spans="7:28">
      <c r="G377" t="e">
        <f t="shared" ca="1" si="38"/>
        <v>#N/A</v>
      </c>
      <c r="H377" t="e">
        <f t="shared" ca="1" si="35"/>
        <v>#N/A</v>
      </c>
      <c r="I377" s="2" t="e">
        <f ca="1"/>
        <v>#N/A</v>
      </c>
      <c r="J377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W377" s="2">
        <f t="shared" ca="1" si="36"/>
        <v>0</v>
      </c>
      <c r="X377">
        <f t="shared" ca="1" si="37"/>
        <v>0</v>
      </c>
      <c r="Z377" s="63" t="e">
        <f t="shared" ca="1" si="39"/>
        <v>#N/A</v>
      </c>
      <c r="AA377" s="63" t="e">
        <f t="shared" ca="1" si="40"/>
        <v>#N/A</v>
      </c>
      <c r="AB377" s="3" t="e">
        <f t="shared" ca="1" si="41"/>
        <v>#N/A</v>
      </c>
    </row>
    <row r="378" spans="7:28">
      <c r="G378" t="e">
        <f t="shared" ca="1" si="38"/>
        <v>#N/A</v>
      </c>
      <c r="H378" t="e">
        <f t="shared" ca="1" si="35"/>
        <v>#N/A</v>
      </c>
      <c r="I378" s="2" t="e">
        <f ca="1"/>
        <v>#N/A</v>
      </c>
      <c r="J378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W378" s="2">
        <f t="shared" ca="1" si="36"/>
        <v>0</v>
      </c>
      <c r="X378">
        <f t="shared" ca="1" si="37"/>
        <v>0</v>
      </c>
      <c r="Z378" s="63" t="e">
        <f t="shared" ca="1" si="39"/>
        <v>#N/A</v>
      </c>
      <c r="AA378" s="63" t="e">
        <f t="shared" ca="1" si="40"/>
        <v>#N/A</v>
      </c>
      <c r="AB378" s="3" t="e">
        <f t="shared" ca="1" si="41"/>
        <v>#N/A</v>
      </c>
    </row>
    <row r="379" spans="7:28">
      <c r="G379" t="e">
        <f t="shared" ca="1" si="38"/>
        <v>#N/A</v>
      </c>
      <c r="H379" t="e">
        <f t="shared" ca="1" si="35"/>
        <v>#N/A</v>
      </c>
      <c r="I379" s="2" t="e">
        <f ca="1"/>
        <v>#N/A</v>
      </c>
      <c r="J379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W379" s="2">
        <f t="shared" ca="1" si="36"/>
        <v>0</v>
      </c>
      <c r="X379">
        <f t="shared" ca="1" si="37"/>
        <v>0</v>
      </c>
      <c r="Z379" s="63" t="e">
        <f t="shared" ca="1" si="39"/>
        <v>#N/A</v>
      </c>
      <c r="AA379" s="63" t="e">
        <f t="shared" ca="1" si="40"/>
        <v>#N/A</v>
      </c>
      <c r="AB379" s="3" t="e">
        <f t="shared" ca="1" si="41"/>
        <v>#N/A</v>
      </c>
    </row>
    <row r="380" spans="7:28">
      <c r="G380" t="e">
        <f t="shared" ca="1" si="38"/>
        <v>#N/A</v>
      </c>
      <c r="H380" t="e">
        <f t="shared" ca="1" si="35"/>
        <v>#N/A</v>
      </c>
      <c r="I380" s="2" t="e">
        <f ca="1"/>
        <v>#N/A</v>
      </c>
      <c r="J380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W380" s="2">
        <f t="shared" ca="1" si="36"/>
        <v>0</v>
      </c>
      <c r="X380">
        <f t="shared" ca="1" si="37"/>
        <v>0</v>
      </c>
      <c r="Z380" s="63" t="e">
        <f t="shared" ca="1" si="39"/>
        <v>#N/A</v>
      </c>
      <c r="AA380" s="63" t="e">
        <f t="shared" ca="1" si="40"/>
        <v>#N/A</v>
      </c>
      <c r="AB380" s="3" t="e">
        <f t="shared" ca="1" si="41"/>
        <v>#N/A</v>
      </c>
    </row>
    <row r="381" spans="7:28">
      <c r="G381" t="e">
        <f t="shared" ca="1" si="38"/>
        <v>#N/A</v>
      </c>
      <c r="H381" t="e">
        <f t="shared" ca="1" si="35"/>
        <v>#N/A</v>
      </c>
      <c r="I381" s="2" t="e">
        <f ca="1"/>
        <v>#N/A</v>
      </c>
      <c r="J381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W381" s="2">
        <f t="shared" ca="1" si="36"/>
        <v>0</v>
      </c>
      <c r="X381">
        <f t="shared" ca="1" si="37"/>
        <v>0</v>
      </c>
      <c r="Z381" s="63" t="e">
        <f t="shared" ca="1" si="39"/>
        <v>#N/A</v>
      </c>
      <c r="AA381" s="63" t="e">
        <f t="shared" ca="1" si="40"/>
        <v>#N/A</v>
      </c>
      <c r="AB381" s="3" t="e">
        <f t="shared" ca="1" si="41"/>
        <v>#N/A</v>
      </c>
    </row>
    <row r="382" spans="7:28">
      <c r="G382" t="e">
        <f t="shared" ca="1" si="38"/>
        <v>#N/A</v>
      </c>
      <c r="H382" t="e">
        <f t="shared" ca="1" si="35"/>
        <v>#N/A</v>
      </c>
      <c r="I382" s="2" t="e">
        <f ca="1"/>
        <v>#N/A</v>
      </c>
      <c r="J38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W382" s="2">
        <f t="shared" ca="1" si="36"/>
        <v>0</v>
      </c>
      <c r="X382">
        <f t="shared" ca="1" si="37"/>
        <v>0</v>
      </c>
      <c r="Z382" s="63" t="e">
        <f t="shared" ca="1" si="39"/>
        <v>#N/A</v>
      </c>
      <c r="AA382" s="63" t="e">
        <f t="shared" ca="1" si="40"/>
        <v>#N/A</v>
      </c>
      <c r="AB382" s="3" t="e">
        <f t="shared" ca="1" si="41"/>
        <v>#N/A</v>
      </c>
    </row>
    <row r="383" spans="7:28">
      <c r="G383" t="e">
        <f t="shared" ca="1" si="38"/>
        <v>#N/A</v>
      </c>
      <c r="H383" t="e">
        <f t="shared" ca="1" si="35"/>
        <v>#N/A</v>
      </c>
      <c r="I383" s="2" t="e">
        <f ca="1"/>
        <v>#N/A</v>
      </c>
      <c r="J383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W383" s="2">
        <f t="shared" ca="1" si="36"/>
        <v>0</v>
      </c>
      <c r="X383">
        <f t="shared" ca="1" si="37"/>
        <v>0</v>
      </c>
      <c r="Z383" s="63" t="e">
        <f t="shared" ca="1" si="39"/>
        <v>#N/A</v>
      </c>
      <c r="AA383" s="63" t="e">
        <f t="shared" ca="1" si="40"/>
        <v>#N/A</v>
      </c>
      <c r="AB383" s="3" t="e">
        <f t="shared" ca="1" si="41"/>
        <v>#N/A</v>
      </c>
    </row>
    <row r="384" spans="7:28">
      <c r="G384" t="e">
        <f t="shared" ca="1" si="38"/>
        <v>#N/A</v>
      </c>
      <c r="H384" t="e">
        <f t="shared" ca="1" si="35"/>
        <v>#N/A</v>
      </c>
      <c r="I384" s="2" t="e">
        <f ca="1"/>
        <v>#N/A</v>
      </c>
      <c r="J384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W384" s="2">
        <f t="shared" ca="1" si="36"/>
        <v>0</v>
      </c>
      <c r="X384">
        <f t="shared" ca="1" si="37"/>
        <v>0</v>
      </c>
      <c r="Z384" s="63" t="e">
        <f t="shared" ca="1" si="39"/>
        <v>#N/A</v>
      </c>
      <c r="AA384" s="63" t="e">
        <f t="shared" ca="1" si="40"/>
        <v>#N/A</v>
      </c>
      <c r="AB384" s="3" t="e">
        <f t="shared" ca="1" si="41"/>
        <v>#N/A</v>
      </c>
    </row>
    <row r="385" spans="7:28">
      <c r="G385" t="e">
        <f t="shared" ca="1" si="38"/>
        <v>#N/A</v>
      </c>
      <c r="H385" t="e">
        <f t="shared" ca="1" si="35"/>
        <v>#N/A</v>
      </c>
      <c r="I385" s="2" t="e">
        <f ca="1"/>
        <v>#N/A</v>
      </c>
      <c r="J385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W385" s="2">
        <f t="shared" ca="1" si="36"/>
        <v>0</v>
      </c>
      <c r="X385">
        <f t="shared" ca="1" si="37"/>
        <v>0</v>
      </c>
      <c r="Z385" s="63" t="e">
        <f t="shared" ca="1" si="39"/>
        <v>#N/A</v>
      </c>
      <c r="AA385" s="63" t="e">
        <f t="shared" ca="1" si="40"/>
        <v>#N/A</v>
      </c>
      <c r="AB385" s="3" t="e">
        <f t="shared" ca="1" si="41"/>
        <v>#N/A</v>
      </c>
    </row>
    <row r="386" spans="7:28">
      <c r="G386" t="e">
        <f t="shared" ca="1" si="38"/>
        <v>#N/A</v>
      </c>
      <c r="H386" t="e">
        <f t="shared" ca="1" si="35"/>
        <v>#N/A</v>
      </c>
      <c r="I386" s="2" t="e">
        <f ca="1"/>
        <v>#N/A</v>
      </c>
      <c r="J386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W386" s="2">
        <f t="shared" ca="1" si="36"/>
        <v>0</v>
      </c>
      <c r="X386">
        <f t="shared" ca="1" si="37"/>
        <v>0</v>
      </c>
      <c r="Z386" s="63" t="e">
        <f t="shared" ca="1" si="39"/>
        <v>#N/A</v>
      </c>
      <c r="AA386" s="63" t="e">
        <f t="shared" ca="1" si="40"/>
        <v>#N/A</v>
      </c>
      <c r="AB386" s="3" t="e">
        <f t="shared" ca="1" si="41"/>
        <v>#N/A</v>
      </c>
    </row>
    <row r="387" spans="7:28">
      <c r="G387" t="e">
        <f t="shared" ca="1" si="38"/>
        <v>#N/A</v>
      </c>
      <c r="H387" t="e">
        <f t="shared" ca="1" si="35"/>
        <v>#N/A</v>
      </c>
      <c r="I387" s="2" t="e">
        <f ca="1"/>
        <v>#N/A</v>
      </c>
      <c r="J387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W387" s="2">
        <f t="shared" ca="1" si="36"/>
        <v>0</v>
      </c>
      <c r="X387">
        <f t="shared" ca="1" si="37"/>
        <v>0</v>
      </c>
      <c r="Z387" s="63" t="e">
        <f t="shared" ca="1" si="39"/>
        <v>#N/A</v>
      </c>
      <c r="AA387" s="63" t="e">
        <f t="shared" ca="1" si="40"/>
        <v>#N/A</v>
      </c>
      <c r="AB387" s="3" t="e">
        <f t="shared" ca="1" si="41"/>
        <v>#N/A</v>
      </c>
    </row>
    <row r="388" spans="7:28">
      <c r="G388" t="e">
        <f t="shared" ca="1" si="38"/>
        <v>#N/A</v>
      </c>
      <c r="H388" t="e">
        <f t="shared" ca="1" si="35"/>
        <v>#N/A</v>
      </c>
      <c r="I388" s="2" t="e">
        <f ca="1"/>
        <v>#N/A</v>
      </c>
      <c r="J388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W388" s="2">
        <f t="shared" ca="1" si="36"/>
        <v>0</v>
      </c>
      <c r="X388">
        <f t="shared" ca="1" si="37"/>
        <v>0</v>
      </c>
      <c r="Z388" s="63" t="e">
        <f t="shared" ca="1" si="39"/>
        <v>#N/A</v>
      </c>
      <c r="AA388" s="63" t="e">
        <f t="shared" ca="1" si="40"/>
        <v>#N/A</v>
      </c>
      <c r="AB388" s="3" t="e">
        <f t="shared" ca="1" si="41"/>
        <v>#N/A</v>
      </c>
    </row>
    <row r="389" spans="7:28">
      <c r="G389" t="e">
        <f t="shared" ca="1" si="38"/>
        <v>#N/A</v>
      </c>
      <c r="H389" t="e">
        <f t="shared" ca="1" si="35"/>
        <v>#N/A</v>
      </c>
      <c r="I389" s="2" t="e">
        <f ca="1"/>
        <v>#N/A</v>
      </c>
      <c r="J389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W389" s="2">
        <f t="shared" ca="1" si="36"/>
        <v>0</v>
      </c>
      <c r="X389">
        <f t="shared" ca="1" si="37"/>
        <v>0</v>
      </c>
      <c r="Z389" s="63" t="e">
        <f t="shared" ca="1" si="39"/>
        <v>#N/A</v>
      </c>
      <c r="AA389" s="63" t="e">
        <f t="shared" ca="1" si="40"/>
        <v>#N/A</v>
      </c>
      <c r="AB389" s="3" t="e">
        <f t="shared" ca="1" si="41"/>
        <v>#N/A</v>
      </c>
    </row>
    <row r="390" spans="7:28">
      <c r="G390" t="e">
        <f t="shared" ca="1" si="38"/>
        <v>#N/A</v>
      </c>
      <c r="H390" t="e">
        <f t="shared" ca="1" si="35"/>
        <v>#N/A</v>
      </c>
      <c r="I390" s="2" t="e">
        <f ca="1"/>
        <v>#N/A</v>
      </c>
      <c r="J390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W390" s="2">
        <f t="shared" ca="1" si="36"/>
        <v>0</v>
      </c>
      <c r="X390">
        <f t="shared" ca="1" si="37"/>
        <v>0</v>
      </c>
      <c r="Z390" s="63" t="e">
        <f t="shared" ca="1" si="39"/>
        <v>#N/A</v>
      </c>
      <c r="AA390" s="63" t="e">
        <f t="shared" ca="1" si="40"/>
        <v>#N/A</v>
      </c>
      <c r="AB390" s="3" t="e">
        <f t="shared" ca="1" si="41"/>
        <v>#N/A</v>
      </c>
    </row>
    <row r="391" spans="7:28">
      <c r="G391" t="e">
        <f t="shared" ca="1" si="38"/>
        <v>#N/A</v>
      </c>
      <c r="H391" t="e">
        <f t="shared" ref="H391:H454" ca="1" si="42">AND(IF(I391&gt;($I$3-1),TRUE,FALSE),IF(I391&lt;($I$4+1),TRUE,FALSE))</f>
        <v>#N/A</v>
      </c>
      <c r="I391" s="2" t="e">
        <f ca="1"/>
        <v>#N/A</v>
      </c>
      <c r="J391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W391" s="2">
        <f t="shared" ref="W391:W454" ca="1" si="43">IFERROR(I391,$W$5)</f>
        <v>0</v>
      </c>
      <c r="X391">
        <f t="shared" ref="X391:X454" ca="1" si="44">IFERROR(N391,0)</f>
        <v>0</v>
      </c>
      <c r="Z391" s="63" t="e">
        <f t="shared" ca="1" si="39"/>
        <v>#N/A</v>
      </c>
      <c r="AA391" s="63" t="e">
        <f t="shared" ca="1" si="40"/>
        <v>#N/A</v>
      </c>
      <c r="AB391" s="3" t="e">
        <f t="shared" ca="1" si="41"/>
        <v>#N/A</v>
      </c>
    </row>
    <row r="392" spans="7:28">
      <c r="G392" t="e">
        <f t="shared" ref="G392:G455" ca="1" si="45">IF(I392&lt;$I$4,TRUE,FALSE)</f>
        <v>#N/A</v>
      </c>
      <c r="H392" t="e">
        <f t="shared" ca="1" si="42"/>
        <v>#N/A</v>
      </c>
      <c r="I392" s="2" t="e">
        <f ca="1"/>
        <v>#N/A</v>
      </c>
      <c r="J39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W392" s="2">
        <f t="shared" ca="1" si="43"/>
        <v>0</v>
      </c>
      <c r="X392">
        <f t="shared" ca="1" si="44"/>
        <v>0</v>
      </c>
      <c r="Z392" s="63" t="e">
        <f t="shared" ca="1" si="39"/>
        <v>#N/A</v>
      </c>
      <c r="AA392" s="63" t="e">
        <f t="shared" ca="1" si="40"/>
        <v>#N/A</v>
      </c>
      <c r="AB392" s="3" t="e">
        <f t="shared" ca="1" si="41"/>
        <v>#N/A</v>
      </c>
    </row>
    <row r="393" spans="7:28">
      <c r="G393" t="e">
        <f t="shared" ca="1" si="45"/>
        <v>#N/A</v>
      </c>
      <c r="H393" t="e">
        <f t="shared" ca="1" si="42"/>
        <v>#N/A</v>
      </c>
      <c r="I393" s="2" t="e">
        <f ca="1"/>
        <v>#N/A</v>
      </c>
      <c r="J393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W393" s="2">
        <f t="shared" ca="1" si="43"/>
        <v>0</v>
      </c>
      <c r="X393">
        <f t="shared" ca="1" si="44"/>
        <v>0</v>
      </c>
      <c r="Z393" s="63" t="e">
        <f t="shared" ca="1" si="39"/>
        <v>#N/A</v>
      </c>
      <c r="AA393" s="63" t="e">
        <f t="shared" ca="1" si="40"/>
        <v>#N/A</v>
      </c>
      <c r="AB393" s="3" t="e">
        <f t="shared" ca="1" si="41"/>
        <v>#N/A</v>
      </c>
    </row>
    <row r="394" spans="7:28">
      <c r="G394" t="e">
        <f t="shared" ca="1" si="45"/>
        <v>#N/A</v>
      </c>
      <c r="H394" t="e">
        <f t="shared" ca="1" si="42"/>
        <v>#N/A</v>
      </c>
      <c r="I394" s="2" t="e">
        <f ca="1"/>
        <v>#N/A</v>
      </c>
      <c r="J394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W394" s="2">
        <f t="shared" ca="1" si="43"/>
        <v>0</v>
      </c>
      <c r="X394">
        <f t="shared" ca="1" si="44"/>
        <v>0</v>
      </c>
      <c r="Z394" s="63" t="e">
        <f t="shared" ca="1" si="39"/>
        <v>#N/A</v>
      </c>
      <c r="AA394" s="63" t="e">
        <f t="shared" ca="1" si="40"/>
        <v>#N/A</v>
      </c>
      <c r="AB394" s="3" t="e">
        <f t="shared" ca="1" si="41"/>
        <v>#N/A</v>
      </c>
    </row>
    <row r="395" spans="7:28">
      <c r="G395" t="e">
        <f t="shared" ca="1" si="45"/>
        <v>#N/A</v>
      </c>
      <c r="H395" t="e">
        <f t="shared" ca="1" si="42"/>
        <v>#N/A</v>
      </c>
      <c r="I395" s="2" t="e">
        <f ca="1"/>
        <v>#N/A</v>
      </c>
      <c r="J395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W395" s="2">
        <f t="shared" ca="1" si="43"/>
        <v>0</v>
      </c>
      <c r="X395">
        <f t="shared" ca="1" si="44"/>
        <v>0</v>
      </c>
      <c r="Z395" s="63" t="e">
        <f t="shared" ca="1" si="39"/>
        <v>#N/A</v>
      </c>
      <c r="AA395" s="63" t="e">
        <f t="shared" ca="1" si="40"/>
        <v>#N/A</v>
      </c>
      <c r="AB395" s="3" t="e">
        <f t="shared" ca="1" si="41"/>
        <v>#N/A</v>
      </c>
    </row>
    <row r="396" spans="7:28">
      <c r="G396" t="e">
        <f t="shared" ca="1" si="45"/>
        <v>#N/A</v>
      </c>
      <c r="H396" t="e">
        <f t="shared" ca="1" si="42"/>
        <v>#N/A</v>
      </c>
      <c r="I396" s="2" t="e">
        <f ca="1"/>
        <v>#N/A</v>
      </c>
      <c r="J396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W396" s="2">
        <f t="shared" ca="1" si="43"/>
        <v>0</v>
      </c>
      <c r="X396">
        <f t="shared" ca="1" si="44"/>
        <v>0</v>
      </c>
      <c r="Z396" s="63" t="e">
        <f t="shared" ref="Z396:Z459" ca="1" si="46">J395+L396+M396+N396</f>
        <v>#N/A</v>
      </c>
      <c r="AA396" s="63" t="e">
        <f t="shared" ref="AA396:AA459" ca="1" si="47">J396+K396+Q396</f>
        <v>#N/A</v>
      </c>
      <c r="AB396" s="3" t="e">
        <f t="shared" ref="AB396:AB459" ca="1" si="48">AA396-Z396</f>
        <v>#N/A</v>
      </c>
    </row>
    <row r="397" spans="7:28">
      <c r="G397" t="e">
        <f t="shared" ca="1" si="45"/>
        <v>#N/A</v>
      </c>
      <c r="H397" t="e">
        <f t="shared" ca="1" si="42"/>
        <v>#N/A</v>
      </c>
      <c r="I397" s="2" t="e">
        <f ca="1"/>
        <v>#N/A</v>
      </c>
      <c r="J397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W397" s="2">
        <f t="shared" ca="1" si="43"/>
        <v>0</v>
      </c>
      <c r="X397">
        <f t="shared" ca="1" si="44"/>
        <v>0</v>
      </c>
      <c r="Z397" s="63" t="e">
        <f t="shared" ca="1" si="46"/>
        <v>#N/A</v>
      </c>
      <c r="AA397" s="63" t="e">
        <f t="shared" ca="1" si="47"/>
        <v>#N/A</v>
      </c>
      <c r="AB397" s="3" t="e">
        <f t="shared" ca="1" si="48"/>
        <v>#N/A</v>
      </c>
    </row>
    <row r="398" spans="7:28">
      <c r="G398" t="e">
        <f t="shared" ca="1" si="45"/>
        <v>#N/A</v>
      </c>
      <c r="H398" t="e">
        <f t="shared" ca="1" si="42"/>
        <v>#N/A</v>
      </c>
      <c r="I398" s="2" t="e">
        <f ca="1"/>
        <v>#N/A</v>
      </c>
      <c r="J398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W398" s="2">
        <f t="shared" ca="1" si="43"/>
        <v>0</v>
      </c>
      <c r="X398">
        <f t="shared" ca="1" si="44"/>
        <v>0</v>
      </c>
      <c r="Z398" s="63" t="e">
        <f t="shared" ca="1" si="46"/>
        <v>#N/A</v>
      </c>
      <c r="AA398" s="63" t="e">
        <f t="shared" ca="1" si="47"/>
        <v>#N/A</v>
      </c>
      <c r="AB398" s="3" t="e">
        <f t="shared" ca="1" si="48"/>
        <v>#N/A</v>
      </c>
    </row>
    <row r="399" spans="7:28">
      <c r="G399" t="e">
        <f t="shared" ca="1" si="45"/>
        <v>#N/A</v>
      </c>
      <c r="H399" t="e">
        <f t="shared" ca="1" si="42"/>
        <v>#N/A</v>
      </c>
      <c r="I399" s="2" t="e">
        <f ca="1"/>
        <v>#N/A</v>
      </c>
      <c r="J399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W399" s="2">
        <f t="shared" ca="1" si="43"/>
        <v>0</v>
      </c>
      <c r="X399">
        <f t="shared" ca="1" si="44"/>
        <v>0</v>
      </c>
      <c r="Z399" s="63" t="e">
        <f t="shared" ca="1" si="46"/>
        <v>#N/A</v>
      </c>
      <c r="AA399" s="63" t="e">
        <f t="shared" ca="1" si="47"/>
        <v>#N/A</v>
      </c>
      <c r="AB399" s="3" t="e">
        <f t="shared" ca="1" si="48"/>
        <v>#N/A</v>
      </c>
    </row>
    <row r="400" spans="7:28">
      <c r="G400" t="e">
        <f t="shared" ca="1" si="45"/>
        <v>#N/A</v>
      </c>
      <c r="H400" t="e">
        <f t="shared" ca="1" si="42"/>
        <v>#N/A</v>
      </c>
      <c r="I400" s="2" t="e">
        <f ca="1"/>
        <v>#N/A</v>
      </c>
      <c r="J400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W400" s="2">
        <f t="shared" ca="1" si="43"/>
        <v>0</v>
      </c>
      <c r="X400">
        <f t="shared" ca="1" si="44"/>
        <v>0</v>
      </c>
      <c r="Z400" s="63" t="e">
        <f t="shared" ca="1" si="46"/>
        <v>#N/A</v>
      </c>
      <c r="AA400" s="63" t="e">
        <f t="shared" ca="1" si="47"/>
        <v>#N/A</v>
      </c>
      <c r="AB400" s="3" t="e">
        <f t="shared" ca="1" si="48"/>
        <v>#N/A</v>
      </c>
    </row>
    <row r="401" spans="7:28">
      <c r="G401" t="e">
        <f t="shared" ca="1" si="45"/>
        <v>#N/A</v>
      </c>
      <c r="H401" t="e">
        <f t="shared" ca="1" si="42"/>
        <v>#N/A</v>
      </c>
      <c r="I401" s="2" t="e">
        <f ca="1"/>
        <v>#N/A</v>
      </c>
      <c r="J401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W401" s="2">
        <f t="shared" ca="1" si="43"/>
        <v>0</v>
      </c>
      <c r="X401">
        <f t="shared" ca="1" si="44"/>
        <v>0</v>
      </c>
      <c r="Z401" s="63" t="e">
        <f t="shared" ca="1" si="46"/>
        <v>#N/A</v>
      </c>
      <c r="AA401" s="63" t="e">
        <f t="shared" ca="1" si="47"/>
        <v>#N/A</v>
      </c>
      <c r="AB401" s="3" t="e">
        <f t="shared" ca="1" si="48"/>
        <v>#N/A</v>
      </c>
    </row>
    <row r="402" spans="7:28">
      <c r="G402" t="e">
        <f t="shared" ca="1" si="45"/>
        <v>#N/A</v>
      </c>
      <c r="H402" t="e">
        <f t="shared" ca="1" si="42"/>
        <v>#N/A</v>
      </c>
      <c r="I402" s="2" t="e">
        <f ca="1"/>
        <v>#N/A</v>
      </c>
      <c r="J40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W402" s="2">
        <f t="shared" ca="1" si="43"/>
        <v>0</v>
      </c>
      <c r="X402">
        <f t="shared" ca="1" si="44"/>
        <v>0</v>
      </c>
      <c r="Z402" s="63" t="e">
        <f t="shared" ca="1" si="46"/>
        <v>#N/A</v>
      </c>
      <c r="AA402" s="63" t="e">
        <f t="shared" ca="1" si="47"/>
        <v>#N/A</v>
      </c>
      <c r="AB402" s="3" t="e">
        <f t="shared" ca="1" si="48"/>
        <v>#N/A</v>
      </c>
    </row>
    <row r="403" spans="7:28">
      <c r="G403" t="e">
        <f t="shared" ca="1" si="45"/>
        <v>#N/A</v>
      </c>
      <c r="H403" t="e">
        <f t="shared" ca="1" si="42"/>
        <v>#N/A</v>
      </c>
      <c r="I403" s="2" t="e">
        <f ca="1"/>
        <v>#N/A</v>
      </c>
      <c r="J403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W403" s="2">
        <f t="shared" ca="1" si="43"/>
        <v>0</v>
      </c>
      <c r="X403">
        <f t="shared" ca="1" si="44"/>
        <v>0</v>
      </c>
      <c r="Z403" s="63" t="e">
        <f t="shared" ca="1" si="46"/>
        <v>#N/A</v>
      </c>
      <c r="AA403" s="63" t="e">
        <f t="shared" ca="1" si="47"/>
        <v>#N/A</v>
      </c>
      <c r="AB403" s="3" t="e">
        <f t="shared" ca="1" si="48"/>
        <v>#N/A</v>
      </c>
    </row>
    <row r="404" spans="7:28">
      <c r="G404" t="e">
        <f t="shared" ca="1" si="45"/>
        <v>#N/A</v>
      </c>
      <c r="H404" t="e">
        <f t="shared" ca="1" si="42"/>
        <v>#N/A</v>
      </c>
      <c r="I404" s="2" t="e">
        <f ca="1"/>
        <v>#N/A</v>
      </c>
      <c r="J404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W404" s="2">
        <f t="shared" ca="1" si="43"/>
        <v>0</v>
      </c>
      <c r="X404">
        <f t="shared" ca="1" si="44"/>
        <v>0</v>
      </c>
      <c r="Z404" s="63" t="e">
        <f t="shared" ca="1" si="46"/>
        <v>#N/A</v>
      </c>
      <c r="AA404" s="63" t="e">
        <f t="shared" ca="1" si="47"/>
        <v>#N/A</v>
      </c>
      <c r="AB404" s="3" t="e">
        <f t="shared" ca="1" si="48"/>
        <v>#N/A</v>
      </c>
    </row>
    <row r="405" spans="7:28">
      <c r="G405" t="e">
        <f t="shared" ca="1" si="45"/>
        <v>#N/A</v>
      </c>
      <c r="H405" t="e">
        <f t="shared" ca="1" si="42"/>
        <v>#N/A</v>
      </c>
      <c r="I405" s="2" t="e">
        <f ca="1"/>
        <v>#N/A</v>
      </c>
      <c r="J405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W405" s="2">
        <f t="shared" ca="1" si="43"/>
        <v>0</v>
      </c>
      <c r="X405">
        <f t="shared" ca="1" si="44"/>
        <v>0</v>
      </c>
      <c r="Z405" s="63" t="e">
        <f t="shared" ca="1" si="46"/>
        <v>#N/A</v>
      </c>
      <c r="AA405" s="63" t="e">
        <f t="shared" ca="1" si="47"/>
        <v>#N/A</v>
      </c>
      <c r="AB405" s="3" t="e">
        <f t="shared" ca="1" si="48"/>
        <v>#N/A</v>
      </c>
    </row>
    <row r="406" spans="7:28">
      <c r="G406" t="e">
        <f t="shared" ca="1" si="45"/>
        <v>#N/A</v>
      </c>
      <c r="H406" t="e">
        <f t="shared" ca="1" si="42"/>
        <v>#N/A</v>
      </c>
      <c r="I406" s="2" t="e">
        <f ca="1"/>
        <v>#N/A</v>
      </c>
      <c r="J406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W406" s="2">
        <f t="shared" ca="1" si="43"/>
        <v>0</v>
      </c>
      <c r="X406">
        <f t="shared" ca="1" si="44"/>
        <v>0</v>
      </c>
      <c r="Z406" s="63" t="e">
        <f t="shared" ca="1" si="46"/>
        <v>#N/A</v>
      </c>
      <c r="AA406" s="63" t="e">
        <f t="shared" ca="1" si="47"/>
        <v>#N/A</v>
      </c>
      <c r="AB406" s="3" t="e">
        <f t="shared" ca="1" si="48"/>
        <v>#N/A</v>
      </c>
    </row>
    <row r="407" spans="7:28">
      <c r="G407" t="e">
        <f t="shared" ca="1" si="45"/>
        <v>#N/A</v>
      </c>
      <c r="H407" t="e">
        <f t="shared" ca="1" si="42"/>
        <v>#N/A</v>
      </c>
      <c r="I407" s="2" t="e">
        <f ca="1"/>
        <v>#N/A</v>
      </c>
      <c r="J407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W407" s="2">
        <f t="shared" ca="1" si="43"/>
        <v>0</v>
      </c>
      <c r="X407">
        <f t="shared" ca="1" si="44"/>
        <v>0</v>
      </c>
      <c r="Z407" s="63" t="e">
        <f t="shared" ca="1" si="46"/>
        <v>#N/A</v>
      </c>
      <c r="AA407" s="63" t="e">
        <f t="shared" ca="1" si="47"/>
        <v>#N/A</v>
      </c>
      <c r="AB407" s="3" t="e">
        <f t="shared" ca="1" si="48"/>
        <v>#N/A</v>
      </c>
    </row>
    <row r="408" spans="7:28">
      <c r="G408" t="e">
        <f t="shared" ca="1" si="45"/>
        <v>#N/A</v>
      </c>
      <c r="H408" t="e">
        <f t="shared" ca="1" si="42"/>
        <v>#N/A</v>
      </c>
      <c r="I408" s="2" t="e">
        <f ca="1"/>
        <v>#N/A</v>
      </c>
      <c r="J408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W408" s="2">
        <f t="shared" ca="1" si="43"/>
        <v>0</v>
      </c>
      <c r="X408">
        <f t="shared" ca="1" si="44"/>
        <v>0</v>
      </c>
      <c r="Z408" s="63" t="e">
        <f t="shared" ca="1" si="46"/>
        <v>#N/A</v>
      </c>
      <c r="AA408" s="63" t="e">
        <f t="shared" ca="1" si="47"/>
        <v>#N/A</v>
      </c>
      <c r="AB408" s="3" t="e">
        <f t="shared" ca="1" si="48"/>
        <v>#N/A</v>
      </c>
    </row>
    <row r="409" spans="7:28">
      <c r="G409" t="e">
        <f t="shared" ca="1" si="45"/>
        <v>#N/A</v>
      </c>
      <c r="H409" t="e">
        <f t="shared" ca="1" si="42"/>
        <v>#N/A</v>
      </c>
      <c r="I409" s="2" t="e">
        <f ca="1"/>
        <v>#N/A</v>
      </c>
      <c r="J409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W409" s="2">
        <f t="shared" ca="1" si="43"/>
        <v>0</v>
      </c>
      <c r="X409">
        <f t="shared" ca="1" si="44"/>
        <v>0</v>
      </c>
      <c r="Z409" s="63" t="e">
        <f t="shared" ca="1" si="46"/>
        <v>#N/A</v>
      </c>
      <c r="AA409" s="63" t="e">
        <f t="shared" ca="1" si="47"/>
        <v>#N/A</v>
      </c>
      <c r="AB409" s="3" t="e">
        <f t="shared" ca="1" si="48"/>
        <v>#N/A</v>
      </c>
    </row>
    <row r="410" spans="7:28">
      <c r="G410" t="e">
        <f t="shared" ca="1" si="45"/>
        <v>#N/A</v>
      </c>
      <c r="H410" t="e">
        <f t="shared" ca="1" si="42"/>
        <v>#N/A</v>
      </c>
      <c r="I410" s="2" t="e">
        <f ca="1"/>
        <v>#N/A</v>
      </c>
      <c r="J410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W410" s="2">
        <f t="shared" ca="1" si="43"/>
        <v>0</v>
      </c>
      <c r="X410">
        <f t="shared" ca="1" si="44"/>
        <v>0</v>
      </c>
      <c r="Z410" s="63" t="e">
        <f t="shared" ca="1" si="46"/>
        <v>#N/A</v>
      </c>
      <c r="AA410" s="63" t="e">
        <f t="shared" ca="1" si="47"/>
        <v>#N/A</v>
      </c>
      <c r="AB410" s="3" t="e">
        <f t="shared" ca="1" si="48"/>
        <v>#N/A</v>
      </c>
    </row>
    <row r="411" spans="7:28">
      <c r="G411" t="e">
        <f t="shared" ca="1" si="45"/>
        <v>#N/A</v>
      </c>
      <c r="H411" t="e">
        <f t="shared" ca="1" si="42"/>
        <v>#N/A</v>
      </c>
      <c r="I411" s="2" t="e">
        <f ca="1"/>
        <v>#N/A</v>
      </c>
      <c r="J411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W411" s="2">
        <f t="shared" ca="1" si="43"/>
        <v>0</v>
      </c>
      <c r="X411">
        <f t="shared" ca="1" si="44"/>
        <v>0</v>
      </c>
      <c r="Z411" s="63" t="e">
        <f t="shared" ca="1" si="46"/>
        <v>#N/A</v>
      </c>
      <c r="AA411" s="63" t="e">
        <f t="shared" ca="1" si="47"/>
        <v>#N/A</v>
      </c>
      <c r="AB411" s="3" t="e">
        <f t="shared" ca="1" si="48"/>
        <v>#N/A</v>
      </c>
    </row>
    <row r="412" spans="7:28">
      <c r="G412" t="e">
        <f t="shared" ca="1" si="45"/>
        <v>#N/A</v>
      </c>
      <c r="H412" t="e">
        <f t="shared" ca="1" si="42"/>
        <v>#N/A</v>
      </c>
      <c r="I412" s="2" t="e">
        <f ca="1"/>
        <v>#N/A</v>
      </c>
      <c r="J41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W412" s="2">
        <f t="shared" ca="1" si="43"/>
        <v>0</v>
      </c>
      <c r="X412">
        <f t="shared" ca="1" si="44"/>
        <v>0</v>
      </c>
      <c r="Z412" s="63" t="e">
        <f t="shared" ca="1" si="46"/>
        <v>#N/A</v>
      </c>
      <c r="AA412" s="63" t="e">
        <f t="shared" ca="1" si="47"/>
        <v>#N/A</v>
      </c>
      <c r="AB412" s="3" t="e">
        <f t="shared" ca="1" si="48"/>
        <v>#N/A</v>
      </c>
    </row>
    <row r="413" spans="7:28">
      <c r="G413" t="e">
        <f t="shared" ca="1" si="45"/>
        <v>#N/A</v>
      </c>
      <c r="H413" t="e">
        <f t="shared" ca="1" si="42"/>
        <v>#N/A</v>
      </c>
      <c r="I413" s="2" t="e">
        <f ca="1"/>
        <v>#N/A</v>
      </c>
      <c r="J413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W413" s="2">
        <f t="shared" ca="1" si="43"/>
        <v>0</v>
      </c>
      <c r="X413">
        <f t="shared" ca="1" si="44"/>
        <v>0</v>
      </c>
      <c r="Z413" s="63" t="e">
        <f t="shared" ca="1" si="46"/>
        <v>#N/A</v>
      </c>
      <c r="AA413" s="63" t="e">
        <f t="shared" ca="1" si="47"/>
        <v>#N/A</v>
      </c>
      <c r="AB413" s="3" t="e">
        <f t="shared" ca="1" si="48"/>
        <v>#N/A</v>
      </c>
    </row>
    <row r="414" spans="7:28">
      <c r="G414" t="e">
        <f t="shared" ca="1" si="45"/>
        <v>#N/A</v>
      </c>
      <c r="H414" t="e">
        <f t="shared" ca="1" si="42"/>
        <v>#N/A</v>
      </c>
      <c r="I414" s="2" t="e">
        <f ca="1"/>
        <v>#N/A</v>
      </c>
      <c r="J414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W414" s="2">
        <f t="shared" ca="1" si="43"/>
        <v>0</v>
      </c>
      <c r="X414">
        <f t="shared" ca="1" si="44"/>
        <v>0</v>
      </c>
      <c r="Z414" s="63" t="e">
        <f t="shared" ca="1" si="46"/>
        <v>#N/A</v>
      </c>
      <c r="AA414" s="63" t="e">
        <f t="shared" ca="1" si="47"/>
        <v>#N/A</v>
      </c>
      <c r="AB414" s="3" t="e">
        <f t="shared" ca="1" si="48"/>
        <v>#N/A</v>
      </c>
    </row>
    <row r="415" spans="7:28">
      <c r="G415" t="e">
        <f t="shared" ca="1" si="45"/>
        <v>#N/A</v>
      </c>
      <c r="H415" t="e">
        <f t="shared" ca="1" si="42"/>
        <v>#N/A</v>
      </c>
      <c r="I415" s="2" t="e">
        <f ca="1"/>
        <v>#N/A</v>
      </c>
      <c r="J415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W415" s="2">
        <f t="shared" ca="1" si="43"/>
        <v>0</v>
      </c>
      <c r="X415">
        <f t="shared" ca="1" si="44"/>
        <v>0</v>
      </c>
      <c r="Z415" s="63" t="e">
        <f t="shared" ca="1" si="46"/>
        <v>#N/A</v>
      </c>
      <c r="AA415" s="63" t="e">
        <f t="shared" ca="1" si="47"/>
        <v>#N/A</v>
      </c>
      <c r="AB415" s="3" t="e">
        <f t="shared" ca="1" si="48"/>
        <v>#N/A</v>
      </c>
    </row>
    <row r="416" spans="7:28">
      <c r="G416" t="e">
        <f t="shared" ca="1" si="45"/>
        <v>#N/A</v>
      </c>
      <c r="H416" t="e">
        <f t="shared" ca="1" si="42"/>
        <v>#N/A</v>
      </c>
      <c r="I416" s="2" t="e">
        <f ca="1"/>
        <v>#N/A</v>
      </c>
      <c r="J416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W416" s="2">
        <f t="shared" ca="1" si="43"/>
        <v>0</v>
      </c>
      <c r="X416">
        <f t="shared" ca="1" si="44"/>
        <v>0</v>
      </c>
      <c r="Z416" s="63" t="e">
        <f t="shared" ca="1" si="46"/>
        <v>#N/A</v>
      </c>
      <c r="AA416" s="63" t="e">
        <f t="shared" ca="1" si="47"/>
        <v>#N/A</v>
      </c>
      <c r="AB416" s="3" t="e">
        <f t="shared" ca="1" si="48"/>
        <v>#N/A</v>
      </c>
    </row>
    <row r="417" spans="7:28">
      <c r="G417" t="e">
        <f t="shared" ca="1" si="45"/>
        <v>#N/A</v>
      </c>
      <c r="H417" t="e">
        <f t="shared" ca="1" si="42"/>
        <v>#N/A</v>
      </c>
      <c r="I417" s="2" t="e">
        <f ca="1"/>
        <v>#N/A</v>
      </c>
      <c r="J417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W417" s="2">
        <f t="shared" ca="1" si="43"/>
        <v>0</v>
      </c>
      <c r="X417">
        <f t="shared" ca="1" si="44"/>
        <v>0</v>
      </c>
      <c r="Z417" s="63" t="e">
        <f t="shared" ca="1" si="46"/>
        <v>#N/A</v>
      </c>
      <c r="AA417" s="63" t="e">
        <f t="shared" ca="1" si="47"/>
        <v>#N/A</v>
      </c>
      <c r="AB417" s="3" t="e">
        <f t="shared" ca="1" si="48"/>
        <v>#N/A</v>
      </c>
    </row>
    <row r="418" spans="7:28">
      <c r="G418" t="e">
        <f t="shared" ca="1" si="45"/>
        <v>#N/A</v>
      </c>
      <c r="H418" t="e">
        <f t="shared" ca="1" si="42"/>
        <v>#N/A</v>
      </c>
      <c r="I418" s="2" t="e">
        <f ca="1"/>
        <v>#N/A</v>
      </c>
      <c r="J418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W418" s="2">
        <f t="shared" ca="1" si="43"/>
        <v>0</v>
      </c>
      <c r="X418">
        <f t="shared" ca="1" si="44"/>
        <v>0</v>
      </c>
      <c r="Z418" s="63" t="e">
        <f t="shared" ca="1" si="46"/>
        <v>#N/A</v>
      </c>
      <c r="AA418" s="63" t="e">
        <f t="shared" ca="1" si="47"/>
        <v>#N/A</v>
      </c>
      <c r="AB418" s="3" t="e">
        <f t="shared" ca="1" si="48"/>
        <v>#N/A</v>
      </c>
    </row>
    <row r="419" spans="7:28">
      <c r="G419" t="e">
        <f t="shared" ca="1" si="45"/>
        <v>#N/A</v>
      </c>
      <c r="H419" t="e">
        <f t="shared" ca="1" si="42"/>
        <v>#N/A</v>
      </c>
      <c r="I419" s="2" t="e">
        <f ca="1"/>
        <v>#N/A</v>
      </c>
      <c r="J419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W419" s="2">
        <f t="shared" ca="1" si="43"/>
        <v>0</v>
      </c>
      <c r="X419">
        <f t="shared" ca="1" si="44"/>
        <v>0</v>
      </c>
      <c r="Z419" s="63" t="e">
        <f t="shared" ca="1" si="46"/>
        <v>#N/A</v>
      </c>
      <c r="AA419" s="63" t="e">
        <f t="shared" ca="1" si="47"/>
        <v>#N/A</v>
      </c>
      <c r="AB419" s="3" t="e">
        <f t="shared" ca="1" si="48"/>
        <v>#N/A</v>
      </c>
    </row>
    <row r="420" spans="7:28">
      <c r="G420" t="e">
        <f t="shared" ca="1" si="45"/>
        <v>#N/A</v>
      </c>
      <c r="H420" t="e">
        <f t="shared" ca="1" si="42"/>
        <v>#N/A</v>
      </c>
      <c r="I420" s="2" t="e">
        <f ca="1"/>
        <v>#N/A</v>
      </c>
      <c r="J420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W420" s="2">
        <f t="shared" ca="1" si="43"/>
        <v>0</v>
      </c>
      <c r="X420">
        <f t="shared" ca="1" si="44"/>
        <v>0</v>
      </c>
      <c r="Z420" s="63" t="e">
        <f t="shared" ca="1" si="46"/>
        <v>#N/A</v>
      </c>
      <c r="AA420" s="63" t="e">
        <f t="shared" ca="1" si="47"/>
        <v>#N/A</v>
      </c>
      <c r="AB420" s="3" t="e">
        <f t="shared" ca="1" si="48"/>
        <v>#N/A</v>
      </c>
    </row>
    <row r="421" spans="7:28">
      <c r="G421" t="e">
        <f t="shared" ca="1" si="45"/>
        <v>#N/A</v>
      </c>
      <c r="H421" t="e">
        <f t="shared" ca="1" si="42"/>
        <v>#N/A</v>
      </c>
      <c r="I421" s="2" t="e">
        <f ca="1"/>
        <v>#N/A</v>
      </c>
      <c r="J421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W421" s="2">
        <f t="shared" ca="1" si="43"/>
        <v>0</v>
      </c>
      <c r="X421">
        <f t="shared" ca="1" si="44"/>
        <v>0</v>
      </c>
      <c r="Z421" s="63" t="e">
        <f t="shared" ca="1" si="46"/>
        <v>#N/A</v>
      </c>
      <c r="AA421" s="63" t="e">
        <f t="shared" ca="1" si="47"/>
        <v>#N/A</v>
      </c>
      <c r="AB421" s="3" t="e">
        <f t="shared" ca="1" si="48"/>
        <v>#N/A</v>
      </c>
    </row>
    <row r="422" spans="7:28">
      <c r="G422" t="e">
        <f t="shared" ca="1" si="45"/>
        <v>#N/A</v>
      </c>
      <c r="H422" t="e">
        <f t="shared" ca="1" si="42"/>
        <v>#N/A</v>
      </c>
      <c r="I422" s="2" t="e">
        <f ca="1"/>
        <v>#N/A</v>
      </c>
      <c r="J42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W422" s="2">
        <f t="shared" ca="1" si="43"/>
        <v>0</v>
      </c>
      <c r="X422">
        <f t="shared" ca="1" si="44"/>
        <v>0</v>
      </c>
      <c r="Z422" s="63" t="e">
        <f t="shared" ca="1" si="46"/>
        <v>#N/A</v>
      </c>
      <c r="AA422" s="63" t="e">
        <f t="shared" ca="1" si="47"/>
        <v>#N/A</v>
      </c>
      <c r="AB422" s="3" t="e">
        <f t="shared" ca="1" si="48"/>
        <v>#N/A</v>
      </c>
    </row>
    <row r="423" spans="7:28">
      <c r="G423" t="e">
        <f t="shared" ca="1" si="45"/>
        <v>#N/A</v>
      </c>
      <c r="H423" t="e">
        <f t="shared" ca="1" si="42"/>
        <v>#N/A</v>
      </c>
      <c r="I423" s="2" t="e">
        <f ca="1"/>
        <v>#N/A</v>
      </c>
      <c r="J423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W423" s="2">
        <f t="shared" ca="1" si="43"/>
        <v>0</v>
      </c>
      <c r="X423">
        <f t="shared" ca="1" si="44"/>
        <v>0</v>
      </c>
      <c r="Z423" s="63" t="e">
        <f t="shared" ca="1" si="46"/>
        <v>#N/A</v>
      </c>
      <c r="AA423" s="63" t="e">
        <f t="shared" ca="1" si="47"/>
        <v>#N/A</v>
      </c>
      <c r="AB423" s="3" t="e">
        <f t="shared" ca="1" si="48"/>
        <v>#N/A</v>
      </c>
    </row>
    <row r="424" spans="7:28">
      <c r="G424" t="e">
        <f t="shared" ca="1" si="45"/>
        <v>#N/A</v>
      </c>
      <c r="H424" t="e">
        <f t="shared" ca="1" si="42"/>
        <v>#N/A</v>
      </c>
      <c r="I424" s="2" t="e">
        <f ca="1"/>
        <v>#N/A</v>
      </c>
      <c r="J424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W424" s="2">
        <f t="shared" ca="1" si="43"/>
        <v>0</v>
      </c>
      <c r="X424">
        <f t="shared" ca="1" si="44"/>
        <v>0</v>
      </c>
      <c r="Z424" s="63" t="e">
        <f t="shared" ca="1" si="46"/>
        <v>#N/A</v>
      </c>
      <c r="AA424" s="63" t="e">
        <f t="shared" ca="1" si="47"/>
        <v>#N/A</v>
      </c>
      <c r="AB424" s="3" t="e">
        <f t="shared" ca="1" si="48"/>
        <v>#N/A</v>
      </c>
    </row>
    <row r="425" spans="7:28">
      <c r="G425" t="e">
        <f t="shared" ca="1" si="45"/>
        <v>#N/A</v>
      </c>
      <c r="H425" t="e">
        <f t="shared" ca="1" si="42"/>
        <v>#N/A</v>
      </c>
      <c r="I425" s="2" t="e">
        <f ca="1"/>
        <v>#N/A</v>
      </c>
      <c r="J425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W425" s="2">
        <f t="shared" ca="1" si="43"/>
        <v>0</v>
      </c>
      <c r="X425">
        <f t="shared" ca="1" si="44"/>
        <v>0</v>
      </c>
      <c r="Z425" s="63" t="e">
        <f t="shared" ca="1" si="46"/>
        <v>#N/A</v>
      </c>
      <c r="AA425" s="63" t="e">
        <f t="shared" ca="1" si="47"/>
        <v>#N/A</v>
      </c>
      <c r="AB425" s="3" t="e">
        <f t="shared" ca="1" si="48"/>
        <v>#N/A</v>
      </c>
    </row>
    <row r="426" spans="7:28">
      <c r="G426" t="e">
        <f t="shared" ca="1" si="45"/>
        <v>#N/A</v>
      </c>
      <c r="H426" t="e">
        <f t="shared" ca="1" si="42"/>
        <v>#N/A</v>
      </c>
      <c r="I426" s="2" t="e">
        <f ca="1"/>
        <v>#N/A</v>
      </c>
      <c r="J426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W426" s="2">
        <f t="shared" ca="1" si="43"/>
        <v>0</v>
      </c>
      <c r="X426">
        <f t="shared" ca="1" si="44"/>
        <v>0</v>
      </c>
      <c r="Z426" s="63" t="e">
        <f t="shared" ca="1" si="46"/>
        <v>#N/A</v>
      </c>
      <c r="AA426" s="63" t="e">
        <f t="shared" ca="1" si="47"/>
        <v>#N/A</v>
      </c>
      <c r="AB426" s="3" t="e">
        <f t="shared" ca="1" si="48"/>
        <v>#N/A</v>
      </c>
    </row>
    <row r="427" spans="7:28">
      <c r="G427" t="e">
        <f t="shared" ca="1" si="45"/>
        <v>#N/A</v>
      </c>
      <c r="H427" t="e">
        <f t="shared" ca="1" si="42"/>
        <v>#N/A</v>
      </c>
      <c r="I427" s="2" t="e">
        <f ca="1"/>
        <v>#N/A</v>
      </c>
      <c r="J427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W427" s="2">
        <f t="shared" ca="1" si="43"/>
        <v>0</v>
      </c>
      <c r="X427">
        <f t="shared" ca="1" si="44"/>
        <v>0</v>
      </c>
      <c r="Z427" s="63" t="e">
        <f t="shared" ca="1" si="46"/>
        <v>#N/A</v>
      </c>
      <c r="AA427" s="63" t="e">
        <f t="shared" ca="1" si="47"/>
        <v>#N/A</v>
      </c>
      <c r="AB427" s="3" t="e">
        <f t="shared" ca="1" si="48"/>
        <v>#N/A</v>
      </c>
    </row>
    <row r="428" spans="7:28">
      <c r="G428" t="e">
        <f t="shared" ca="1" si="45"/>
        <v>#N/A</v>
      </c>
      <c r="H428" t="e">
        <f t="shared" ca="1" si="42"/>
        <v>#N/A</v>
      </c>
      <c r="I428" s="2" t="e">
        <f ca="1"/>
        <v>#N/A</v>
      </c>
      <c r="J428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W428" s="2">
        <f t="shared" ca="1" si="43"/>
        <v>0</v>
      </c>
      <c r="X428">
        <f t="shared" ca="1" si="44"/>
        <v>0</v>
      </c>
      <c r="Z428" s="63" t="e">
        <f t="shared" ca="1" si="46"/>
        <v>#N/A</v>
      </c>
      <c r="AA428" s="63" t="e">
        <f t="shared" ca="1" si="47"/>
        <v>#N/A</v>
      </c>
      <c r="AB428" s="3" t="e">
        <f t="shared" ca="1" si="48"/>
        <v>#N/A</v>
      </c>
    </row>
    <row r="429" spans="7:28">
      <c r="G429" t="e">
        <f t="shared" ca="1" si="45"/>
        <v>#N/A</v>
      </c>
      <c r="H429" t="e">
        <f t="shared" ca="1" si="42"/>
        <v>#N/A</v>
      </c>
      <c r="I429" s="2" t="e">
        <f ca="1"/>
        <v>#N/A</v>
      </c>
      <c r="J429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W429" s="2">
        <f t="shared" ca="1" si="43"/>
        <v>0</v>
      </c>
      <c r="X429">
        <f t="shared" ca="1" si="44"/>
        <v>0</v>
      </c>
      <c r="Z429" s="63" t="e">
        <f t="shared" ca="1" si="46"/>
        <v>#N/A</v>
      </c>
      <c r="AA429" s="63" t="e">
        <f t="shared" ca="1" si="47"/>
        <v>#N/A</v>
      </c>
      <c r="AB429" s="3" t="e">
        <f t="shared" ca="1" si="48"/>
        <v>#N/A</v>
      </c>
    </row>
    <row r="430" spans="7:28">
      <c r="G430" t="e">
        <f t="shared" ca="1" si="45"/>
        <v>#N/A</v>
      </c>
      <c r="H430" t="e">
        <f t="shared" ca="1" si="42"/>
        <v>#N/A</v>
      </c>
      <c r="I430" s="2" t="e">
        <f ca="1"/>
        <v>#N/A</v>
      </c>
      <c r="J430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W430" s="2">
        <f t="shared" ca="1" si="43"/>
        <v>0</v>
      </c>
      <c r="X430">
        <f t="shared" ca="1" si="44"/>
        <v>0</v>
      </c>
      <c r="Z430" s="63" t="e">
        <f t="shared" ca="1" si="46"/>
        <v>#N/A</v>
      </c>
      <c r="AA430" s="63" t="e">
        <f t="shared" ca="1" si="47"/>
        <v>#N/A</v>
      </c>
      <c r="AB430" s="3" t="e">
        <f t="shared" ca="1" si="48"/>
        <v>#N/A</v>
      </c>
    </row>
    <row r="431" spans="7:28">
      <c r="G431" t="e">
        <f t="shared" ca="1" si="45"/>
        <v>#N/A</v>
      </c>
      <c r="H431" t="e">
        <f t="shared" ca="1" si="42"/>
        <v>#N/A</v>
      </c>
      <c r="I431" s="2" t="e">
        <f ca="1"/>
        <v>#N/A</v>
      </c>
      <c r="J431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W431" s="2">
        <f t="shared" ca="1" si="43"/>
        <v>0</v>
      </c>
      <c r="X431">
        <f t="shared" ca="1" si="44"/>
        <v>0</v>
      </c>
      <c r="Z431" s="63" t="e">
        <f t="shared" ca="1" si="46"/>
        <v>#N/A</v>
      </c>
      <c r="AA431" s="63" t="e">
        <f t="shared" ca="1" si="47"/>
        <v>#N/A</v>
      </c>
      <c r="AB431" s="3" t="e">
        <f t="shared" ca="1" si="48"/>
        <v>#N/A</v>
      </c>
    </row>
    <row r="432" spans="7:28">
      <c r="G432" t="e">
        <f t="shared" ca="1" si="45"/>
        <v>#N/A</v>
      </c>
      <c r="H432" t="e">
        <f t="shared" ca="1" si="42"/>
        <v>#N/A</v>
      </c>
      <c r="I432" s="2" t="e">
        <f ca="1"/>
        <v>#N/A</v>
      </c>
      <c r="J43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W432" s="2">
        <f t="shared" ca="1" si="43"/>
        <v>0</v>
      </c>
      <c r="X432">
        <f t="shared" ca="1" si="44"/>
        <v>0</v>
      </c>
      <c r="Z432" s="63" t="e">
        <f t="shared" ca="1" si="46"/>
        <v>#N/A</v>
      </c>
      <c r="AA432" s="63" t="e">
        <f t="shared" ca="1" si="47"/>
        <v>#N/A</v>
      </c>
      <c r="AB432" s="3" t="e">
        <f t="shared" ca="1" si="48"/>
        <v>#N/A</v>
      </c>
    </row>
    <row r="433" spans="7:28">
      <c r="G433" t="e">
        <f t="shared" ca="1" si="45"/>
        <v>#N/A</v>
      </c>
      <c r="H433" t="e">
        <f t="shared" ca="1" si="42"/>
        <v>#N/A</v>
      </c>
      <c r="I433" s="2" t="e">
        <f ca="1"/>
        <v>#N/A</v>
      </c>
      <c r="J433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W433" s="2">
        <f t="shared" ca="1" si="43"/>
        <v>0</v>
      </c>
      <c r="X433">
        <f t="shared" ca="1" si="44"/>
        <v>0</v>
      </c>
      <c r="Z433" s="63" t="e">
        <f t="shared" ca="1" si="46"/>
        <v>#N/A</v>
      </c>
      <c r="AA433" s="63" t="e">
        <f t="shared" ca="1" si="47"/>
        <v>#N/A</v>
      </c>
      <c r="AB433" s="3" t="e">
        <f t="shared" ca="1" si="48"/>
        <v>#N/A</v>
      </c>
    </row>
    <row r="434" spans="7:28">
      <c r="G434" t="e">
        <f t="shared" ca="1" si="45"/>
        <v>#N/A</v>
      </c>
      <c r="H434" t="e">
        <f t="shared" ca="1" si="42"/>
        <v>#N/A</v>
      </c>
      <c r="I434" s="2" t="e">
        <f ca="1"/>
        <v>#N/A</v>
      </c>
      <c r="J434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W434" s="2">
        <f t="shared" ca="1" si="43"/>
        <v>0</v>
      </c>
      <c r="X434">
        <f t="shared" ca="1" si="44"/>
        <v>0</v>
      </c>
      <c r="Z434" s="63" t="e">
        <f t="shared" ca="1" si="46"/>
        <v>#N/A</v>
      </c>
      <c r="AA434" s="63" t="e">
        <f t="shared" ca="1" si="47"/>
        <v>#N/A</v>
      </c>
      <c r="AB434" s="3" t="e">
        <f t="shared" ca="1" si="48"/>
        <v>#N/A</v>
      </c>
    </row>
    <row r="435" spans="7:28">
      <c r="G435" t="e">
        <f t="shared" ca="1" si="45"/>
        <v>#N/A</v>
      </c>
      <c r="H435" t="e">
        <f t="shared" ca="1" si="42"/>
        <v>#N/A</v>
      </c>
      <c r="I435" s="2" t="e">
        <f ca="1"/>
        <v>#N/A</v>
      </c>
      <c r="J435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W435" s="2">
        <f t="shared" ca="1" si="43"/>
        <v>0</v>
      </c>
      <c r="X435">
        <f t="shared" ca="1" si="44"/>
        <v>0</v>
      </c>
      <c r="Z435" s="63" t="e">
        <f t="shared" ca="1" si="46"/>
        <v>#N/A</v>
      </c>
      <c r="AA435" s="63" t="e">
        <f t="shared" ca="1" si="47"/>
        <v>#N/A</v>
      </c>
      <c r="AB435" s="3" t="e">
        <f t="shared" ca="1" si="48"/>
        <v>#N/A</v>
      </c>
    </row>
    <row r="436" spans="7:28">
      <c r="G436" t="e">
        <f t="shared" ca="1" si="45"/>
        <v>#N/A</v>
      </c>
      <c r="H436" t="e">
        <f t="shared" ca="1" si="42"/>
        <v>#N/A</v>
      </c>
      <c r="I436" s="2" t="e">
        <f ca="1"/>
        <v>#N/A</v>
      </c>
      <c r="J436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W436" s="2">
        <f t="shared" ca="1" si="43"/>
        <v>0</v>
      </c>
      <c r="X436">
        <f t="shared" ca="1" si="44"/>
        <v>0</v>
      </c>
      <c r="Z436" s="63" t="e">
        <f t="shared" ca="1" si="46"/>
        <v>#N/A</v>
      </c>
      <c r="AA436" s="63" t="e">
        <f t="shared" ca="1" si="47"/>
        <v>#N/A</v>
      </c>
      <c r="AB436" s="3" t="e">
        <f t="shared" ca="1" si="48"/>
        <v>#N/A</v>
      </c>
    </row>
    <row r="437" spans="7:28">
      <c r="G437" t="e">
        <f t="shared" ca="1" si="45"/>
        <v>#N/A</v>
      </c>
      <c r="H437" t="e">
        <f t="shared" ca="1" si="42"/>
        <v>#N/A</v>
      </c>
      <c r="I437" s="2" t="e">
        <f ca="1"/>
        <v>#N/A</v>
      </c>
      <c r="J437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W437" s="2">
        <f t="shared" ca="1" si="43"/>
        <v>0</v>
      </c>
      <c r="X437">
        <f t="shared" ca="1" si="44"/>
        <v>0</v>
      </c>
      <c r="Z437" s="63" t="e">
        <f t="shared" ca="1" si="46"/>
        <v>#N/A</v>
      </c>
      <c r="AA437" s="63" t="e">
        <f t="shared" ca="1" si="47"/>
        <v>#N/A</v>
      </c>
      <c r="AB437" s="3" t="e">
        <f t="shared" ca="1" si="48"/>
        <v>#N/A</v>
      </c>
    </row>
    <row r="438" spans="7:28">
      <c r="G438" t="e">
        <f t="shared" ca="1" si="45"/>
        <v>#N/A</v>
      </c>
      <c r="H438" t="e">
        <f t="shared" ca="1" si="42"/>
        <v>#N/A</v>
      </c>
      <c r="I438" s="2" t="e">
        <f ca="1"/>
        <v>#N/A</v>
      </c>
      <c r="J438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W438" s="2">
        <f t="shared" ca="1" si="43"/>
        <v>0</v>
      </c>
      <c r="X438">
        <f t="shared" ca="1" si="44"/>
        <v>0</v>
      </c>
      <c r="Z438" s="63" t="e">
        <f t="shared" ca="1" si="46"/>
        <v>#N/A</v>
      </c>
      <c r="AA438" s="63" t="e">
        <f t="shared" ca="1" si="47"/>
        <v>#N/A</v>
      </c>
      <c r="AB438" s="3" t="e">
        <f t="shared" ca="1" si="48"/>
        <v>#N/A</v>
      </c>
    </row>
    <row r="439" spans="7:28">
      <c r="G439" t="e">
        <f t="shared" ca="1" si="45"/>
        <v>#N/A</v>
      </c>
      <c r="H439" t="e">
        <f t="shared" ca="1" si="42"/>
        <v>#N/A</v>
      </c>
      <c r="I439" s="2" t="e">
        <f ca="1"/>
        <v>#N/A</v>
      </c>
      <c r="J439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W439" s="2">
        <f t="shared" ca="1" si="43"/>
        <v>0</v>
      </c>
      <c r="X439">
        <f t="shared" ca="1" si="44"/>
        <v>0</v>
      </c>
      <c r="Z439" s="63" t="e">
        <f t="shared" ca="1" si="46"/>
        <v>#N/A</v>
      </c>
      <c r="AA439" s="63" t="e">
        <f t="shared" ca="1" si="47"/>
        <v>#N/A</v>
      </c>
      <c r="AB439" s="3" t="e">
        <f t="shared" ca="1" si="48"/>
        <v>#N/A</v>
      </c>
    </row>
    <row r="440" spans="7:28">
      <c r="G440" t="e">
        <f t="shared" ca="1" si="45"/>
        <v>#N/A</v>
      </c>
      <c r="H440" t="e">
        <f t="shared" ca="1" si="42"/>
        <v>#N/A</v>
      </c>
      <c r="I440" s="2" t="e">
        <f ca="1"/>
        <v>#N/A</v>
      </c>
      <c r="J440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W440" s="2">
        <f t="shared" ca="1" si="43"/>
        <v>0</v>
      </c>
      <c r="X440">
        <f t="shared" ca="1" si="44"/>
        <v>0</v>
      </c>
      <c r="Z440" s="63" t="e">
        <f t="shared" ca="1" si="46"/>
        <v>#N/A</v>
      </c>
      <c r="AA440" s="63" t="e">
        <f t="shared" ca="1" si="47"/>
        <v>#N/A</v>
      </c>
      <c r="AB440" s="3" t="e">
        <f t="shared" ca="1" si="48"/>
        <v>#N/A</v>
      </c>
    </row>
    <row r="441" spans="7:28">
      <c r="G441" t="e">
        <f t="shared" ca="1" si="45"/>
        <v>#N/A</v>
      </c>
      <c r="H441" t="e">
        <f t="shared" ca="1" si="42"/>
        <v>#N/A</v>
      </c>
      <c r="I441" s="2" t="e">
        <f ca="1"/>
        <v>#N/A</v>
      </c>
      <c r="J441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W441" s="2">
        <f t="shared" ca="1" si="43"/>
        <v>0</v>
      </c>
      <c r="X441">
        <f t="shared" ca="1" si="44"/>
        <v>0</v>
      </c>
      <c r="Z441" s="63" t="e">
        <f t="shared" ca="1" si="46"/>
        <v>#N/A</v>
      </c>
      <c r="AA441" s="63" t="e">
        <f t="shared" ca="1" si="47"/>
        <v>#N/A</v>
      </c>
      <c r="AB441" s="3" t="e">
        <f t="shared" ca="1" si="48"/>
        <v>#N/A</v>
      </c>
    </row>
    <row r="442" spans="7:28">
      <c r="G442" t="e">
        <f t="shared" ca="1" si="45"/>
        <v>#N/A</v>
      </c>
      <c r="H442" t="e">
        <f t="shared" ca="1" si="42"/>
        <v>#N/A</v>
      </c>
      <c r="I442" s="2" t="e">
        <f ca="1"/>
        <v>#N/A</v>
      </c>
      <c r="J44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W442" s="2">
        <f t="shared" ca="1" si="43"/>
        <v>0</v>
      </c>
      <c r="X442">
        <f t="shared" ca="1" si="44"/>
        <v>0</v>
      </c>
      <c r="Z442" s="63" t="e">
        <f t="shared" ca="1" si="46"/>
        <v>#N/A</v>
      </c>
      <c r="AA442" s="63" t="e">
        <f t="shared" ca="1" si="47"/>
        <v>#N/A</v>
      </c>
      <c r="AB442" s="3" t="e">
        <f t="shared" ca="1" si="48"/>
        <v>#N/A</v>
      </c>
    </row>
    <row r="443" spans="7:28">
      <c r="G443" t="e">
        <f t="shared" ca="1" si="45"/>
        <v>#N/A</v>
      </c>
      <c r="H443" t="e">
        <f t="shared" ca="1" si="42"/>
        <v>#N/A</v>
      </c>
      <c r="I443" s="2" t="e">
        <f ca="1"/>
        <v>#N/A</v>
      </c>
      <c r="J443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W443" s="2">
        <f t="shared" ca="1" si="43"/>
        <v>0</v>
      </c>
      <c r="X443">
        <f t="shared" ca="1" si="44"/>
        <v>0</v>
      </c>
      <c r="Z443" s="63" t="e">
        <f t="shared" ca="1" si="46"/>
        <v>#N/A</v>
      </c>
      <c r="AA443" s="63" t="e">
        <f t="shared" ca="1" si="47"/>
        <v>#N/A</v>
      </c>
      <c r="AB443" s="3" t="e">
        <f t="shared" ca="1" si="48"/>
        <v>#N/A</v>
      </c>
    </row>
    <row r="444" spans="7:28">
      <c r="G444" t="e">
        <f t="shared" ca="1" si="45"/>
        <v>#N/A</v>
      </c>
      <c r="H444" t="e">
        <f t="shared" ca="1" si="42"/>
        <v>#N/A</v>
      </c>
      <c r="I444" s="2" t="e">
        <f ca="1"/>
        <v>#N/A</v>
      </c>
      <c r="J444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W444" s="2">
        <f t="shared" ca="1" si="43"/>
        <v>0</v>
      </c>
      <c r="X444">
        <f t="shared" ca="1" si="44"/>
        <v>0</v>
      </c>
      <c r="Z444" s="63" t="e">
        <f t="shared" ca="1" si="46"/>
        <v>#N/A</v>
      </c>
      <c r="AA444" s="63" t="e">
        <f t="shared" ca="1" si="47"/>
        <v>#N/A</v>
      </c>
      <c r="AB444" s="3" t="e">
        <f t="shared" ca="1" si="48"/>
        <v>#N/A</v>
      </c>
    </row>
    <row r="445" spans="7:28">
      <c r="G445" t="e">
        <f t="shared" ca="1" si="45"/>
        <v>#N/A</v>
      </c>
      <c r="H445" t="e">
        <f t="shared" ca="1" si="42"/>
        <v>#N/A</v>
      </c>
      <c r="I445" s="2" t="e">
        <f ca="1"/>
        <v>#N/A</v>
      </c>
      <c r="J445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W445" s="2">
        <f t="shared" ca="1" si="43"/>
        <v>0</v>
      </c>
      <c r="X445">
        <f t="shared" ca="1" si="44"/>
        <v>0</v>
      </c>
      <c r="Z445" s="63" t="e">
        <f t="shared" ca="1" si="46"/>
        <v>#N/A</v>
      </c>
      <c r="AA445" s="63" t="e">
        <f t="shared" ca="1" si="47"/>
        <v>#N/A</v>
      </c>
      <c r="AB445" s="3" t="e">
        <f t="shared" ca="1" si="48"/>
        <v>#N/A</v>
      </c>
    </row>
    <row r="446" spans="7:28">
      <c r="G446" t="e">
        <f t="shared" ca="1" si="45"/>
        <v>#N/A</v>
      </c>
      <c r="H446" t="e">
        <f t="shared" ca="1" si="42"/>
        <v>#N/A</v>
      </c>
      <c r="I446" s="2" t="e">
        <f ca="1"/>
        <v>#N/A</v>
      </c>
      <c r="J446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W446" s="2">
        <f t="shared" ca="1" si="43"/>
        <v>0</v>
      </c>
      <c r="X446">
        <f t="shared" ca="1" si="44"/>
        <v>0</v>
      </c>
      <c r="Z446" s="63" t="e">
        <f t="shared" ca="1" si="46"/>
        <v>#N/A</v>
      </c>
      <c r="AA446" s="63" t="e">
        <f t="shared" ca="1" si="47"/>
        <v>#N/A</v>
      </c>
      <c r="AB446" s="3" t="e">
        <f t="shared" ca="1" si="48"/>
        <v>#N/A</v>
      </c>
    </row>
    <row r="447" spans="7:28">
      <c r="G447" t="e">
        <f t="shared" ca="1" si="45"/>
        <v>#N/A</v>
      </c>
      <c r="H447" t="e">
        <f t="shared" ca="1" si="42"/>
        <v>#N/A</v>
      </c>
      <c r="I447" s="2" t="e">
        <f ca="1"/>
        <v>#N/A</v>
      </c>
      <c r="J447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W447" s="2">
        <f t="shared" ca="1" si="43"/>
        <v>0</v>
      </c>
      <c r="X447">
        <f t="shared" ca="1" si="44"/>
        <v>0</v>
      </c>
      <c r="Z447" s="63" t="e">
        <f t="shared" ca="1" si="46"/>
        <v>#N/A</v>
      </c>
      <c r="AA447" s="63" t="e">
        <f t="shared" ca="1" si="47"/>
        <v>#N/A</v>
      </c>
      <c r="AB447" s="3" t="e">
        <f t="shared" ca="1" si="48"/>
        <v>#N/A</v>
      </c>
    </row>
    <row r="448" spans="7:28">
      <c r="G448" t="e">
        <f t="shared" ca="1" si="45"/>
        <v>#N/A</v>
      </c>
      <c r="H448" t="e">
        <f t="shared" ca="1" si="42"/>
        <v>#N/A</v>
      </c>
      <c r="I448" s="2" t="e">
        <f ca="1"/>
        <v>#N/A</v>
      </c>
      <c r="J448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W448" s="2">
        <f t="shared" ca="1" si="43"/>
        <v>0</v>
      </c>
      <c r="X448">
        <f t="shared" ca="1" si="44"/>
        <v>0</v>
      </c>
      <c r="Z448" s="63" t="e">
        <f t="shared" ca="1" si="46"/>
        <v>#N/A</v>
      </c>
      <c r="AA448" s="63" t="e">
        <f t="shared" ca="1" si="47"/>
        <v>#N/A</v>
      </c>
      <c r="AB448" s="3" t="e">
        <f t="shared" ca="1" si="48"/>
        <v>#N/A</v>
      </c>
    </row>
    <row r="449" spans="7:28">
      <c r="G449" t="e">
        <f t="shared" ca="1" si="45"/>
        <v>#N/A</v>
      </c>
      <c r="H449" t="e">
        <f t="shared" ca="1" si="42"/>
        <v>#N/A</v>
      </c>
      <c r="I449" s="2" t="e">
        <f ca="1"/>
        <v>#N/A</v>
      </c>
      <c r="J449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W449" s="2">
        <f t="shared" ca="1" si="43"/>
        <v>0</v>
      </c>
      <c r="X449">
        <f t="shared" ca="1" si="44"/>
        <v>0</v>
      </c>
      <c r="Z449" s="63" t="e">
        <f t="shared" ca="1" si="46"/>
        <v>#N/A</v>
      </c>
      <c r="AA449" s="63" t="e">
        <f t="shared" ca="1" si="47"/>
        <v>#N/A</v>
      </c>
      <c r="AB449" s="3" t="e">
        <f t="shared" ca="1" si="48"/>
        <v>#N/A</v>
      </c>
    </row>
    <row r="450" spans="7:28">
      <c r="G450" t="e">
        <f t="shared" ca="1" si="45"/>
        <v>#N/A</v>
      </c>
      <c r="H450" t="e">
        <f t="shared" ca="1" si="42"/>
        <v>#N/A</v>
      </c>
      <c r="I450" s="2" t="e">
        <f ca="1"/>
        <v>#N/A</v>
      </c>
      <c r="J450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W450" s="2">
        <f t="shared" ca="1" si="43"/>
        <v>0</v>
      </c>
      <c r="X450">
        <f t="shared" ca="1" si="44"/>
        <v>0</v>
      </c>
      <c r="Z450" s="63" t="e">
        <f t="shared" ca="1" si="46"/>
        <v>#N/A</v>
      </c>
      <c r="AA450" s="63" t="e">
        <f t="shared" ca="1" si="47"/>
        <v>#N/A</v>
      </c>
      <c r="AB450" s="3" t="e">
        <f t="shared" ca="1" si="48"/>
        <v>#N/A</v>
      </c>
    </row>
    <row r="451" spans="7:28">
      <c r="G451" t="e">
        <f t="shared" ca="1" si="45"/>
        <v>#N/A</v>
      </c>
      <c r="H451" t="e">
        <f t="shared" ca="1" si="42"/>
        <v>#N/A</v>
      </c>
      <c r="I451" s="2" t="e">
        <f ca="1"/>
        <v>#N/A</v>
      </c>
      <c r="J451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W451" s="2">
        <f t="shared" ca="1" si="43"/>
        <v>0</v>
      </c>
      <c r="X451">
        <f t="shared" ca="1" si="44"/>
        <v>0</v>
      </c>
      <c r="Z451" s="63" t="e">
        <f t="shared" ca="1" si="46"/>
        <v>#N/A</v>
      </c>
      <c r="AA451" s="63" t="e">
        <f t="shared" ca="1" si="47"/>
        <v>#N/A</v>
      </c>
      <c r="AB451" s="3" t="e">
        <f t="shared" ca="1" si="48"/>
        <v>#N/A</v>
      </c>
    </row>
    <row r="452" spans="7:28">
      <c r="G452" t="e">
        <f t="shared" ca="1" si="45"/>
        <v>#N/A</v>
      </c>
      <c r="H452" t="e">
        <f t="shared" ca="1" si="42"/>
        <v>#N/A</v>
      </c>
      <c r="I452" s="2" t="e">
        <f ca="1"/>
        <v>#N/A</v>
      </c>
      <c r="J45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W452" s="2">
        <f t="shared" ca="1" si="43"/>
        <v>0</v>
      </c>
      <c r="X452">
        <f t="shared" ca="1" si="44"/>
        <v>0</v>
      </c>
      <c r="Z452" s="63" t="e">
        <f t="shared" ca="1" si="46"/>
        <v>#N/A</v>
      </c>
      <c r="AA452" s="63" t="e">
        <f t="shared" ca="1" si="47"/>
        <v>#N/A</v>
      </c>
      <c r="AB452" s="3" t="e">
        <f t="shared" ca="1" si="48"/>
        <v>#N/A</v>
      </c>
    </row>
    <row r="453" spans="7:28">
      <c r="G453" t="e">
        <f t="shared" ca="1" si="45"/>
        <v>#N/A</v>
      </c>
      <c r="H453" t="e">
        <f t="shared" ca="1" si="42"/>
        <v>#N/A</v>
      </c>
      <c r="I453" s="2" t="e">
        <f ca="1"/>
        <v>#N/A</v>
      </c>
      <c r="J453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W453" s="2">
        <f t="shared" ca="1" si="43"/>
        <v>0</v>
      </c>
      <c r="X453">
        <f t="shared" ca="1" si="44"/>
        <v>0</v>
      </c>
      <c r="Z453" s="63" t="e">
        <f t="shared" ca="1" si="46"/>
        <v>#N/A</v>
      </c>
      <c r="AA453" s="63" t="e">
        <f t="shared" ca="1" si="47"/>
        <v>#N/A</v>
      </c>
      <c r="AB453" s="3" t="e">
        <f t="shared" ca="1" si="48"/>
        <v>#N/A</v>
      </c>
    </row>
    <row r="454" spans="7:28">
      <c r="G454" t="e">
        <f t="shared" ca="1" si="45"/>
        <v>#N/A</v>
      </c>
      <c r="H454" t="e">
        <f t="shared" ca="1" si="42"/>
        <v>#N/A</v>
      </c>
      <c r="I454" s="2" t="e">
        <f ca="1"/>
        <v>#N/A</v>
      </c>
      <c r="J454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W454" s="2">
        <f t="shared" ca="1" si="43"/>
        <v>0</v>
      </c>
      <c r="X454">
        <f t="shared" ca="1" si="44"/>
        <v>0</v>
      </c>
      <c r="Z454" s="63" t="e">
        <f t="shared" ca="1" si="46"/>
        <v>#N/A</v>
      </c>
      <c r="AA454" s="63" t="e">
        <f t="shared" ca="1" si="47"/>
        <v>#N/A</v>
      </c>
      <c r="AB454" s="3" t="e">
        <f t="shared" ca="1" si="48"/>
        <v>#N/A</v>
      </c>
    </row>
    <row r="455" spans="7:28">
      <c r="G455" t="e">
        <f t="shared" ca="1" si="45"/>
        <v>#N/A</v>
      </c>
      <c r="H455" t="e">
        <f t="shared" ref="H455:H496" ca="1" si="49">AND(IF(I455&gt;($I$3-1),TRUE,FALSE),IF(I455&lt;($I$4+1),TRUE,FALSE))</f>
        <v>#N/A</v>
      </c>
      <c r="I455" s="2" t="e">
        <f ca="1"/>
        <v>#N/A</v>
      </c>
      <c r="J455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W455" s="2">
        <f t="shared" ref="W455:W496" ca="1" si="50">IFERROR(I455,$W$5)</f>
        <v>0</v>
      </c>
      <c r="X455">
        <f t="shared" ref="X455:X496" ca="1" si="51">IFERROR(N455,0)</f>
        <v>0</v>
      </c>
      <c r="Z455" s="63" t="e">
        <f t="shared" ca="1" si="46"/>
        <v>#N/A</v>
      </c>
      <c r="AA455" s="63" t="e">
        <f t="shared" ca="1" si="47"/>
        <v>#N/A</v>
      </c>
      <c r="AB455" s="3" t="e">
        <f t="shared" ca="1" si="48"/>
        <v>#N/A</v>
      </c>
    </row>
    <row r="456" spans="7:28">
      <c r="G456" t="e">
        <f t="shared" ref="G456:G496" ca="1" si="52">IF(I456&lt;$I$4,TRUE,FALSE)</f>
        <v>#N/A</v>
      </c>
      <c r="H456" t="e">
        <f t="shared" ca="1" si="49"/>
        <v>#N/A</v>
      </c>
      <c r="I456" s="2" t="e">
        <f ca="1"/>
        <v>#N/A</v>
      </c>
      <c r="J456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W456" s="2">
        <f t="shared" ca="1" si="50"/>
        <v>0</v>
      </c>
      <c r="X456">
        <f t="shared" ca="1" si="51"/>
        <v>0</v>
      </c>
      <c r="Z456" s="63" t="e">
        <f t="shared" ca="1" si="46"/>
        <v>#N/A</v>
      </c>
      <c r="AA456" s="63" t="e">
        <f t="shared" ca="1" si="47"/>
        <v>#N/A</v>
      </c>
      <c r="AB456" s="3" t="e">
        <f t="shared" ca="1" si="48"/>
        <v>#N/A</v>
      </c>
    </row>
    <row r="457" spans="7:28">
      <c r="G457" t="e">
        <f t="shared" ca="1" si="52"/>
        <v>#N/A</v>
      </c>
      <c r="H457" t="e">
        <f t="shared" ca="1" si="49"/>
        <v>#N/A</v>
      </c>
      <c r="I457" s="2" t="e">
        <f ca="1"/>
        <v>#N/A</v>
      </c>
      <c r="J457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W457" s="2">
        <f t="shared" ca="1" si="50"/>
        <v>0</v>
      </c>
      <c r="X457">
        <f t="shared" ca="1" si="51"/>
        <v>0</v>
      </c>
      <c r="Z457" s="63" t="e">
        <f t="shared" ca="1" si="46"/>
        <v>#N/A</v>
      </c>
      <c r="AA457" s="63" t="e">
        <f t="shared" ca="1" si="47"/>
        <v>#N/A</v>
      </c>
      <c r="AB457" s="3" t="e">
        <f t="shared" ca="1" si="48"/>
        <v>#N/A</v>
      </c>
    </row>
    <row r="458" spans="7:28">
      <c r="G458" t="e">
        <f t="shared" ca="1" si="52"/>
        <v>#N/A</v>
      </c>
      <c r="H458" t="e">
        <f t="shared" ca="1" si="49"/>
        <v>#N/A</v>
      </c>
      <c r="I458" s="2" t="e">
        <f ca="1"/>
        <v>#N/A</v>
      </c>
      <c r="J458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W458" s="2">
        <f t="shared" ca="1" si="50"/>
        <v>0</v>
      </c>
      <c r="X458">
        <f t="shared" ca="1" si="51"/>
        <v>0</v>
      </c>
      <c r="Z458" s="63" t="e">
        <f t="shared" ca="1" si="46"/>
        <v>#N/A</v>
      </c>
      <c r="AA458" s="63" t="e">
        <f t="shared" ca="1" si="47"/>
        <v>#N/A</v>
      </c>
      <c r="AB458" s="3" t="e">
        <f t="shared" ca="1" si="48"/>
        <v>#N/A</v>
      </c>
    </row>
    <row r="459" spans="7:28">
      <c r="G459" t="e">
        <f t="shared" ca="1" si="52"/>
        <v>#N/A</v>
      </c>
      <c r="H459" t="e">
        <f t="shared" ca="1" si="49"/>
        <v>#N/A</v>
      </c>
      <c r="I459" s="2" t="e">
        <f ca="1"/>
        <v>#N/A</v>
      </c>
      <c r="J459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W459" s="2">
        <f t="shared" ca="1" si="50"/>
        <v>0</v>
      </c>
      <c r="X459">
        <f t="shared" ca="1" si="51"/>
        <v>0</v>
      </c>
      <c r="Z459" s="63" t="e">
        <f t="shared" ca="1" si="46"/>
        <v>#N/A</v>
      </c>
      <c r="AA459" s="63" t="e">
        <f t="shared" ca="1" si="47"/>
        <v>#N/A</v>
      </c>
      <c r="AB459" s="3" t="e">
        <f t="shared" ca="1" si="48"/>
        <v>#N/A</v>
      </c>
    </row>
    <row r="460" spans="7:28">
      <c r="G460" t="e">
        <f t="shared" ca="1" si="52"/>
        <v>#N/A</v>
      </c>
      <c r="H460" t="e">
        <f t="shared" ca="1" si="49"/>
        <v>#N/A</v>
      </c>
      <c r="I460" s="2" t="e">
        <f ca="1"/>
        <v>#N/A</v>
      </c>
      <c r="J460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W460" s="2">
        <f t="shared" ca="1" si="50"/>
        <v>0</v>
      </c>
      <c r="X460">
        <f t="shared" ca="1" si="51"/>
        <v>0</v>
      </c>
      <c r="Z460" s="63" t="e">
        <f t="shared" ref="Z460:Z496" ca="1" si="53">J459+L460+M460+N460</f>
        <v>#N/A</v>
      </c>
      <c r="AA460" s="63" t="e">
        <f t="shared" ref="AA460:AA496" ca="1" si="54">J460+K460+Q460</f>
        <v>#N/A</v>
      </c>
      <c r="AB460" s="3" t="e">
        <f t="shared" ref="AB460:AB496" ca="1" si="55">AA460-Z460</f>
        <v>#N/A</v>
      </c>
    </row>
    <row r="461" spans="7:28">
      <c r="G461" t="e">
        <f t="shared" ca="1" si="52"/>
        <v>#N/A</v>
      </c>
      <c r="H461" t="e">
        <f t="shared" ca="1" si="49"/>
        <v>#N/A</v>
      </c>
      <c r="I461" s="2" t="e">
        <f ca="1"/>
        <v>#N/A</v>
      </c>
      <c r="J461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W461" s="2">
        <f t="shared" ca="1" si="50"/>
        <v>0</v>
      </c>
      <c r="X461">
        <f t="shared" ca="1" si="51"/>
        <v>0</v>
      </c>
      <c r="Z461" s="63" t="e">
        <f t="shared" ca="1" si="53"/>
        <v>#N/A</v>
      </c>
      <c r="AA461" s="63" t="e">
        <f t="shared" ca="1" si="54"/>
        <v>#N/A</v>
      </c>
      <c r="AB461" s="3" t="e">
        <f t="shared" ca="1" si="55"/>
        <v>#N/A</v>
      </c>
    </row>
    <row r="462" spans="7:28">
      <c r="G462" t="e">
        <f t="shared" ca="1" si="52"/>
        <v>#N/A</v>
      </c>
      <c r="H462" t="e">
        <f t="shared" ca="1" si="49"/>
        <v>#N/A</v>
      </c>
      <c r="I462" s="2" t="e">
        <f ca="1"/>
        <v>#N/A</v>
      </c>
      <c r="J46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W462" s="2">
        <f t="shared" ca="1" si="50"/>
        <v>0</v>
      </c>
      <c r="X462">
        <f t="shared" ca="1" si="51"/>
        <v>0</v>
      </c>
      <c r="Z462" s="63" t="e">
        <f t="shared" ca="1" si="53"/>
        <v>#N/A</v>
      </c>
      <c r="AA462" s="63" t="e">
        <f t="shared" ca="1" si="54"/>
        <v>#N/A</v>
      </c>
      <c r="AB462" s="3" t="e">
        <f t="shared" ca="1" si="55"/>
        <v>#N/A</v>
      </c>
    </row>
    <row r="463" spans="7:28">
      <c r="G463" t="e">
        <f t="shared" ca="1" si="52"/>
        <v>#N/A</v>
      </c>
      <c r="H463" t="e">
        <f t="shared" ca="1" si="49"/>
        <v>#N/A</v>
      </c>
      <c r="I463" s="2" t="e">
        <f ca="1"/>
        <v>#N/A</v>
      </c>
      <c r="J463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W463" s="2">
        <f t="shared" ca="1" si="50"/>
        <v>0</v>
      </c>
      <c r="X463">
        <f t="shared" ca="1" si="51"/>
        <v>0</v>
      </c>
      <c r="Z463" s="63" t="e">
        <f t="shared" ca="1" si="53"/>
        <v>#N/A</v>
      </c>
      <c r="AA463" s="63" t="e">
        <f t="shared" ca="1" si="54"/>
        <v>#N/A</v>
      </c>
      <c r="AB463" s="3" t="e">
        <f t="shared" ca="1" si="55"/>
        <v>#N/A</v>
      </c>
    </row>
    <row r="464" spans="7:28">
      <c r="G464" t="e">
        <f t="shared" ca="1" si="52"/>
        <v>#N/A</v>
      </c>
      <c r="H464" t="e">
        <f t="shared" ca="1" si="49"/>
        <v>#N/A</v>
      </c>
      <c r="I464" s="2" t="e">
        <f ca="1"/>
        <v>#N/A</v>
      </c>
      <c r="J464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W464" s="2">
        <f t="shared" ca="1" si="50"/>
        <v>0</v>
      </c>
      <c r="X464">
        <f t="shared" ca="1" si="51"/>
        <v>0</v>
      </c>
      <c r="Z464" s="63" t="e">
        <f t="shared" ca="1" si="53"/>
        <v>#N/A</v>
      </c>
      <c r="AA464" s="63" t="e">
        <f t="shared" ca="1" si="54"/>
        <v>#N/A</v>
      </c>
      <c r="AB464" s="3" t="e">
        <f t="shared" ca="1" si="55"/>
        <v>#N/A</v>
      </c>
    </row>
    <row r="465" spans="7:28">
      <c r="G465" t="e">
        <f t="shared" ca="1" si="52"/>
        <v>#N/A</v>
      </c>
      <c r="H465" t="e">
        <f t="shared" ca="1" si="49"/>
        <v>#N/A</v>
      </c>
      <c r="I465" s="2" t="e">
        <f ca="1"/>
        <v>#N/A</v>
      </c>
      <c r="J465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W465" s="2">
        <f t="shared" ca="1" si="50"/>
        <v>0</v>
      </c>
      <c r="X465">
        <f t="shared" ca="1" si="51"/>
        <v>0</v>
      </c>
      <c r="Z465" s="63" t="e">
        <f t="shared" ca="1" si="53"/>
        <v>#N/A</v>
      </c>
      <c r="AA465" s="63" t="e">
        <f t="shared" ca="1" si="54"/>
        <v>#N/A</v>
      </c>
      <c r="AB465" s="3" t="e">
        <f t="shared" ca="1" si="55"/>
        <v>#N/A</v>
      </c>
    </row>
    <row r="466" spans="7:28">
      <c r="G466" t="e">
        <f t="shared" ca="1" si="52"/>
        <v>#N/A</v>
      </c>
      <c r="H466" t="e">
        <f t="shared" ca="1" si="49"/>
        <v>#N/A</v>
      </c>
      <c r="I466" s="2" t="e">
        <f ca="1"/>
        <v>#N/A</v>
      </c>
      <c r="J466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W466" s="2">
        <f t="shared" ca="1" si="50"/>
        <v>0</v>
      </c>
      <c r="X466">
        <f t="shared" ca="1" si="51"/>
        <v>0</v>
      </c>
      <c r="Z466" s="63" t="e">
        <f t="shared" ca="1" si="53"/>
        <v>#N/A</v>
      </c>
      <c r="AA466" s="63" t="e">
        <f t="shared" ca="1" si="54"/>
        <v>#N/A</v>
      </c>
      <c r="AB466" s="3" t="e">
        <f t="shared" ca="1" si="55"/>
        <v>#N/A</v>
      </c>
    </row>
    <row r="467" spans="7:28">
      <c r="G467" t="e">
        <f t="shared" ca="1" si="52"/>
        <v>#N/A</v>
      </c>
      <c r="H467" t="e">
        <f t="shared" ca="1" si="49"/>
        <v>#N/A</v>
      </c>
      <c r="I467" s="2" t="e">
        <f ca="1"/>
        <v>#N/A</v>
      </c>
      <c r="J467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W467" s="2">
        <f t="shared" ca="1" si="50"/>
        <v>0</v>
      </c>
      <c r="X467">
        <f t="shared" ca="1" si="51"/>
        <v>0</v>
      </c>
      <c r="Z467" s="63" t="e">
        <f t="shared" ca="1" si="53"/>
        <v>#N/A</v>
      </c>
      <c r="AA467" s="63" t="e">
        <f t="shared" ca="1" si="54"/>
        <v>#N/A</v>
      </c>
      <c r="AB467" s="3" t="e">
        <f t="shared" ca="1" si="55"/>
        <v>#N/A</v>
      </c>
    </row>
    <row r="468" spans="7:28">
      <c r="G468" t="e">
        <f t="shared" ca="1" si="52"/>
        <v>#N/A</v>
      </c>
      <c r="H468" t="e">
        <f t="shared" ca="1" si="49"/>
        <v>#N/A</v>
      </c>
      <c r="I468" s="2" t="e">
        <f ca="1"/>
        <v>#N/A</v>
      </c>
      <c r="J468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W468" s="2">
        <f t="shared" ca="1" si="50"/>
        <v>0</v>
      </c>
      <c r="X468">
        <f t="shared" ca="1" si="51"/>
        <v>0</v>
      </c>
      <c r="Z468" s="63" t="e">
        <f t="shared" ca="1" si="53"/>
        <v>#N/A</v>
      </c>
      <c r="AA468" s="63" t="e">
        <f t="shared" ca="1" si="54"/>
        <v>#N/A</v>
      </c>
      <c r="AB468" s="3" t="e">
        <f t="shared" ca="1" si="55"/>
        <v>#N/A</v>
      </c>
    </row>
    <row r="469" spans="7:28">
      <c r="G469" t="e">
        <f t="shared" ca="1" si="52"/>
        <v>#N/A</v>
      </c>
      <c r="H469" t="e">
        <f t="shared" ca="1" si="49"/>
        <v>#N/A</v>
      </c>
      <c r="I469" s="2" t="e">
        <f ca="1"/>
        <v>#N/A</v>
      </c>
      <c r="J469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W469" s="2">
        <f t="shared" ca="1" si="50"/>
        <v>0</v>
      </c>
      <c r="X469">
        <f t="shared" ca="1" si="51"/>
        <v>0</v>
      </c>
      <c r="Z469" s="63" t="e">
        <f t="shared" ca="1" si="53"/>
        <v>#N/A</v>
      </c>
      <c r="AA469" s="63" t="e">
        <f t="shared" ca="1" si="54"/>
        <v>#N/A</v>
      </c>
      <c r="AB469" s="3" t="e">
        <f t="shared" ca="1" si="55"/>
        <v>#N/A</v>
      </c>
    </row>
    <row r="470" spans="7:28">
      <c r="G470" t="e">
        <f t="shared" ca="1" si="52"/>
        <v>#N/A</v>
      </c>
      <c r="H470" t="e">
        <f t="shared" ca="1" si="49"/>
        <v>#N/A</v>
      </c>
      <c r="I470" s="2" t="e">
        <f ca="1"/>
        <v>#N/A</v>
      </c>
      <c r="J470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W470" s="2">
        <f t="shared" ca="1" si="50"/>
        <v>0</v>
      </c>
      <c r="X470">
        <f t="shared" ca="1" si="51"/>
        <v>0</v>
      </c>
      <c r="Z470" s="63" t="e">
        <f t="shared" ca="1" si="53"/>
        <v>#N/A</v>
      </c>
      <c r="AA470" s="63" t="e">
        <f t="shared" ca="1" si="54"/>
        <v>#N/A</v>
      </c>
      <c r="AB470" s="3" t="e">
        <f t="shared" ca="1" si="55"/>
        <v>#N/A</v>
      </c>
    </row>
    <row r="471" spans="7:28">
      <c r="G471" t="e">
        <f t="shared" ca="1" si="52"/>
        <v>#N/A</v>
      </c>
      <c r="H471" t="e">
        <f t="shared" ca="1" si="49"/>
        <v>#N/A</v>
      </c>
      <c r="I471" s="2" t="e">
        <f ca="1"/>
        <v>#N/A</v>
      </c>
      <c r="J471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W471" s="2">
        <f t="shared" ca="1" si="50"/>
        <v>0</v>
      </c>
      <c r="X471">
        <f t="shared" ca="1" si="51"/>
        <v>0</v>
      </c>
      <c r="Z471" s="63" t="e">
        <f t="shared" ca="1" si="53"/>
        <v>#N/A</v>
      </c>
      <c r="AA471" s="63" t="e">
        <f t="shared" ca="1" si="54"/>
        <v>#N/A</v>
      </c>
      <c r="AB471" s="3" t="e">
        <f t="shared" ca="1" si="55"/>
        <v>#N/A</v>
      </c>
    </row>
    <row r="472" spans="7:28">
      <c r="G472" t="e">
        <f t="shared" ca="1" si="52"/>
        <v>#N/A</v>
      </c>
      <c r="H472" t="e">
        <f t="shared" ca="1" si="49"/>
        <v>#N/A</v>
      </c>
      <c r="I472" s="2" t="e">
        <f ca="1"/>
        <v>#N/A</v>
      </c>
      <c r="J47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W472" s="2">
        <f t="shared" ca="1" si="50"/>
        <v>0</v>
      </c>
      <c r="X472">
        <f t="shared" ca="1" si="51"/>
        <v>0</v>
      </c>
      <c r="Z472" s="63" t="e">
        <f t="shared" ca="1" si="53"/>
        <v>#N/A</v>
      </c>
      <c r="AA472" s="63" t="e">
        <f t="shared" ca="1" si="54"/>
        <v>#N/A</v>
      </c>
      <c r="AB472" s="3" t="e">
        <f t="shared" ca="1" si="55"/>
        <v>#N/A</v>
      </c>
    </row>
    <row r="473" spans="7:28">
      <c r="G473" t="e">
        <f t="shared" ca="1" si="52"/>
        <v>#N/A</v>
      </c>
      <c r="H473" t="e">
        <f t="shared" ca="1" si="49"/>
        <v>#N/A</v>
      </c>
      <c r="I473" s="2" t="e">
        <f ca="1"/>
        <v>#N/A</v>
      </c>
      <c r="J473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W473" s="2">
        <f t="shared" ca="1" si="50"/>
        <v>0</v>
      </c>
      <c r="X473">
        <f t="shared" ca="1" si="51"/>
        <v>0</v>
      </c>
      <c r="Z473" s="63" t="e">
        <f t="shared" ca="1" si="53"/>
        <v>#N/A</v>
      </c>
      <c r="AA473" s="63" t="e">
        <f t="shared" ca="1" si="54"/>
        <v>#N/A</v>
      </c>
      <c r="AB473" s="3" t="e">
        <f t="shared" ca="1" si="55"/>
        <v>#N/A</v>
      </c>
    </row>
    <row r="474" spans="7:28">
      <c r="G474" t="e">
        <f t="shared" ca="1" si="52"/>
        <v>#N/A</v>
      </c>
      <c r="H474" t="e">
        <f t="shared" ca="1" si="49"/>
        <v>#N/A</v>
      </c>
      <c r="I474" s="2" t="e">
        <f ca="1"/>
        <v>#N/A</v>
      </c>
      <c r="J474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W474" s="2">
        <f t="shared" ca="1" si="50"/>
        <v>0</v>
      </c>
      <c r="X474">
        <f t="shared" ca="1" si="51"/>
        <v>0</v>
      </c>
      <c r="Z474" s="63" t="e">
        <f t="shared" ca="1" si="53"/>
        <v>#N/A</v>
      </c>
      <c r="AA474" s="63" t="e">
        <f t="shared" ca="1" si="54"/>
        <v>#N/A</v>
      </c>
      <c r="AB474" s="3" t="e">
        <f t="shared" ca="1" si="55"/>
        <v>#N/A</v>
      </c>
    </row>
    <row r="475" spans="7:28">
      <c r="G475" t="e">
        <f t="shared" ca="1" si="52"/>
        <v>#N/A</v>
      </c>
      <c r="H475" t="e">
        <f t="shared" ca="1" si="49"/>
        <v>#N/A</v>
      </c>
      <c r="I475" s="2" t="e">
        <f ca="1"/>
        <v>#N/A</v>
      </c>
      <c r="J475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W475" s="2">
        <f t="shared" ca="1" si="50"/>
        <v>0</v>
      </c>
      <c r="X475">
        <f t="shared" ca="1" si="51"/>
        <v>0</v>
      </c>
      <c r="Z475" s="63" t="e">
        <f t="shared" ca="1" si="53"/>
        <v>#N/A</v>
      </c>
      <c r="AA475" s="63" t="e">
        <f t="shared" ca="1" si="54"/>
        <v>#N/A</v>
      </c>
      <c r="AB475" s="3" t="e">
        <f t="shared" ca="1" si="55"/>
        <v>#N/A</v>
      </c>
    </row>
    <row r="476" spans="7:28">
      <c r="G476" t="e">
        <f t="shared" ca="1" si="52"/>
        <v>#N/A</v>
      </c>
      <c r="H476" t="e">
        <f t="shared" ca="1" si="49"/>
        <v>#N/A</v>
      </c>
      <c r="I476" s="2" t="e">
        <f ca="1"/>
        <v>#N/A</v>
      </c>
      <c r="J476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W476" s="2">
        <f t="shared" ca="1" si="50"/>
        <v>0</v>
      </c>
      <c r="X476">
        <f t="shared" ca="1" si="51"/>
        <v>0</v>
      </c>
      <c r="Z476" s="63" t="e">
        <f t="shared" ca="1" si="53"/>
        <v>#N/A</v>
      </c>
      <c r="AA476" s="63" t="e">
        <f t="shared" ca="1" si="54"/>
        <v>#N/A</v>
      </c>
      <c r="AB476" s="3" t="e">
        <f t="shared" ca="1" si="55"/>
        <v>#N/A</v>
      </c>
    </row>
    <row r="477" spans="7:28">
      <c r="G477" t="e">
        <f t="shared" ca="1" si="52"/>
        <v>#N/A</v>
      </c>
      <c r="H477" t="e">
        <f t="shared" ca="1" si="49"/>
        <v>#N/A</v>
      </c>
      <c r="I477" s="2" t="e">
        <f ca="1"/>
        <v>#N/A</v>
      </c>
      <c r="J477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W477" s="2">
        <f t="shared" ca="1" si="50"/>
        <v>0</v>
      </c>
      <c r="X477">
        <f t="shared" ca="1" si="51"/>
        <v>0</v>
      </c>
      <c r="Z477" s="63" t="e">
        <f t="shared" ca="1" si="53"/>
        <v>#N/A</v>
      </c>
      <c r="AA477" s="63" t="e">
        <f t="shared" ca="1" si="54"/>
        <v>#N/A</v>
      </c>
      <c r="AB477" s="3" t="e">
        <f t="shared" ca="1" si="55"/>
        <v>#N/A</v>
      </c>
    </row>
    <row r="478" spans="7:28">
      <c r="G478" t="e">
        <f t="shared" ca="1" si="52"/>
        <v>#N/A</v>
      </c>
      <c r="H478" t="e">
        <f t="shared" ca="1" si="49"/>
        <v>#N/A</v>
      </c>
      <c r="I478" s="2" t="e">
        <f ca="1"/>
        <v>#N/A</v>
      </c>
      <c r="J478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W478" s="2">
        <f t="shared" ca="1" si="50"/>
        <v>0</v>
      </c>
      <c r="X478">
        <f t="shared" ca="1" si="51"/>
        <v>0</v>
      </c>
      <c r="Z478" s="63" t="e">
        <f t="shared" ca="1" si="53"/>
        <v>#N/A</v>
      </c>
      <c r="AA478" s="63" t="e">
        <f t="shared" ca="1" si="54"/>
        <v>#N/A</v>
      </c>
      <c r="AB478" s="3" t="e">
        <f t="shared" ca="1" si="55"/>
        <v>#N/A</v>
      </c>
    </row>
    <row r="479" spans="7:28">
      <c r="G479" t="e">
        <f t="shared" ca="1" si="52"/>
        <v>#N/A</v>
      </c>
      <c r="H479" t="e">
        <f t="shared" ca="1" si="49"/>
        <v>#N/A</v>
      </c>
      <c r="I479" s="2" t="e">
        <f ca="1"/>
        <v>#N/A</v>
      </c>
      <c r="J479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W479" s="2">
        <f t="shared" ca="1" si="50"/>
        <v>0</v>
      </c>
      <c r="X479">
        <f t="shared" ca="1" si="51"/>
        <v>0</v>
      </c>
      <c r="Z479" s="63" t="e">
        <f t="shared" ca="1" si="53"/>
        <v>#N/A</v>
      </c>
      <c r="AA479" s="63" t="e">
        <f t="shared" ca="1" si="54"/>
        <v>#N/A</v>
      </c>
      <c r="AB479" s="3" t="e">
        <f t="shared" ca="1" si="55"/>
        <v>#N/A</v>
      </c>
    </row>
    <row r="480" spans="7:28">
      <c r="G480" t="e">
        <f t="shared" ca="1" si="52"/>
        <v>#N/A</v>
      </c>
      <c r="H480" t="e">
        <f t="shared" ca="1" si="49"/>
        <v>#N/A</v>
      </c>
      <c r="I480" s="2" t="e">
        <f ca="1"/>
        <v>#N/A</v>
      </c>
      <c r="J480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W480" s="2">
        <f t="shared" ca="1" si="50"/>
        <v>0</v>
      </c>
      <c r="X480">
        <f t="shared" ca="1" si="51"/>
        <v>0</v>
      </c>
      <c r="Z480" s="63" t="e">
        <f t="shared" ca="1" si="53"/>
        <v>#N/A</v>
      </c>
      <c r="AA480" s="63" t="e">
        <f t="shared" ca="1" si="54"/>
        <v>#N/A</v>
      </c>
      <c r="AB480" s="3" t="e">
        <f t="shared" ca="1" si="55"/>
        <v>#N/A</v>
      </c>
    </row>
    <row r="481" spans="7:28">
      <c r="G481" t="e">
        <f t="shared" ca="1" si="52"/>
        <v>#N/A</v>
      </c>
      <c r="H481" t="e">
        <f t="shared" ca="1" si="49"/>
        <v>#N/A</v>
      </c>
      <c r="I481" s="2" t="e">
        <f ca="1"/>
        <v>#N/A</v>
      </c>
      <c r="J481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W481" s="2">
        <f t="shared" ca="1" si="50"/>
        <v>0</v>
      </c>
      <c r="X481">
        <f t="shared" ca="1" si="51"/>
        <v>0</v>
      </c>
      <c r="Z481" s="63" t="e">
        <f t="shared" ca="1" si="53"/>
        <v>#N/A</v>
      </c>
      <c r="AA481" s="63" t="e">
        <f t="shared" ca="1" si="54"/>
        <v>#N/A</v>
      </c>
      <c r="AB481" s="3" t="e">
        <f t="shared" ca="1" si="55"/>
        <v>#N/A</v>
      </c>
    </row>
    <row r="482" spans="7:28">
      <c r="G482" t="e">
        <f t="shared" ca="1" si="52"/>
        <v>#N/A</v>
      </c>
      <c r="H482" t="e">
        <f t="shared" ca="1" si="49"/>
        <v>#N/A</v>
      </c>
      <c r="I482" s="2" t="e">
        <f ca="1"/>
        <v>#N/A</v>
      </c>
      <c r="J48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W482" s="2">
        <f t="shared" ca="1" si="50"/>
        <v>0</v>
      </c>
      <c r="X482">
        <f t="shared" ca="1" si="51"/>
        <v>0</v>
      </c>
      <c r="Z482" s="63" t="e">
        <f t="shared" ca="1" si="53"/>
        <v>#N/A</v>
      </c>
      <c r="AA482" s="63" t="e">
        <f t="shared" ca="1" si="54"/>
        <v>#N/A</v>
      </c>
      <c r="AB482" s="3" t="e">
        <f t="shared" ca="1" si="55"/>
        <v>#N/A</v>
      </c>
    </row>
    <row r="483" spans="7:28">
      <c r="G483" t="e">
        <f t="shared" ca="1" si="52"/>
        <v>#N/A</v>
      </c>
      <c r="H483" t="e">
        <f t="shared" ca="1" si="49"/>
        <v>#N/A</v>
      </c>
      <c r="I483" s="2" t="e">
        <f ca="1"/>
        <v>#N/A</v>
      </c>
      <c r="J483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W483" s="2">
        <f t="shared" ca="1" si="50"/>
        <v>0</v>
      </c>
      <c r="X483">
        <f t="shared" ca="1" si="51"/>
        <v>0</v>
      </c>
      <c r="Z483" s="63" t="e">
        <f t="shared" ca="1" si="53"/>
        <v>#N/A</v>
      </c>
      <c r="AA483" s="63" t="e">
        <f t="shared" ca="1" si="54"/>
        <v>#N/A</v>
      </c>
      <c r="AB483" s="3" t="e">
        <f t="shared" ca="1" si="55"/>
        <v>#N/A</v>
      </c>
    </row>
    <row r="484" spans="7:28">
      <c r="G484" t="e">
        <f t="shared" ca="1" si="52"/>
        <v>#N/A</v>
      </c>
      <c r="H484" t="e">
        <f t="shared" ca="1" si="49"/>
        <v>#N/A</v>
      </c>
      <c r="I484" s="2" t="e">
        <f ca="1"/>
        <v>#N/A</v>
      </c>
      <c r="J484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W484" s="2">
        <f t="shared" ca="1" si="50"/>
        <v>0</v>
      </c>
      <c r="X484">
        <f t="shared" ca="1" si="51"/>
        <v>0</v>
      </c>
      <c r="Z484" s="63" t="e">
        <f t="shared" ca="1" si="53"/>
        <v>#N/A</v>
      </c>
      <c r="AA484" s="63" t="e">
        <f t="shared" ca="1" si="54"/>
        <v>#N/A</v>
      </c>
      <c r="AB484" s="3" t="e">
        <f t="shared" ca="1" si="55"/>
        <v>#N/A</v>
      </c>
    </row>
    <row r="485" spans="7:28">
      <c r="G485" t="e">
        <f t="shared" ca="1" si="52"/>
        <v>#N/A</v>
      </c>
      <c r="H485" t="e">
        <f t="shared" ca="1" si="49"/>
        <v>#N/A</v>
      </c>
      <c r="I485" s="2" t="e">
        <f ca="1"/>
        <v>#N/A</v>
      </c>
      <c r="J485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W485" s="2">
        <f t="shared" ca="1" si="50"/>
        <v>0</v>
      </c>
      <c r="X485">
        <f t="shared" ca="1" si="51"/>
        <v>0</v>
      </c>
      <c r="Z485" s="63" t="e">
        <f t="shared" ca="1" si="53"/>
        <v>#N/A</v>
      </c>
      <c r="AA485" s="63" t="e">
        <f t="shared" ca="1" si="54"/>
        <v>#N/A</v>
      </c>
      <c r="AB485" s="3" t="e">
        <f t="shared" ca="1" si="55"/>
        <v>#N/A</v>
      </c>
    </row>
    <row r="486" spans="7:28">
      <c r="G486" t="e">
        <f t="shared" ca="1" si="52"/>
        <v>#N/A</v>
      </c>
      <c r="H486" t="e">
        <f t="shared" ca="1" si="49"/>
        <v>#N/A</v>
      </c>
      <c r="I486" s="2" t="e">
        <f ca="1"/>
        <v>#N/A</v>
      </c>
      <c r="J486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W486" s="2">
        <f t="shared" ca="1" si="50"/>
        <v>0</v>
      </c>
      <c r="X486">
        <f t="shared" ca="1" si="51"/>
        <v>0</v>
      </c>
      <c r="Z486" s="63" t="e">
        <f t="shared" ca="1" si="53"/>
        <v>#N/A</v>
      </c>
      <c r="AA486" s="63" t="e">
        <f t="shared" ca="1" si="54"/>
        <v>#N/A</v>
      </c>
      <c r="AB486" s="3" t="e">
        <f t="shared" ca="1" si="55"/>
        <v>#N/A</v>
      </c>
    </row>
    <row r="487" spans="7:28">
      <c r="G487" t="e">
        <f t="shared" ca="1" si="52"/>
        <v>#N/A</v>
      </c>
      <c r="H487" t="e">
        <f t="shared" ca="1" si="49"/>
        <v>#N/A</v>
      </c>
      <c r="I487" s="2" t="e">
        <f ca="1"/>
        <v>#N/A</v>
      </c>
      <c r="J487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W487" s="2">
        <f t="shared" ca="1" si="50"/>
        <v>0</v>
      </c>
      <c r="X487">
        <f t="shared" ca="1" si="51"/>
        <v>0</v>
      </c>
      <c r="Z487" s="63" t="e">
        <f t="shared" ca="1" si="53"/>
        <v>#N/A</v>
      </c>
      <c r="AA487" s="63" t="e">
        <f t="shared" ca="1" si="54"/>
        <v>#N/A</v>
      </c>
      <c r="AB487" s="3" t="e">
        <f t="shared" ca="1" si="55"/>
        <v>#N/A</v>
      </c>
    </row>
    <row r="488" spans="7:28">
      <c r="G488" t="e">
        <f t="shared" ca="1" si="52"/>
        <v>#N/A</v>
      </c>
      <c r="H488" t="e">
        <f t="shared" ca="1" si="49"/>
        <v>#N/A</v>
      </c>
      <c r="I488" s="2" t="e">
        <f ca="1"/>
        <v>#N/A</v>
      </c>
      <c r="J488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W488" s="2">
        <f t="shared" ca="1" si="50"/>
        <v>0</v>
      </c>
      <c r="X488">
        <f t="shared" ca="1" si="51"/>
        <v>0</v>
      </c>
      <c r="Z488" s="63" t="e">
        <f t="shared" ca="1" si="53"/>
        <v>#N/A</v>
      </c>
      <c r="AA488" s="63" t="e">
        <f t="shared" ca="1" si="54"/>
        <v>#N/A</v>
      </c>
      <c r="AB488" s="3" t="e">
        <f t="shared" ca="1" si="55"/>
        <v>#N/A</v>
      </c>
    </row>
    <row r="489" spans="7:28">
      <c r="G489" t="e">
        <f t="shared" ca="1" si="52"/>
        <v>#N/A</v>
      </c>
      <c r="H489" t="e">
        <f t="shared" ca="1" si="49"/>
        <v>#N/A</v>
      </c>
      <c r="I489" s="2" t="e">
        <f ca="1"/>
        <v>#N/A</v>
      </c>
      <c r="J489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W489" s="2">
        <f t="shared" ca="1" si="50"/>
        <v>0</v>
      </c>
      <c r="X489">
        <f t="shared" ca="1" si="51"/>
        <v>0</v>
      </c>
      <c r="Z489" s="63" t="e">
        <f t="shared" ca="1" si="53"/>
        <v>#N/A</v>
      </c>
      <c r="AA489" s="63" t="e">
        <f t="shared" ca="1" si="54"/>
        <v>#N/A</v>
      </c>
      <c r="AB489" s="3" t="e">
        <f t="shared" ca="1" si="55"/>
        <v>#N/A</v>
      </c>
    </row>
    <row r="490" spans="7:28">
      <c r="G490" t="e">
        <f t="shared" ca="1" si="52"/>
        <v>#N/A</v>
      </c>
      <c r="H490" t="e">
        <f t="shared" ca="1" si="49"/>
        <v>#N/A</v>
      </c>
      <c r="I490" s="2" t="e">
        <f ca="1"/>
        <v>#N/A</v>
      </c>
      <c r="J490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W490" s="2">
        <f t="shared" ca="1" si="50"/>
        <v>0</v>
      </c>
      <c r="X490">
        <f t="shared" ca="1" si="51"/>
        <v>0</v>
      </c>
      <c r="Z490" s="63" t="e">
        <f t="shared" ca="1" si="53"/>
        <v>#N/A</v>
      </c>
      <c r="AA490" s="63" t="e">
        <f t="shared" ca="1" si="54"/>
        <v>#N/A</v>
      </c>
      <c r="AB490" s="3" t="e">
        <f t="shared" ca="1" si="55"/>
        <v>#N/A</v>
      </c>
    </row>
    <row r="491" spans="7:28">
      <c r="G491" t="e">
        <f t="shared" ca="1" si="52"/>
        <v>#N/A</v>
      </c>
      <c r="H491" t="e">
        <f t="shared" ca="1" si="49"/>
        <v>#N/A</v>
      </c>
      <c r="I491" s="2" t="e">
        <f ca="1"/>
        <v>#N/A</v>
      </c>
      <c r="J491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W491" s="2">
        <f t="shared" ca="1" si="50"/>
        <v>0</v>
      </c>
      <c r="X491">
        <f t="shared" ca="1" si="51"/>
        <v>0</v>
      </c>
      <c r="Z491" s="63" t="e">
        <f t="shared" ca="1" si="53"/>
        <v>#N/A</v>
      </c>
      <c r="AA491" s="63" t="e">
        <f t="shared" ca="1" si="54"/>
        <v>#N/A</v>
      </c>
      <c r="AB491" s="3" t="e">
        <f t="shared" ca="1" si="55"/>
        <v>#N/A</v>
      </c>
    </row>
    <row r="492" spans="7:28">
      <c r="G492" t="e">
        <f t="shared" ca="1" si="52"/>
        <v>#N/A</v>
      </c>
      <c r="H492" t="e">
        <f t="shared" ca="1" si="49"/>
        <v>#N/A</v>
      </c>
      <c r="I492" s="2" t="e">
        <f ca="1"/>
        <v>#N/A</v>
      </c>
      <c r="J49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W492" s="2">
        <f t="shared" ca="1" si="50"/>
        <v>0</v>
      </c>
      <c r="X492">
        <f t="shared" ca="1" si="51"/>
        <v>0</v>
      </c>
      <c r="Z492" s="63" t="e">
        <f t="shared" ca="1" si="53"/>
        <v>#N/A</v>
      </c>
      <c r="AA492" s="63" t="e">
        <f t="shared" ca="1" si="54"/>
        <v>#N/A</v>
      </c>
      <c r="AB492" s="3" t="e">
        <f t="shared" ca="1" si="55"/>
        <v>#N/A</v>
      </c>
    </row>
    <row r="493" spans="7:28">
      <c r="G493" t="e">
        <f t="shared" ca="1" si="52"/>
        <v>#N/A</v>
      </c>
      <c r="H493" t="e">
        <f t="shared" ca="1" si="49"/>
        <v>#N/A</v>
      </c>
      <c r="I493" s="2" t="e">
        <f ca="1"/>
        <v>#N/A</v>
      </c>
      <c r="J493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W493" s="2">
        <f t="shared" ca="1" si="50"/>
        <v>0</v>
      </c>
      <c r="X493">
        <f t="shared" ca="1" si="51"/>
        <v>0</v>
      </c>
      <c r="Z493" s="63" t="e">
        <f t="shared" ca="1" si="53"/>
        <v>#N/A</v>
      </c>
      <c r="AA493" s="63" t="e">
        <f t="shared" ca="1" si="54"/>
        <v>#N/A</v>
      </c>
      <c r="AB493" s="3" t="e">
        <f t="shared" ca="1" si="55"/>
        <v>#N/A</v>
      </c>
    </row>
    <row r="494" spans="7:28">
      <c r="G494" t="e">
        <f t="shared" ca="1" si="52"/>
        <v>#N/A</v>
      </c>
      <c r="H494" t="e">
        <f t="shared" ca="1" si="49"/>
        <v>#N/A</v>
      </c>
      <c r="I494" s="2" t="e">
        <f ca="1"/>
        <v>#N/A</v>
      </c>
      <c r="J494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W494" s="2">
        <f t="shared" ca="1" si="50"/>
        <v>0</v>
      </c>
      <c r="X494">
        <f t="shared" ca="1" si="51"/>
        <v>0</v>
      </c>
      <c r="Z494" s="63" t="e">
        <f t="shared" ca="1" si="53"/>
        <v>#N/A</v>
      </c>
      <c r="AA494" s="63" t="e">
        <f t="shared" ca="1" si="54"/>
        <v>#N/A</v>
      </c>
      <c r="AB494" s="3" t="e">
        <f t="shared" ca="1" si="55"/>
        <v>#N/A</v>
      </c>
    </row>
    <row r="495" spans="7:28">
      <c r="G495" t="e">
        <f t="shared" ca="1" si="52"/>
        <v>#N/A</v>
      </c>
      <c r="H495" t="e">
        <f t="shared" ca="1" si="49"/>
        <v>#N/A</v>
      </c>
      <c r="I495" s="2" t="e">
        <f ca="1"/>
        <v>#N/A</v>
      </c>
      <c r="J495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W495" s="2">
        <f t="shared" ca="1" si="50"/>
        <v>0</v>
      </c>
      <c r="X495">
        <f t="shared" ca="1" si="51"/>
        <v>0</v>
      </c>
      <c r="Z495" s="63" t="e">
        <f t="shared" ca="1" si="53"/>
        <v>#N/A</v>
      </c>
      <c r="AA495" s="63" t="e">
        <f t="shared" ca="1" si="54"/>
        <v>#N/A</v>
      </c>
      <c r="AB495" s="3" t="e">
        <f t="shared" ca="1" si="55"/>
        <v>#N/A</v>
      </c>
    </row>
    <row r="496" spans="7:28">
      <c r="G496" t="e">
        <f t="shared" ca="1" si="52"/>
        <v>#N/A</v>
      </c>
      <c r="H496" t="e">
        <f t="shared" ca="1" si="49"/>
        <v>#N/A</v>
      </c>
      <c r="I496" s="2" t="e">
        <f ca="1"/>
        <v>#N/A</v>
      </c>
      <c r="J496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W496" s="2">
        <f t="shared" ca="1" si="50"/>
        <v>0</v>
      </c>
      <c r="X496">
        <f t="shared" ca="1" si="51"/>
        <v>0</v>
      </c>
      <c r="Z496" s="63" t="e">
        <f t="shared" ca="1" si="53"/>
        <v>#N/A</v>
      </c>
      <c r="AA496" s="63" t="e">
        <f t="shared" ca="1" si="54"/>
        <v>#N/A</v>
      </c>
      <c r="AB496" s="3" t="e">
        <f t="shared" ca="1" si="55"/>
        <v>#N/A</v>
      </c>
    </row>
    <row r="497" spans="7:28">
      <c r="G497" t="e">
        <f t="shared" ref="G497:G560" ca="1" si="56">IF(I497&lt;$I$4,TRUE,FALSE)</f>
        <v>#N/A</v>
      </c>
      <c r="H497" t="e">
        <f t="shared" ref="H497:H560" ca="1" si="57">AND(IF(I497&gt;($I$3-1),TRUE,FALSE),IF(I497&lt;($I$4+1),TRUE,FALSE))</f>
        <v>#N/A</v>
      </c>
      <c r="I497" t="e">
        <f ca="1"/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W497" s="2">
        <f t="shared" ref="W497:W560" ca="1" si="58">IFERROR(I497,$W$5)</f>
        <v>0</v>
      </c>
      <c r="X497">
        <f t="shared" ref="X497:X560" ca="1" si="59">IFERROR(N497,0)</f>
        <v>0</v>
      </c>
      <c r="Z497" s="63" t="e">
        <f t="shared" ref="Z497:Z560" ca="1" si="60">J496+L497+M497+N497</f>
        <v>#N/A</v>
      </c>
      <c r="AA497" s="63" t="e">
        <f t="shared" ref="AA497:AA560" ca="1" si="61">J497+K497+Q497</f>
        <v>#N/A</v>
      </c>
      <c r="AB497" s="3" t="e">
        <f t="shared" ref="AB497:AB560" ca="1" si="62">AA497-Z497</f>
        <v>#N/A</v>
      </c>
    </row>
    <row r="498" spans="7:28">
      <c r="G498" t="e">
        <f t="shared" ca="1" si="56"/>
        <v>#N/A</v>
      </c>
      <c r="H498" t="e">
        <f t="shared" ca="1" si="57"/>
        <v>#N/A</v>
      </c>
      <c r="I498" t="e">
        <f ca="1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W498" s="2">
        <f t="shared" ca="1" si="58"/>
        <v>0</v>
      </c>
      <c r="X498">
        <f t="shared" ca="1" si="59"/>
        <v>0</v>
      </c>
      <c r="Z498" s="63" t="e">
        <f t="shared" ca="1" si="60"/>
        <v>#N/A</v>
      </c>
      <c r="AA498" s="63" t="e">
        <f t="shared" ca="1" si="61"/>
        <v>#N/A</v>
      </c>
      <c r="AB498" s="3" t="e">
        <f t="shared" ca="1" si="62"/>
        <v>#N/A</v>
      </c>
    </row>
    <row r="499" spans="7:28">
      <c r="G499" t="e">
        <f t="shared" ca="1" si="56"/>
        <v>#N/A</v>
      </c>
      <c r="H499" t="e">
        <f t="shared" ca="1" si="57"/>
        <v>#N/A</v>
      </c>
      <c r="I499" t="e">
        <f ca="1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W499" s="2">
        <f t="shared" ca="1" si="58"/>
        <v>0</v>
      </c>
      <c r="X499">
        <f t="shared" ca="1" si="59"/>
        <v>0</v>
      </c>
      <c r="Z499" s="63" t="e">
        <f t="shared" ca="1" si="60"/>
        <v>#N/A</v>
      </c>
      <c r="AA499" s="63" t="e">
        <f t="shared" ca="1" si="61"/>
        <v>#N/A</v>
      </c>
      <c r="AB499" s="3" t="e">
        <f t="shared" ca="1" si="62"/>
        <v>#N/A</v>
      </c>
    </row>
    <row r="500" spans="7:28">
      <c r="G500" t="e">
        <f t="shared" ca="1" si="56"/>
        <v>#N/A</v>
      </c>
      <c r="H500" t="e">
        <f t="shared" ca="1" si="57"/>
        <v>#N/A</v>
      </c>
      <c r="I500" t="e">
        <f ca="1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W500" s="2">
        <f t="shared" ca="1" si="58"/>
        <v>0</v>
      </c>
      <c r="X500">
        <f t="shared" ca="1" si="59"/>
        <v>0</v>
      </c>
      <c r="Z500" s="63" t="e">
        <f t="shared" ca="1" si="60"/>
        <v>#N/A</v>
      </c>
      <c r="AA500" s="63" t="e">
        <f t="shared" ca="1" si="61"/>
        <v>#N/A</v>
      </c>
      <c r="AB500" s="3" t="e">
        <f t="shared" ca="1" si="62"/>
        <v>#N/A</v>
      </c>
    </row>
    <row r="501" spans="7:28">
      <c r="G501" t="e">
        <f t="shared" ca="1" si="56"/>
        <v>#N/A</v>
      </c>
      <c r="H501" t="e">
        <f t="shared" ca="1" si="57"/>
        <v>#N/A</v>
      </c>
      <c r="I501" t="e">
        <f ca="1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W501" s="2">
        <f t="shared" ca="1" si="58"/>
        <v>0</v>
      </c>
      <c r="X501">
        <f t="shared" ca="1" si="59"/>
        <v>0</v>
      </c>
      <c r="Z501" s="63" t="e">
        <f t="shared" ca="1" si="60"/>
        <v>#N/A</v>
      </c>
      <c r="AA501" s="63" t="e">
        <f t="shared" ca="1" si="61"/>
        <v>#N/A</v>
      </c>
      <c r="AB501" s="3" t="e">
        <f t="shared" ca="1" si="62"/>
        <v>#N/A</v>
      </c>
    </row>
    <row r="502" spans="7:28">
      <c r="G502" t="e">
        <f t="shared" ca="1" si="56"/>
        <v>#N/A</v>
      </c>
      <c r="H502" t="e">
        <f t="shared" ca="1" si="57"/>
        <v>#N/A</v>
      </c>
      <c r="I502" t="e">
        <f ca="1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W502" s="2">
        <f t="shared" ca="1" si="58"/>
        <v>0</v>
      </c>
      <c r="X502">
        <f t="shared" ca="1" si="59"/>
        <v>0</v>
      </c>
      <c r="Z502" s="63" t="e">
        <f t="shared" ca="1" si="60"/>
        <v>#N/A</v>
      </c>
      <c r="AA502" s="63" t="e">
        <f t="shared" ca="1" si="61"/>
        <v>#N/A</v>
      </c>
      <c r="AB502" s="3" t="e">
        <f t="shared" ca="1" si="62"/>
        <v>#N/A</v>
      </c>
    </row>
    <row r="503" spans="7:28">
      <c r="G503" t="e">
        <f t="shared" ca="1" si="56"/>
        <v>#N/A</v>
      </c>
      <c r="H503" t="e">
        <f t="shared" ca="1" si="57"/>
        <v>#N/A</v>
      </c>
      <c r="I503" t="e">
        <f ca="1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W503" s="2">
        <f t="shared" ca="1" si="58"/>
        <v>0</v>
      </c>
      <c r="X503">
        <f t="shared" ca="1" si="59"/>
        <v>0</v>
      </c>
      <c r="Z503" s="63" t="e">
        <f t="shared" ca="1" si="60"/>
        <v>#N/A</v>
      </c>
      <c r="AA503" s="63" t="e">
        <f t="shared" ca="1" si="61"/>
        <v>#N/A</v>
      </c>
      <c r="AB503" s="3" t="e">
        <f t="shared" ca="1" si="62"/>
        <v>#N/A</v>
      </c>
    </row>
    <row r="504" spans="7:28">
      <c r="G504" t="e">
        <f t="shared" ca="1" si="56"/>
        <v>#N/A</v>
      </c>
      <c r="H504" t="e">
        <f t="shared" ca="1" si="57"/>
        <v>#N/A</v>
      </c>
      <c r="I504" t="e">
        <f ca="1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W504" s="2">
        <f t="shared" ca="1" si="58"/>
        <v>0</v>
      </c>
      <c r="X504">
        <f t="shared" ca="1" si="59"/>
        <v>0</v>
      </c>
      <c r="Z504" s="63" t="e">
        <f t="shared" ca="1" si="60"/>
        <v>#N/A</v>
      </c>
      <c r="AA504" s="63" t="e">
        <f t="shared" ca="1" si="61"/>
        <v>#N/A</v>
      </c>
      <c r="AB504" s="3" t="e">
        <f t="shared" ca="1" si="62"/>
        <v>#N/A</v>
      </c>
    </row>
    <row r="505" spans="7:28">
      <c r="G505" t="e">
        <f t="shared" ca="1" si="56"/>
        <v>#N/A</v>
      </c>
      <c r="H505" t="e">
        <f t="shared" ca="1" si="57"/>
        <v>#N/A</v>
      </c>
      <c r="I505" t="e">
        <f ca="1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W505" s="2">
        <f t="shared" ca="1" si="58"/>
        <v>0</v>
      </c>
      <c r="X505">
        <f t="shared" ca="1" si="59"/>
        <v>0</v>
      </c>
      <c r="Z505" s="63" t="e">
        <f t="shared" ca="1" si="60"/>
        <v>#N/A</v>
      </c>
      <c r="AA505" s="63" t="e">
        <f t="shared" ca="1" si="61"/>
        <v>#N/A</v>
      </c>
      <c r="AB505" s="3" t="e">
        <f t="shared" ca="1" si="62"/>
        <v>#N/A</v>
      </c>
    </row>
    <row r="506" spans="7:28">
      <c r="G506" t="e">
        <f t="shared" ca="1" si="56"/>
        <v>#N/A</v>
      </c>
      <c r="H506" t="e">
        <f t="shared" ca="1" si="57"/>
        <v>#N/A</v>
      </c>
      <c r="I506" t="e">
        <f ca="1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W506" s="2">
        <f t="shared" ca="1" si="58"/>
        <v>0</v>
      </c>
      <c r="X506">
        <f t="shared" ca="1" si="59"/>
        <v>0</v>
      </c>
      <c r="Z506" s="63" t="e">
        <f t="shared" ca="1" si="60"/>
        <v>#N/A</v>
      </c>
      <c r="AA506" s="63" t="e">
        <f t="shared" ca="1" si="61"/>
        <v>#N/A</v>
      </c>
      <c r="AB506" s="3" t="e">
        <f t="shared" ca="1" si="62"/>
        <v>#N/A</v>
      </c>
    </row>
    <row r="507" spans="7:28">
      <c r="G507" t="e">
        <f t="shared" ca="1" si="56"/>
        <v>#N/A</v>
      </c>
      <c r="H507" t="e">
        <f t="shared" ca="1" si="57"/>
        <v>#N/A</v>
      </c>
      <c r="I507" t="e">
        <f ca="1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W507" s="2">
        <f t="shared" ca="1" si="58"/>
        <v>0</v>
      </c>
      <c r="X507">
        <f t="shared" ca="1" si="59"/>
        <v>0</v>
      </c>
      <c r="Z507" s="63" t="e">
        <f t="shared" ca="1" si="60"/>
        <v>#N/A</v>
      </c>
      <c r="AA507" s="63" t="e">
        <f t="shared" ca="1" si="61"/>
        <v>#N/A</v>
      </c>
      <c r="AB507" s="3" t="e">
        <f t="shared" ca="1" si="62"/>
        <v>#N/A</v>
      </c>
    </row>
    <row r="508" spans="7:28">
      <c r="G508" t="e">
        <f t="shared" ca="1" si="56"/>
        <v>#N/A</v>
      </c>
      <c r="H508" t="e">
        <f t="shared" ca="1" si="57"/>
        <v>#N/A</v>
      </c>
      <c r="I508" t="e">
        <f ca="1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W508" s="2">
        <f t="shared" ca="1" si="58"/>
        <v>0</v>
      </c>
      <c r="X508">
        <f t="shared" ca="1" si="59"/>
        <v>0</v>
      </c>
      <c r="Z508" s="63" t="e">
        <f t="shared" ca="1" si="60"/>
        <v>#N/A</v>
      </c>
      <c r="AA508" s="63" t="e">
        <f t="shared" ca="1" si="61"/>
        <v>#N/A</v>
      </c>
      <c r="AB508" s="3" t="e">
        <f t="shared" ca="1" si="62"/>
        <v>#N/A</v>
      </c>
    </row>
    <row r="509" spans="7:28">
      <c r="G509" t="e">
        <f t="shared" ca="1" si="56"/>
        <v>#N/A</v>
      </c>
      <c r="H509" t="e">
        <f t="shared" ca="1" si="57"/>
        <v>#N/A</v>
      </c>
      <c r="I509" t="e">
        <f ca="1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W509" s="2">
        <f t="shared" ca="1" si="58"/>
        <v>0</v>
      </c>
      <c r="X509">
        <f t="shared" ca="1" si="59"/>
        <v>0</v>
      </c>
      <c r="Z509" s="63" t="e">
        <f t="shared" ca="1" si="60"/>
        <v>#N/A</v>
      </c>
      <c r="AA509" s="63" t="e">
        <f t="shared" ca="1" si="61"/>
        <v>#N/A</v>
      </c>
      <c r="AB509" s="3" t="e">
        <f t="shared" ca="1" si="62"/>
        <v>#N/A</v>
      </c>
    </row>
    <row r="510" spans="7:28">
      <c r="G510" t="e">
        <f t="shared" ca="1" si="56"/>
        <v>#N/A</v>
      </c>
      <c r="H510" t="e">
        <f t="shared" ca="1" si="57"/>
        <v>#N/A</v>
      </c>
      <c r="I510" t="e">
        <f ca="1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W510" s="2">
        <f t="shared" ca="1" si="58"/>
        <v>0</v>
      </c>
      <c r="X510">
        <f t="shared" ca="1" si="59"/>
        <v>0</v>
      </c>
      <c r="Z510" s="63" t="e">
        <f t="shared" ca="1" si="60"/>
        <v>#N/A</v>
      </c>
      <c r="AA510" s="63" t="e">
        <f t="shared" ca="1" si="61"/>
        <v>#N/A</v>
      </c>
      <c r="AB510" s="3" t="e">
        <f t="shared" ca="1" si="62"/>
        <v>#N/A</v>
      </c>
    </row>
    <row r="511" spans="7:28">
      <c r="G511" t="e">
        <f t="shared" ca="1" si="56"/>
        <v>#N/A</v>
      </c>
      <c r="H511" t="e">
        <f t="shared" ca="1" si="57"/>
        <v>#N/A</v>
      </c>
      <c r="I511" t="e">
        <f ca="1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W511" s="2">
        <f t="shared" ca="1" si="58"/>
        <v>0</v>
      </c>
      <c r="X511">
        <f t="shared" ca="1" si="59"/>
        <v>0</v>
      </c>
      <c r="Z511" s="63" t="e">
        <f t="shared" ca="1" si="60"/>
        <v>#N/A</v>
      </c>
      <c r="AA511" s="63" t="e">
        <f t="shared" ca="1" si="61"/>
        <v>#N/A</v>
      </c>
      <c r="AB511" s="3" t="e">
        <f t="shared" ca="1" si="62"/>
        <v>#N/A</v>
      </c>
    </row>
    <row r="512" spans="7:28">
      <c r="G512" t="e">
        <f t="shared" ca="1" si="56"/>
        <v>#N/A</v>
      </c>
      <c r="H512" t="e">
        <f t="shared" ca="1" si="57"/>
        <v>#N/A</v>
      </c>
      <c r="I512" t="e">
        <f ca="1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W512" s="2">
        <f t="shared" ca="1" si="58"/>
        <v>0</v>
      </c>
      <c r="X512">
        <f t="shared" ca="1" si="59"/>
        <v>0</v>
      </c>
      <c r="Z512" s="63" t="e">
        <f t="shared" ca="1" si="60"/>
        <v>#N/A</v>
      </c>
      <c r="AA512" s="63" t="e">
        <f t="shared" ca="1" si="61"/>
        <v>#N/A</v>
      </c>
      <c r="AB512" s="3" t="e">
        <f t="shared" ca="1" si="62"/>
        <v>#N/A</v>
      </c>
    </row>
    <row r="513" spans="7:28">
      <c r="G513" t="e">
        <f t="shared" ca="1" si="56"/>
        <v>#N/A</v>
      </c>
      <c r="H513" t="e">
        <f t="shared" ca="1" si="57"/>
        <v>#N/A</v>
      </c>
      <c r="I513" t="e">
        <f ca="1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W513" s="2">
        <f t="shared" ca="1" si="58"/>
        <v>0</v>
      </c>
      <c r="X513">
        <f t="shared" ca="1" si="59"/>
        <v>0</v>
      </c>
      <c r="Z513" s="63" t="e">
        <f t="shared" ca="1" si="60"/>
        <v>#N/A</v>
      </c>
      <c r="AA513" s="63" t="e">
        <f t="shared" ca="1" si="61"/>
        <v>#N/A</v>
      </c>
      <c r="AB513" s="3" t="e">
        <f t="shared" ca="1" si="62"/>
        <v>#N/A</v>
      </c>
    </row>
    <row r="514" spans="7:28">
      <c r="G514" t="e">
        <f t="shared" ca="1" si="56"/>
        <v>#N/A</v>
      </c>
      <c r="H514" t="e">
        <f t="shared" ca="1" si="57"/>
        <v>#N/A</v>
      </c>
      <c r="I514" t="e">
        <f ca="1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W514" s="2">
        <f t="shared" ca="1" si="58"/>
        <v>0</v>
      </c>
      <c r="X514">
        <f t="shared" ca="1" si="59"/>
        <v>0</v>
      </c>
      <c r="Z514" s="63" t="e">
        <f t="shared" ca="1" si="60"/>
        <v>#N/A</v>
      </c>
      <c r="AA514" s="63" t="e">
        <f t="shared" ca="1" si="61"/>
        <v>#N/A</v>
      </c>
      <c r="AB514" s="3" t="e">
        <f t="shared" ca="1" si="62"/>
        <v>#N/A</v>
      </c>
    </row>
    <row r="515" spans="7:28">
      <c r="G515" t="e">
        <f t="shared" ca="1" si="56"/>
        <v>#N/A</v>
      </c>
      <c r="H515" t="e">
        <f t="shared" ca="1" si="57"/>
        <v>#N/A</v>
      </c>
      <c r="I515" t="e">
        <f ca="1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W515" s="2">
        <f t="shared" ca="1" si="58"/>
        <v>0</v>
      </c>
      <c r="X515">
        <f t="shared" ca="1" si="59"/>
        <v>0</v>
      </c>
      <c r="Z515" s="63" t="e">
        <f t="shared" ca="1" si="60"/>
        <v>#N/A</v>
      </c>
      <c r="AA515" s="63" t="e">
        <f t="shared" ca="1" si="61"/>
        <v>#N/A</v>
      </c>
      <c r="AB515" s="3" t="e">
        <f t="shared" ca="1" si="62"/>
        <v>#N/A</v>
      </c>
    </row>
    <row r="516" spans="7:28">
      <c r="G516" t="e">
        <f t="shared" ca="1" si="56"/>
        <v>#N/A</v>
      </c>
      <c r="H516" t="e">
        <f t="shared" ca="1" si="57"/>
        <v>#N/A</v>
      </c>
      <c r="I516" t="e">
        <f ca="1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W516" s="2">
        <f t="shared" ca="1" si="58"/>
        <v>0</v>
      </c>
      <c r="X516">
        <f t="shared" ca="1" si="59"/>
        <v>0</v>
      </c>
      <c r="Z516" s="63" t="e">
        <f t="shared" ca="1" si="60"/>
        <v>#N/A</v>
      </c>
      <c r="AA516" s="63" t="e">
        <f t="shared" ca="1" si="61"/>
        <v>#N/A</v>
      </c>
      <c r="AB516" s="3" t="e">
        <f t="shared" ca="1" si="62"/>
        <v>#N/A</v>
      </c>
    </row>
    <row r="517" spans="7:28">
      <c r="G517" t="e">
        <f t="shared" ca="1" si="56"/>
        <v>#N/A</v>
      </c>
      <c r="H517" t="e">
        <f t="shared" ca="1" si="57"/>
        <v>#N/A</v>
      </c>
      <c r="I517" t="e">
        <f ca="1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W517" s="2">
        <f t="shared" ca="1" si="58"/>
        <v>0</v>
      </c>
      <c r="X517">
        <f t="shared" ca="1" si="59"/>
        <v>0</v>
      </c>
      <c r="Z517" s="63" t="e">
        <f t="shared" ca="1" si="60"/>
        <v>#N/A</v>
      </c>
      <c r="AA517" s="63" t="e">
        <f t="shared" ca="1" si="61"/>
        <v>#N/A</v>
      </c>
      <c r="AB517" s="3" t="e">
        <f t="shared" ca="1" si="62"/>
        <v>#N/A</v>
      </c>
    </row>
    <row r="518" spans="7:28">
      <c r="G518" t="e">
        <f t="shared" ca="1" si="56"/>
        <v>#N/A</v>
      </c>
      <c r="H518" t="e">
        <f t="shared" ca="1" si="57"/>
        <v>#N/A</v>
      </c>
      <c r="I518" t="e">
        <f ca="1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W518" s="2">
        <f t="shared" ca="1" si="58"/>
        <v>0</v>
      </c>
      <c r="X518">
        <f t="shared" ca="1" si="59"/>
        <v>0</v>
      </c>
      <c r="Z518" s="63" t="e">
        <f t="shared" ca="1" si="60"/>
        <v>#N/A</v>
      </c>
      <c r="AA518" s="63" t="e">
        <f t="shared" ca="1" si="61"/>
        <v>#N/A</v>
      </c>
      <c r="AB518" s="3" t="e">
        <f t="shared" ca="1" si="62"/>
        <v>#N/A</v>
      </c>
    </row>
    <row r="519" spans="7:28">
      <c r="G519" t="e">
        <f t="shared" ca="1" si="56"/>
        <v>#N/A</v>
      </c>
      <c r="H519" t="e">
        <f t="shared" ca="1" si="57"/>
        <v>#N/A</v>
      </c>
      <c r="I519" t="e">
        <f ca="1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W519" s="2">
        <f t="shared" ca="1" si="58"/>
        <v>0</v>
      </c>
      <c r="X519">
        <f t="shared" ca="1" si="59"/>
        <v>0</v>
      </c>
      <c r="Z519" s="63" t="e">
        <f t="shared" ca="1" si="60"/>
        <v>#N/A</v>
      </c>
      <c r="AA519" s="63" t="e">
        <f t="shared" ca="1" si="61"/>
        <v>#N/A</v>
      </c>
      <c r="AB519" s="3" t="e">
        <f t="shared" ca="1" si="62"/>
        <v>#N/A</v>
      </c>
    </row>
    <row r="520" spans="7:28">
      <c r="G520" t="e">
        <f t="shared" ca="1" si="56"/>
        <v>#N/A</v>
      </c>
      <c r="H520" t="e">
        <f t="shared" ca="1" si="57"/>
        <v>#N/A</v>
      </c>
      <c r="I520" t="e">
        <f ca="1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W520" s="2">
        <f t="shared" ca="1" si="58"/>
        <v>0</v>
      </c>
      <c r="X520">
        <f t="shared" ca="1" si="59"/>
        <v>0</v>
      </c>
      <c r="Z520" s="63" t="e">
        <f t="shared" ca="1" si="60"/>
        <v>#N/A</v>
      </c>
      <c r="AA520" s="63" t="e">
        <f t="shared" ca="1" si="61"/>
        <v>#N/A</v>
      </c>
      <c r="AB520" s="3" t="e">
        <f t="shared" ca="1" si="62"/>
        <v>#N/A</v>
      </c>
    </row>
    <row r="521" spans="7:28">
      <c r="G521" t="e">
        <f t="shared" ca="1" si="56"/>
        <v>#N/A</v>
      </c>
      <c r="H521" t="e">
        <f t="shared" ca="1" si="57"/>
        <v>#N/A</v>
      </c>
      <c r="I521" t="e">
        <f ca="1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W521" s="2">
        <f t="shared" ca="1" si="58"/>
        <v>0</v>
      </c>
      <c r="X521">
        <f t="shared" ca="1" si="59"/>
        <v>0</v>
      </c>
      <c r="Z521" s="63" t="e">
        <f t="shared" ca="1" si="60"/>
        <v>#N/A</v>
      </c>
      <c r="AA521" s="63" t="e">
        <f t="shared" ca="1" si="61"/>
        <v>#N/A</v>
      </c>
      <c r="AB521" s="3" t="e">
        <f t="shared" ca="1" si="62"/>
        <v>#N/A</v>
      </c>
    </row>
    <row r="522" spans="7:28">
      <c r="G522" t="e">
        <f t="shared" ca="1" si="56"/>
        <v>#N/A</v>
      </c>
      <c r="H522" t="e">
        <f t="shared" ca="1" si="57"/>
        <v>#N/A</v>
      </c>
      <c r="I522" t="e">
        <f ca="1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W522" s="2">
        <f t="shared" ca="1" si="58"/>
        <v>0</v>
      </c>
      <c r="X522">
        <f t="shared" ca="1" si="59"/>
        <v>0</v>
      </c>
      <c r="Z522" s="63" t="e">
        <f t="shared" ca="1" si="60"/>
        <v>#N/A</v>
      </c>
      <c r="AA522" s="63" t="e">
        <f t="shared" ca="1" si="61"/>
        <v>#N/A</v>
      </c>
      <c r="AB522" s="3" t="e">
        <f t="shared" ca="1" si="62"/>
        <v>#N/A</v>
      </c>
    </row>
    <row r="523" spans="7:28">
      <c r="G523" t="e">
        <f t="shared" ca="1" si="56"/>
        <v>#N/A</v>
      </c>
      <c r="H523" t="e">
        <f t="shared" ca="1" si="57"/>
        <v>#N/A</v>
      </c>
      <c r="I523" t="e">
        <f ca="1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W523" s="2">
        <f t="shared" ca="1" si="58"/>
        <v>0</v>
      </c>
      <c r="X523">
        <f t="shared" ca="1" si="59"/>
        <v>0</v>
      </c>
      <c r="Z523" s="63" t="e">
        <f t="shared" ca="1" si="60"/>
        <v>#N/A</v>
      </c>
      <c r="AA523" s="63" t="e">
        <f t="shared" ca="1" si="61"/>
        <v>#N/A</v>
      </c>
      <c r="AB523" s="3" t="e">
        <f t="shared" ca="1" si="62"/>
        <v>#N/A</v>
      </c>
    </row>
    <row r="524" spans="7:28">
      <c r="G524" t="e">
        <f t="shared" ca="1" si="56"/>
        <v>#N/A</v>
      </c>
      <c r="H524" t="e">
        <f t="shared" ca="1" si="57"/>
        <v>#N/A</v>
      </c>
      <c r="I524" t="e">
        <f ca="1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W524" s="2">
        <f t="shared" ca="1" si="58"/>
        <v>0</v>
      </c>
      <c r="X524">
        <f t="shared" ca="1" si="59"/>
        <v>0</v>
      </c>
      <c r="Z524" s="63" t="e">
        <f t="shared" ca="1" si="60"/>
        <v>#N/A</v>
      </c>
      <c r="AA524" s="63" t="e">
        <f t="shared" ca="1" si="61"/>
        <v>#N/A</v>
      </c>
      <c r="AB524" s="3" t="e">
        <f t="shared" ca="1" si="62"/>
        <v>#N/A</v>
      </c>
    </row>
    <row r="525" spans="7:28">
      <c r="G525" t="e">
        <f t="shared" ca="1" si="56"/>
        <v>#N/A</v>
      </c>
      <c r="H525" t="e">
        <f t="shared" ca="1" si="57"/>
        <v>#N/A</v>
      </c>
      <c r="I525" t="e">
        <f ca="1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W525" s="2">
        <f t="shared" ca="1" si="58"/>
        <v>0</v>
      </c>
      <c r="X525">
        <f t="shared" ca="1" si="59"/>
        <v>0</v>
      </c>
      <c r="Z525" s="63" t="e">
        <f t="shared" ca="1" si="60"/>
        <v>#N/A</v>
      </c>
      <c r="AA525" s="63" t="e">
        <f t="shared" ca="1" si="61"/>
        <v>#N/A</v>
      </c>
      <c r="AB525" s="3" t="e">
        <f t="shared" ca="1" si="62"/>
        <v>#N/A</v>
      </c>
    </row>
    <row r="526" spans="7:28">
      <c r="G526" t="e">
        <f t="shared" ca="1" si="56"/>
        <v>#N/A</v>
      </c>
      <c r="H526" t="e">
        <f t="shared" ca="1" si="57"/>
        <v>#N/A</v>
      </c>
      <c r="I526" t="e">
        <f ca="1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W526" s="2">
        <f t="shared" ca="1" si="58"/>
        <v>0</v>
      </c>
      <c r="X526">
        <f t="shared" ca="1" si="59"/>
        <v>0</v>
      </c>
      <c r="Z526" s="63" t="e">
        <f t="shared" ca="1" si="60"/>
        <v>#N/A</v>
      </c>
      <c r="AA526" s="63" t="e">
        <f t="shared" ca="1" si="61"/>
        <v>#N/A</v>
      </c>
      <c r="AB526" s="3" t="e">
        <f t="shared" ca="1" si="62"/>
        <v>#N/A</v>
      </c>
    </row>
    <row r="527" spans="7:28">
      <c r="G527" t="e">
        <f t="shared" ca="1" si="56"/>
        <v>#N/A</v>
      </c>
      <c r="H527" t="e">
        <f t="shared" ca="1" si="57"/>
        <v>#N/A</v>
      </c>
      <c r="I527" t="e">
        <f ca="1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W527" s="2">
        <f t="shared" ca="1" si="58"/>
        <v>0</v>
      </c>
      <c r="X527">
        <f t="shared" ca="1" si="59"/>
        <v>0</v>
      </c>
      <c r="Z527" s="63" t="e">
        <f t="shared" ca="1" si="60"/>
        <v>#N/A</v>
      </c>
      <c r="AA527" s="63" t="e">
        <f t="shared" ca="1" si="61"/>
        <v>#N/A</v>
      </c>
      <c r="AB527" s="3" t="e">
        <f t="shared" ca="1" si="62"/>
        <v>#N/A</v>
      </c>
    </row>
    <row r="528" spans="7:28">
      <c r="G528" t="e">
        <f t="shared" ca="1" si="56"/>
        <v>#N/A</v>
      </c>
      <c r="H528" t="e">
        <f t="shared" ca="1" si="57"/>
        <v>#N/A</v>
      </c>
      <c r="I528" t="e">
        <f ca="1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W528" s="2">
        <f t="shared" ca="1" si="58"/>
        <v>0</v>
      </c>
      <c r="X528">
        <f t="shared" ca="1" si="59"/>
        <v>0</v>
      </c>
      <c r="Z528" s="63" t="e">
        <f t="shared" ca="1" si="60"/>
        <v>#N/A</v>
      </c>
      <c r="AA528" s="63" t="e">
        <f t="shared" ca="1" si="61"/>
        <v>#N/A</v>
      </c>
      <c r="AB528" s="3" t="e">
        <f t="shared" ca="1" si="62"/>
        <v>#N/A</v>
      </c>
    </row>
    <row r="529" spans="7:28">
      <c r="G529" t="e">
        <f t="shared" ca="1" si="56"/>
        <v>#N/A</v>
      </c>
      <c r="H529" t="e">
        <f t="shared" ca="1" si="57"/>
        <v>#N/A</v>
      </c>
      <c r="I529" t="e">
        <f ca="1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W529" s="2">
        <f t="shared" ca="1" si="58"/>
        <v>0</v>
      </c>
      <c r="X529">
        <f t="shared" ca="1" si="59"/>
        <v>0</v>
      </c>
      <c r="Z529" s="63" t="e">
        <f t="shared" ca="1" si="60"/>
        <v>#N/A</v>
      </c>
      <c r="AA529" s="63" t="e">
        <f t="shared" ca="1" si="61"/>
        <v>#N/A</v>
      </c>
      <c r="AB529" s="3" t="e">
        <f t="shared" ca="1" si="62"/>
        <v>#N/A</v>
      </c>
    </row>
    <row r="530" spans="7:28">
      <c r="G530" t="e">
        <f t="shared" ca="1" si="56"/>
        <v>#N/A</v>
      </c>
      <c r="H530" t="e">
        <f t="shared" ca="1" si="57"/>
        <v>#N/A</v>
      </c>
      <c r="I530" t="e">
        <f ca="1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W530" s="2">
        <f t="shared" ca="1" si="58"/>
        <v>0</v>
      </c>
      <c r="X530">
        <f t="shared" ca="1" si="59"/>
        <v>0</v>
      </c>
      <c r="Z530" s="63" t="e">
        <f t="shared" ca="1" si="60"/>
        <v>#N/A</v>
      </c>
      <c r="AA530" s="63" t="e">
        <f t="shared" ca="1" si="61"/>
        <v>#N/A</v>
      </c>
      <c r="AB530" s="3" t="e">
        <f t="shared" ca="1" si="62"/>
        <v>#N/A</v>
      </c>
    </row>
    <row r="531" spans="7:28">
      <c r="G531" t="e">
        <f t="shared" ca="1" si="56"/>
        <v>#N/A</v>
      </c>
      <c r="H531" t="e">
        <f t="shared" ca="1" si="57"/>
        <v>#N/A</v>
      </c>
      <c r="I531" t="e">
        <f ca="1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W531" s="2">
        <f t="shared" ca="1" si="58"/>
        <v>0</v>
      </c>
      <c r="X531">
        <f t="shared" ca="1" si="59"/>
        <v>0</v>
      </c>
      <c r="Z531" s="63" t="e">
        <f t="shared" ca="1" si="60"/>
        <v>#N/A</v>
      </c>
      <c r="AA531" s="63" t="e">
        <f t="shared" ca="1" si="61"/>
        <v>#N/A</v>
      </c>
      <c r="AB531" s="3" t="e">
        <f t="shared" ca="1" si="62"/>
        <v>#N/A</v>
      </c>
    </row>
    <row r="532" spans="7:28">
      <c r="G532" t="e">
        <f t="shared" ca="1" si="56"/>
        <v>#N/A</v>
      </c>
      <c r="H532" t="e">
        <f t="shared" ca="1" si="57"/>
        <v>#N/A</v>
      </c>
      <c r="I532" t="e">
        <f ca="1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W532" s="2">
        <f t="shared" ca="1" si="58"/>
        <v>0</v>
      </c>
      <c r="X532">
        <f t="shared" ca="1" si="59"/>
        <v>0</v>
      </c>
      <c r="Z532" s="63" t="e">
        <f t="shared" ca="1" si="60"/>
        <v>#N/A</v>
      </c>
      <c r="AA532" s="63" t="e">
        <f t="shared" ca="1" si="61"/>
        <v>#N/A</v>
      </c>
      <c r="AB532" s="3" t="e">
        <f t="shared" ca="1" si="62"/>
        <v>#N/A</v>
      </c>
    </row>
    <row r="533" spans="7:28">
      <c r="G533" t="e">
        <f t="shared" ca="1" si="56"/>
        <v>#N/A</v>
      </c>
      <c r="H533" t="e">
        <f t="shared" ca="1" si="57"/>
        <v>#N/A</v>
      </c>
      <c r="I533" t="e">
        <f ca="1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W533" s="2">
        <f t="shared" ca="1" si="58"/>
        <v>0</v>
      </c>
      <c r="X533">
        <f t="shared" ca="1" si="59"/>
        <v>0</v>
      </c>
      <c r="Z533" s="63" t="e">
        <f t="shared" ca="1" si="60"/>
        <v>#N/A</v>
      </c>
      <c r="AA533" s="63" t="e">
        <f t="shared" ca="1" si="61"/>
        <v>#N/A</v>
      </c>
      <c r="AB533" s="3" t="e">
        <f t="shared" ca="1" si="62"/>
        <v>#N/A</v>
      </c>
    </row>
    <row r="534" spans="7:28">
      <c r="G534" t="e">
        <f t="shared" ca="1" si="56"/>
        <v>#N/A</v>
      </c>
      <c r="H534" t="e">
        <f t="shared" ca="1" si="57"/>
        <v>#N/A</v>
      </c>
      <c r="I534" t="e">
        <f ca="1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W534" s="2">
        <f t="shared" ca="1" si="58"/>
        <v>0</v>
      </c>
      <c r="X534">
        <f t="shared" ca="1" si="59"/>
        <v>0</v>
      </c>
      <c r="Z534" s="63" t="e">
        <f t="shared" ca="1" si="60"/>
        <v>#N/A</v>
      </c>
      <c r="AA534" s="63" t="e">
        <f t="shared" ca="1" si="61"/>
        <v>#N/A</v>
      </c>
      <c r="AB534" s="3" t="e">
        <f t="shared" ca="1" si="62"/>
        <v>#N/A</v>
      </c>
    </row>
    <row r="535" spans="7:28">
      <c r="G535" t="e">
        <f t="shared" ca="1" si="56"/>
        <v>#N/A</v>
      </c>
      <c r="H535" t="e">
        <f t="shared" ca="1" si="57"/>
        <v>#N/A</v>
      </c>
      <c r="I535" t="e">
        <f ca="1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W535" s="2">
        <f t="shared" ca="1" si="58"/>
        <v>0</v>
      </c>
      <c r="X535">
        <f t="shared" ca="1" si="59"/>
        <v>0</v>
      </c>
      <c r="Z535" s="63" t="e">
        <f t="shared" ca="1" si="60"/>
        <v>#N/A</v>
      </c>
      <c r="AA535" s="63" t="e">
        <f t="shared" ca="1" si="61"/>
        <v>#N/A</v>
      </c>
      <c r="AB535" s="3" t="e">
        <f t="shared" ca="1" si="62"/>
        <v>#N/A</v>
      </c>
    </row>
    <row r="536" spans="7:28">
      <c r="G536" t="e">
        <f t="shared" ca="1" si="56"/>
        <v>#N/A</v>
      </c>
      <c r="H536" t="e">
        <f t="shared" ca="1" si="57"/>
        <v>#N/A</v>
      </c>
      <c r="I536" t="e">
        <f ca="1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W536" s="2">
        <f t="shared" ca="1" si="58"/>
        <v>0</v>
      </c>
      <c r="X536">
        <f t="shared" ca="1" si="59"/>
        <v>0</v>
      </c>
      <c r="Z536" s="63" t="e">
        <f t="shared" ca="1" si="60"/>
        <v>#N/A</v>
      </c>
      <c r="AA536" s="63" t="e">
        <f t="shared" ca="1" si="61"/>
        <v>#N/A</v>
      </c>
      <c r="AB536" s="3" t="e">
        <f t="shared" ca="1" si="62"/>
        <v>#N/A</v>
      </c>
    </row>
    <row r="537" spans="7:28">
      <c r="G537" t="e">
        <f t="shared" ca="1" si="56"/>
        <v>#N/A</v>
      </c>
      <c r="H537" t="e">
        <f t="shared" ca="1" si="57"/>
        <v>#N/A</v>
      </c>
      <c r="I537" t="e">
        <f ca="1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W537" s="2">
        <f t="shared" ca="1" si="58"/>
        <v>0</v>
      </c>
      <c r="X537">
        <f t="shared" ca="1" si="59"/>
        <v>0</v>
      </c>
      <c r="Z537" s="63" t="e">
        <f t="shared" ca="1" si="60"/>
        <v>#N/A</v>
      </c>
      <c r="AA537" s="63" t="e">
        <f t="shared" ca="1" si="61"/>
        <v>#N/A</v>
      </c>
      <c r="AB537" s="3" t="e">
        <f t="shared" ca="1" si="62"/>
        <v>#N/A</v>
      </c>
    </row>
    <row r="538" spans="7:28">
      <c r="G538" t="e">
        <f t="shared" ca="1" si="56"/>
        <v>#N/A</v>
      </c>
      <c r="H538" t="e">
        <f t="shared" ca="1" si="57"/>
        <v>#N/A</v>
      </c>
      <c r="I538" t="e">
        <f ca="1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W538" s="2">
        <f t="shared" ca="1" si="58"/>
        <v>0</v>
      </c>
      <c r="X538">
        <f t="shared" ca="1" si="59"/>
        <v>0</v>
      </c>
      <c r="Z538" s="63" t="e">
        <f t="shared" ca="1" si="60"/>
        <v>#N/A</v>
      </c>
      <c r="AA538" s="63" t="e">
        <f t="shared" ca="1" si="61"/>
        <v>#N/A</v>
      </c>
      <c r="AB538" s="3" t="e">
        <f t="shared" ca="1" si="62"/>
        <v>#N/A</v>
      </c>
    </row>
    <row r="539" spans="7:28">
      <c r="G539" t="e">
        <f t="shared" ca="1" si="56"/>
        <v>#N/A</v>
      </c>
      <c r="H539" t="e">
        <f t="shared" ca="1" si="57"/>
        <v>#N/A</v>
      </c>
      <c r="I539" t="e">
        <f ca="1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W539" s="2">
        <f t="shared" ca="1" si="58"/>
        <v>0</v>
      </c>
      <c r="X539">
        <f t="shared" ca="1" si="59"/>
        <v>0</v>
      </c>
      <c r="Z539" s="63" t="e">
        <f t="shared" ca="1" si="60"/>
        <v>#N/A</v>
      </c>
      <c r="AA539" s="63" t="e">
        <f t="shared" ca="1" si="61"/>
        <v>#N/A</v>
      </c>
      <c r="AB539" s="3" t="e">
        <f t="shared" ca="1" si="62"/>
        <v>#N/A</v>
      </c>
    </row>
    <row r="540" spans="7:28">
      <c r="G540" t="e">
        <f t="shared" ca="1" si="56"/>
        <v>#N/A</v>
      </c>
      <c r="H540" t="e">
        <f t="shared" ca="1" si="57"/>
        <v>#N/A</v>
      </c>
      <c r="I540" t="e">
        <f ca="1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W540" s="2">
        <f t="shared" ca="1" si="58"/>
        <v>0</v>
      </c>
      <c r="X540">
        <f t="shared" ca="1" si="59"/>
        <v>0</v>
      </c>
      <c r="Z540" s="63" t="e">
        <f t="shared" ca="1" si="60"/>
        <v>#N/A</v>
      </c>
      <c r="AA540" s="63" t="e">
        <f t="shared" ca="1" si="61"/>
        <v>#N/A</v>
      </c>
      <c r="AB540" s="3" t="e">
        <f t="shared" ca="1" si="62"/>
        <v>#N/A</v>
      </c>
    </row>
    <row r="541" spans="7:28">
      <c r="G541" t="e">
        <f t="shared" ca="1" si="56"/>
        <v>#N/A</v>
      </c>
      <c r="H541" t="e">
        <f t="shared" ca="1" si="57"/>
        <v>#N/A</v>
      </c>
      <c r="I541" t="e">
        <f ca="1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W541" s="2">
        <f t="shared" ca="1" si="58"/>
        <v>0</v>
      </c>
      <c r="X541">
        <f t="shared" ca="1" si="59"/>
        <v>0</v>
      </c>
      <c r="Z541" s="63" t="e">
        <f t="shared" ca="1" si="60"/>
        <v>#N/A</v>
      </c>
      <c r="AA541" s="63" t="e">
        <f t="shared" ca="1" si="61"/>
        <v>#N/A</v>
      </c>
      <c r="AB541" s="3" t="e">
        <f t="shared" ca="1" si="62"/>
        <v>#N/A</v>
      </c>
    </row>
    <row r="542" spans="7:28">
      <c r="G542" t="e">
        <f t="shared" ca="1" si="56"/>
        <v>#N/A</v>
      </c>
      <c r="H542" t="e">
        <f t="shared" ca="1" si="57"/>
        <v>#N/A</v>
      </c>
      <c r="I542" t="e">
        <f ca="1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W542" s="2">
        <f t="shared" ca="1" si="58"/>
        <v>0</v>
      </c>
      <c r="X542">
        <f t="shared" ca="1" si="59"/>
        <v>0</v>
      </c>
      <c r="Z542" s="63" t="e">
        <f t="shared" ca="1" si="60"/>
        <v>#N/A</v>
      </c>
      <c r="AA542" s="63" t="e">
        <f t="shared" ca="1" si="61"/>
        <v>#N/A</v>
      </c>
      <c r="AB542" s="3" t="e">
        <f t="shared" ca="1" si="62"/>
        <v>#N/A</v>
      </c>
    </row>
    <row r="543" spans="7:28">
      <c r="G543" t="e">
        <f t="shared" ca="1" si="56"/>
        <v>#N/A</v>
      </c>
      <c r="H543" t="e">
        <f t="shared" ca="1" si="57"/>
        <v>#N/A</v>
      </c>
      <c r="I543" t="e">
        <f ca="1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W543" s="2">
        <f t="shared" ca="1" si="58"/>
        <v>0</v>
      </c>
      <c r="X543">
        <f t="shared" ca="1" si="59"/>
        <v>0</v>
      </c>
      <c r="Z543" s="63" t="e">
        <f t="shared" ca="1" si="60"/>
        <v>#N/A</v>
      </c>
      <c r="AA543" s="63" t="e">
        <f t="shared" ca="1" si="61"/>
        <v>#N/A</v>
      </c>
      <c r="AB543" s="3" t="e">
        <f t="shared" ca="1" si="62"/>
        <v>#N/A</v>
      </c>
    </row>
    <row r="544" spans="7:28">
      <c r="G544" t="e">
        <f t="shared" ca="1" si="56"/>
        <v>#N/A</v>
      </c>
      <c r="H544" t="e">
        <f t="shared" ca="1" si="57"/>
        <v>#N/A</v>
      </c>
      <c r="I544" t="e">
        <f ca="1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W544" s="2">
        <f t="shared" ca="1" si="58"/>
        <v>0</v>
      </c>
      <c r="X544">
        <f t="shared" ca="1" si="59"/>
        <v>0</v>
      </c>
      <c r="Z544" s="63" t="e">
        <f t="shared" ca="1" si="60"/>
        <v>#N/A</v>
      </c>
      <c r="AA544" s="63" t="e">
        <f t="shared" ca="1" si="61"/>
        <v>#N/A</v>
      </c>
      <c r="AB544" s="3" t="e">
        <f t="shared" ca="1" si="62"/>
        <v>#N/A</v>
      </c>
    </row>
    <row r="545" spans="7:28">
      <c r="G545" t="e">
        <f t="shared" ca="1" si="56"/>
        <v>#N/A</v>
      </c>
      <c r="H545" t="e">
        <f t="shared" ca="1" si="57"/>
        <v>#N/A</v>
      </c>
      <c r="I545" t="e">
        <f ca="1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W545" s="2">
        <f t="shared" ca="1" si="58"/>
        <v>0</v>
      </c>
      <c r="X545">
        <f t="shared" ca="1" si="59"/>
        <v>0</v>
      </c>
      <c r="Z545" s="63" t="e">
        <f t="shared" ca="1" si="60"/>
        <v>#N/A</v>
      </c>
      <c r="AA545" s="63" t="e">
        <f t="shared" ca="1" si="61"/>
        <v>#N/A</v>
      </c>
      <c r="AB545" s="3" t="e">
        <f t="shared" ca="1" si="62"/>
        <v>#N/A</v>
      </c>
    </row>
    <row r="546" spans="7:28">
      <c r="G546" t="e">
        <f t="shared" ca="1" si="56"/>
        <v>#N/A</v>
      </c>
      <c r="H546" t="e">
        <f t="shared" ca="1" si="57"/>
        <v>#N/A</v>
      </c>
      <c r="I546" t="e">
        <f ca="1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W546" s="2">
        <f t="shared" ca="1" si="58"/>
        <v>0</v>
      </c>
      <c r="X546">
        <f t="shared" ca="1" si="59"/>
        <v>0</v>
      </c>
      <c r="Z546" s="63" t="e">
        <f t="shared" ca="1" si="60"/>
        <v>#N/A</v>
      </c>
      <c r="AA546" s="63" t="e">
        <f t="shared" ca="1" si="61"/>
        <v>#N/A</v>
      </c>
      <c r="AB546" s="3" t="e">
        <f t="shared" ca="1" si="62"/>
        <v>#N/A</v>
      </c>
    </row>
    <row r="547" spans="7:28">
      <c r="G547" t="e">
        <f t="shared" ca="1" si="56"/>
        <v>#N/A</v>
      </c>
      <c r="H547" t="e">
        <f t="shared" ca="1" si="57"/>
        <v>#N/A</v>
      </c>
      <c r="I547" t="e">
        <f ca="1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W547" s="2">
        <f t="shared" ca="1" si="58"/>
        <v>0</v>
      </c>
      <c r="X547">
        <f t="shared" ca="1" si="59"/>
        <v>0</v>
      </c>
      <c r="Z547" s="63" t="e">
        <f t="shared" ca="1" si="60"/>
        <v>#N/A</v>
      </c>
      <c r="AA547" s="63" t="e">
        <f t="shared" ca="1" si="61"/>
        <v>#N/A</v>
      </c>
      <c r="AB547" s="3" t="e">
        <f t="shared" ca="1" si="62"/>
        <v>#N/A</v>
      </c>
    </row>
    <row r="548" spans="7:28">
      <c r="G548" t="e">
        <f t="shared" ca="1" si="56"/>
        <v>#N/A</v>
      </c>
      <c r="H548" t="e">
        <f t="shared" ca="1" si="57"/>
        <v>#N/A</v>
      </c>
      <c r="I548" t="e">
        <f ca="1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W548" s="2">
        <f t="shared" ca="1" si="58"/>
        <v>0</v>
      </c>
      <c r="X548">
        <f t="shared" ca="1" si="59"/>
        <v>0</v>
      </c>
      <c r="Z548" s="63" t="e">
        <f t="shared" ca="1" si="60"/>
        <v>#N/A</v>
      </c>
      <c r="AA548" s="63" t="e">
        <f t="shared" ca="1" si="61"/>
        <v>#N/A</v>
      </c>
      <c r="AB548" s="3" t="e">
        <f t="shared" ca="1" si="62"/>
        <v>#N/A</v>
      </c>
    </row>
    <row r="549" spans="7:28">
      <c r="G549" t="e">
        <f t="shared" ca="1" si="56"/>
        <v>#N/A</v>
      </c>
      <c r="H549" t="e">
        <f t="shared" ca="1" si="57"/>
        <v>#N/A</v>
      </c>
      <c r="I549" t="e">
        <f ca="1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W549" s="2">
        <f t="shared" ca="1" si="58"/>
        <v>0</v>
      </c>
      <c r="X549">
        <f t="shared" ca="1" si="59"/>
        <v>0</v>
      </c>
      <c r="Z549" s="63" t="e">
        <f t="shared" ca="1" si="60"/>
        <v>#N/A</v>
      </c>
      <c r="AA549" s="63" t="e">
        <f t="shared" ca="1" si="61"/>
        <v>#N/A</v>
      </c>
      <c r="AB549" s="3" t="e">
        <f t="shared" ca="1" si="62"/>
        <v>#N/A</v>
      </c>
    </row>
    <row r="550" spans="7:28">
      <c r="G550" t="e">
        <f t="shared" ca="1" si="56"/>
        <v>#N/A</v>
      </c>
      <c r="H550" t="e">
        <f t="shared" ca="1" si="57"/>
        <v>#N/A</v>
      </c>
      <c r="I550" t="e">
        <f ca="1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W550" s="2">
        <f t="shared" ca="1" si="58"/>
        <v>0</v>
      </c>
      <c r="X550">
        <f t="shared" ca="1" si="59"/>
        <v>0</v>
      </c>
      <c r="Z550" s="63" t="e">
        <f t="shared" ca="1" si="60"/>
        <v>#N/A</v>
      </c>
      <c r="AA550" s="63" t="e">
        <f t="shared" ca="1" si="61"/>
        <v>#N/A</v>
      </c>
      <c r="AB550" s="3" t="e">
        <f t="shared" ca="1" si="62"/>
        <v>#N/A</v>
      </c>
    </row>
    <row r="551" spans="7:28">
      <c r="G551" t="e">
        <f t="shared" ca="1" si="56"/>
        <v>#N/A</v>
      </c>
      <c r="H551" t="e">
        <f t="shared" ca="1" si="57"/>
        <v>#N/A</v>
      </c>
      <c r="I551" t="e">
        <f ca="1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W551" s="2">
        <f t="shared" ca="1" si="58"/>
        <v>0</v>
      </c>
      <c r="X551">
        <f t="shared" ca="1" si="59"/>
        <v>0</v>
      </c>
      <c r="Z551" s="63" t="e">
        <f t="shared" ca="1" si="60"/>
        <v>#N/A</v>
      </c>
      <c r="AA551" s="63" t="e">
        <f t="shared" ca="1" si="61"/>
        <v>#N/A</v>
      </c>
      <c r="AB551" s="3" t="e">
        <f t="shared" ca="1" si="62"/>
        <v>#N/A</v>
      </c>
    </row>
    <row r="552" spans="7:28">
      <c r="G552" t="e">
        <f t="shared" ca="1" si="56"/>
        <v>#N/A</v>
      </c>
      <c r="H552" t="e">
        <f t="shared" ca="1" si="57"/>
        <v>#N/A</v>
      </c>
      <c r="I552" t="e">
        <f ca="1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W552" s="2">
        <f t="shared" ca="1" si="58"/>
        <v>0</v>
      </c>
      <c r="X552">
        <f t="shared" ca="1" si="59"/>
        <v>0</v>
      </c>
      <c r="Z552" s="63" t="e">
        <f t="shared" ca="1" si="60"/>
        <v>#N/A</v>
      </c>
      <c r="AA552" s="63" t="e">
        <f t="shared" ca="1" si="61"/>
        <v>#N/A</v>
      </c>
      <c r="AB552" s="3" t="e">
        <f t="shared" ca="1" si="62"/>
        <v>#N/A</v>
      </c>
    </row>
    <row r="553" spans="7:28">
      <c r="G553" t="e">
        <f t="shared" ca="1" si="56"/>
        <v>#N/A</v>
      </c>
      <c r="H553" t="e">
        <f t="shared" ca="1" si="57"/>
        <v>#N/A</v>
      </c>
      <c r="I553" t="e">
        <f ca="1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W553" s="2">
        <f t="shared" ca="1" si="58"/>
        <v>0</v>
      </c>
      <c r="X553">
        <f t="shared" ca="1" si="59"/>
        <v>0</v>
      </c>
      <c r="Z553" s="63" t="e">
        <f t="shared" ca="1" si="60"/>
        <v>#N/A</v>
      </c>
      <c r="AA553" s="63" t="e">
        <f t="shared" ca="1" si="61"/>
        <v>#N/A</v>
      </c>
      <c r="AB553" s="3" t="e">
        <f t="shared" ca="1" si="62"/>
        <v>#N/A</v>
      </c>
    </row>
    <row r="554" spans="7:28">
      <c r="G554" t="e">
        <f t="shared" ca="1" si="56"/>
        <v>#N/A</v>
      </c>
      <c r="H554" t="e">
        <f t="shared" ca="1" si="57"/>
        <v>#N/A</v>
      </c>
      <c r="I554" t="e">
        <f ca="1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W554" s="2">
        <f t="shared" ca="1" si="58"/>
        <v>0</v>
      </c>
      <c r="X554">
        <f t="shared" ca="1" si="59"/>
        <v>0</v>
      </c>
      <c r="Z554" s="63" t="e">
        <f t="shared" ca="1" si="60"/>
        <v>#N/A</v>
      </c>
      <c r="AA554" s="63" t="e">
        <f t="shared" ca="1" si="61"/>
        <v>#N/A</v>
      </c>
      <c r="AB554" s="3" t="e">
        <f t="shared" ca="1" si="62"/>
        <v>#N/A</v>
      </c>
    </row>
    <row r="555" spans="7:28">
      <c r="G555" t="e">
        <f t="shared" ca="1" si="56"/>
        <v>#N/A</v>
      </c>
      <c r="H555" t="e">
        <f t="shared" ca="1" si="57"/>
        <v>#N/A</v>
      </c>
      <c r="I555" t="e">
        <f ca="1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W555" s="2">
        <f t="shared" ca="1" si="58"/>
        <v>0</v>
      </c>
      <c r="X555">
        <f t="shared" ca="1" si="59"/>
        <v>0</v>
      </c>
      <c r="Z555" s="63" t="e">
        <f t="shared" ca="1" si="60"/>
        <v>#N/A</v>
      </c>
      <c r="AA555" s="63" t="e">
        <f t="shared" ca="1" si="61"/>
        <v>#N/A</v>
      </c>
      <c r="AB555" s="3" t="e">
        <f t="shared" ca="1" si="62"/>
        <v>#N/A</v>
      </c>
    </row>
    <row r="556" spans="7:28">
      <c r="G556" t="e">
        <f t="shared" ca="1" si="56"/>
        <v>#N/A</v>
      </c>
      <c r="H556" t="e">
        <f t="shared" ca="1" si="57"/>
        <v>#N/A</v>
      </c>
      <c r="I556" t="e">
        <f ca="1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W556" s="2">
        <f t="shared" ca="1" si="58"/>
        <v>0</v>
      </c>
      <c r="X556">
        <f t="shared" ca="1" si="59"/>
        <v>0</v>
      </c>
      <c r="Z556" s="63" t="e">
        <f t="shared" ca="1" si="60"/>
        <v>#N/A</v>
      </c>
      <c r="AA556" s="63" t="e">
        <f t="shared" ca="1" si="61"/>
        <v>#N/A</v>
      </c>
      <c r="AB556" s="3" t="e">
        <f t="shared" ca="1" si="62"/>
        <v>#N/A</v>
      </c>
    </row>
    <row r="557" spans="7:28">
      <c r="G557" t="e">
        <f t="shared" ca="1" si="56"/>
        <v>#N/A</v>
      </c>
      <c r="H557" t="e">
        <f t="shared" ca="1" si="57"/>
        <v>#N/A</v>
      </c>
      <c r="I557" t="e">
        <f ca="1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W557" s="2">
        <f t="shared" ca="1" si="58"/>
        <v>0</v>
      </c>
      <c r="X557">
        <f t="shared" ca="1" si="59"/>
        <v>0</v>
      </c>
      <c r="Z557" s="63" t="e">
        <f t="shared" ca="1" si="60"/>
        <v>#N/A</v>
      </c>
      <c r="AA557" s="63" t="e">
        <f t="shared" ca="1" si="61"/>
        <v>#N/A</v>
      </c>
      <c r="AB557" s="3" t="e">
        <f t="shared" ca="1" si="62"/>
        <v>#N/A</v>
      </c>
    </row>
    <row r="558" spans="7:28">
      <c r="G558" t="e">
        <f t="shared" ca="1" si="56"/>
        <v>#N/A</v>
      </c>
      <c r="H558" t="e">
        <f t="shared" ca="1" si="57"/>
        <v>#N/A</v>
      </c>
      <c r="I558" t="e">
        <f ca="1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W558" s="2">
        <f t="shared" ca="1" si="58"/>
        <v>0</v>
      </c>
      <c r="X558">
        <f t="shared" ca="1" si="59"/>
        <v>0</v>
      </c>
      <c r="Z558" s="63" t="e">
        <f t="shared" ca="1" si="60"/>
        <v>#N/A</v>
      </c>
      <c r="AA558" s="63" t="e">
        <f t="shared" ca="1" si="61"/>
        <v>#N/A</v>
      </c>
      <c r="AB558" s="3" t="e">
        <f t="shared" ca="1" si="62"/>
        <v>#N/A</v>
      </c>
    </row>
    <row r="559" spans="7:28">
      <c r="G559" t="e">
        <f t="shared" ca="1" si="56"/>
        <v>#N/A</v>
      </c>
      <c r="H559" t="e">
        <f t="shared" ca="1" si="57"/>
        <v>#N/A</v>
      </c>
      <c r="I559" t="e">
        <f ca="1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W559" s="2">
        <f t="shared" ca="1" si="58"/>
        <v>0</v>
      </c>
      <c r="X559">
        <f t="shared" ca="1" si="59"/>
        <v>0</v>
      </c>
      <c r="Z559" s="63" t="e">
        <f t="shared" ca="1" si="60"/>
        <v>#N/A</v>
      </c>
      <c r="AA559" s="63" t="e">
        <f t="shared" ca="1" si="61"/>
        <v>#N/A</v>
      </c>
      <c r="AB559" s="3" t="e">
        <f t="shared" ca="1" si="62"/>
        <v>#N/A</v>
      </c>
    </row>
    <row r="560" spans="7:28">
      <c r="G560" t="e">
        <f t="shared" ca="1" si="56"/>
        <v>#N/A</v>
      </c>
      <c r="H560" t="e">
        <f t="shared" ca="1" si="57"/>
        <v>#N/A</v>
      </c>
      <c r="I560" t="e">
        <f ca="1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W560" s="2">
        <f t="shared" ca="1" si="58"/>
        <v>0</v>
      </c>
      <c r="X560">
        <f t="shared" ca="1" si="59"/>
        <v>0</v>
      </c>
      <c r="Z560" s="63" t="e">
        <f t="shared" ca="1" si="60"/>
        <v>#N/A</v>
      </c>
      <c r="AA560" s="63" t="e">
        <f t="shared" ca="1" si="61"/>
        <v>#N/A</v>
      </c>
      <c r="AB560" s="3" t="e">
        <f t="shared" ca="1" si="62"/>
        <v>#N/A</v>
      </c>
    </row>
    <row r="561" spans="7:28">
      <c r="G561" t="e">
        <f t="shared" ref="G561:G624" ca="1" si="63">IF(I561&lt;$I$4,TRUE,FALSE)</f>
        <v>#N/A</v>
      </c>
      <c r="H561" t="e">
        <f t="shared" ref="H561:H624" ca="1" si="64">AND(IF(I561&gt;($I$3-1),TRUE,FALSE),IF(I561&lt;($I$4+1),TRUE,FALSE))</f>
        <v>#N/A</v>
      </c>
      <c r="I561" t="e">
        <f ca="1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W561" s="2">
        <f t="shared" ref="W561:W624" ca="1" si="65">IFERROR(I561,$W$5)</f>
        <v>0</v>
      </c>
      <c r="X561">
        <f t="shared" ref="X561:X624" ca="1" si="66">IFERROR(N561,0)</f>
        <v>0</v>
      </c>
      <c r="Z561" s="63" t="e">
        <f t="shared" ref="Z561:Z624" ca="1" si="67">J560+L561+M561+N561</f>
        <v>#N/A</v>
      </c>
      <c r="AA561" s="63" t="e">
        <f t="shared" ref="AA561:AA624" ca="1" si="68">J561+K561+Q561</f>
        <v>#N/A</v>
      </c>
      <c r="AB561" s="3" t="e">
        <f t="shared" ref="AB561:AB624" ca="1" si="69">AA561-Z561</f>
        <v>#N/A</v>
      </c>
    </row>
    <row r="562" spans="7:28">
      <c r="G562" t="e">
        <f t="shared" ca="1" si="63"/>
        <v>#N/A</v>
      </c>
      <c r="H562" t="e">
        <f t="shared" ca="1" si="64"/>
        <v>#N/A</v>
      </c>
      <c r="I562" t="e">
        <f ca="1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W562" s="2">
        <f t="shared" ca="1" si="65"/>
        <v>0</v>
      </c>
      <c r="X562">
        <f t="shared" ca="1" si="66"/>
        <v>0</v>
      </c>
      <c r="Z562" s="63" t="e">
        <f t="shared" ca="1" si="67"/>
        <v>#N/A</v>
      </c>
      <c r="AA562" s="63" t="e">
        <f t="shared" ca="1" si="68"/>
        <v>#N/A</v>
      </c>
      <c r="AB562" s="3" t="e">
        <f t="shared" ca="1" si="69"/>
        <v>#N/A</v>
      </c>
    </row>
    <row r="563" spans="7:28">
      <c r="G563" t="e">
        <f t="shared" ca="1" si="63"/>
        <v>#N/A</v>
      </c>
      <c r="H563" t="e">
        <f t="shared" ca="1" si="64"/>
        <v>#N/A</v>
      </c>
      <c r="I563" t="e">
        <f ca="1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W563" s="2">
        <f t="shared" ca="1" si="65"/>
        <v>0</v>
      </c>
      <c r="X563">
        <f t="shared" ca="1" si="66"/>
        <v>0</v>
      </c>
      <c r="Z563" s="63" t="e">
        <f t="shared" ca="1" si="67"/>
        <v>#N/A</v>
      </c>
      <c r="AA563" s="63" t="e">
        <f t="shared" ca="1" si="68"/>
        <v>#N/A</v>
      </c>
      <c r="AB563" s="3" t="e">
        <f t="shared" ca="1" si="69"/>
        <v>#N/A</v>
      </c>
    </row>
    <row r="564" spans="7:28">
      <c r="G564" t="e">
        <f t="shared" ca="1" si="63"/>
        <v>#N/A</v>
      </c>
      <c r="H564" t="e">
        <f t="shared" ca="1" si="64"/>
        <v>#N/A</v>
      </c>
      <c r="I564" t="e">
        <f ca="1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W564" s="2">
        <f t="shared" ca="1" si="65"/>
        <v>0</v>
      </c>
      <c r="X564">
        <f t="shared" ca="1" si="66"/>
        <v>0</v>
      </c>
      <c r="Z564" s="63" t="e">
        <f t="shared" ca="1" si="67"/>
        <v>#N/A</v>
      </c>
      <c r="AA564" s="63" t="e">
        <f t="shared" ca="1" si="68"/>
        <v>#N/A</v>
      </c>
      <c r="AB564" s="3" t="e">
        <f t="shared" ca="1" si="69"/>
        <v>#N/A</v>
      </c>
    </row>
    <row r="565" spans="7:28">
      <c r="G565" t="e">
        <f t="shared" ca="1" si="63"/>
        <v>#N/A</v>
      </c>
      <c r="H565" t="e">
        <f t="shared" ca="1" si="64"/>
        <v>#N/A</v>
      </c>
      <c r="I565" t="e">
        <f ca="1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W565" s="2">
        <f t="shared" ca="1" si="65"/>
        <v>0</v>
      </c>
      <c r="X565">
        <f t="shared" ca="1" si="66"/>
        <v>0</v>
      </c>
      <c r="Z565" s="63" t="e">
        <f t="shared" ca="1" si="67"/>
        <v>#N/A</v>
      </c>
      <c r="AA565" s="63" t="e">
        <f t="shared" ca="1" si="68"/>
        <v>#N/A</v>
      </c>
      <c r="AB565" s="3" t="e">
        <f t="shared" ca="1" si="69"/>
        <v>#N/A</v>
      </c>
    </row>
    <row r="566" spans="7:28">
      <c r="G566" t="e">
        <f t="shared" ca="1" si="63"/>
        <v>#N/A</v>
      </c>
      <c r="H566" t="e">
        <f t="shared" ca="1" si="64"/>
        <v>#N/A</v>
      </c>
      <c r="I566" t="e">
        <f ca="1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W566" s="2">
        <f t="shared" ca="1" si="65"/>
        <v>0</v>
      </c>
      <c r="X566">
        <f t="shared" ca="1" si="66"/>
        <v>0</v>
      </c>
      <c r="Z566" s="63" t="e">
        <f t="shared" ca="1" si="67"/>
        <v>#N/A</v>
      </c>
      <c r="AA566" s="63" t="e">
        <f t="shared" ca="1" si="68"/>
        <v>#N/A</v>
      </c>
      <c r="AB566" s="3" t="e">
        <f t="shared" ca="1" si="69"/>
        <v>#N/A</v>
      </c>
    </row>
    <row r="567" spans="7:28">
      <c r="G567" t="e">
        <f t="shared" ca="1" si="63"/>
        <v>#N/A</v>
      </c>
      <c r="H567" t="e">
        <f t="shared" ca="1" si="64"/>
        <v>#N/A</v>
      </c>
      <c r="I567" t="e">
        <f ca="1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W567" s="2">
        <f t="shared" ca="1" si="65"/>
        <v>0</v>
      </c>
      <c r="X567">
        <f t="shared" ca="1" si="66"/>
        <v>0</v>
      </c>
      <c r="Z567" s="63" t="e">
        <f t="shared" ca="1" si="67"/>
        <v>#N/A</v>
      </c>
      <c r="AA567" s="63" t="e">
        <f t="shared" ca="1" si="68"/>
        <v>#N/A</v>
      </c>
      <c r="AB567" s="3" t="e">
        <f t="shared" ca="1" si="69"/>
        <v>#N/A</v>
      </c>
    </row>
    <row r="568" spans="7:28">
      <c r="G568" t="e">
        <f t="shared" ca="1" si="63"/>
        <v>#N/A</v>
      </c>
      <c r="H568" t="e">
        <f t="shared" ca="1" si="64"/>
        <v>#N/A</v>
      </c>
      <c r="I568" t="e">
        <f ca="1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W568" s="2">
        <f t="shared" ca="1" si="65"/>
        <v>0</v>
      </c>
      <c r="X568">
        <f t="shared" ca="1" si="66"/>
        <v>0</v>
      </c>
      <c r="Z568" s="63" t="e">
        <f t="shared" ca="1" si="67"/>
        <v>#N/A</v>
      </c>
      <c r="AA568" s="63" t="e">
        <f t="shared" ca="1" si="68"/>
        <v>#N/A</v>
      </c>
      <c r="AB568" s="3" t="e">
        <f t="shared" ca="1" si="69"/>
        <v>#N/A</v>
      </c>
    </row>
    <row r="569" spans="7:28">
      <c r="G569" t="e">
        <f t="shared" ca="1" si="63"/>
        <v>#N/A</v>
      </c>
      <c r="H569" t="e">
        <f t="shared" ca="1" si="64"/>
        <v>#N/A</v>
      </c>
      <c r="I569" t="e">
        <f ca="1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W569" s="2">
        <f t="shared" ca="1" si="65"/>
        <v>0</v>
      </c>
      <c r="X569">
        <f t="shared" ca="1" si="66"/>
        <v>0</v>
      </c>
      <c r="Z569" s="63" t="e">
        <f t="shared" ca="1" si="67"/>
        <v>#N/A</v>
      </c>
      <c r="AA569" s="63" t="e">
        <f t="shared" ca="1" si="68"/>
        <v>#N/A</v>
      </c>
      <c r="AB569" s="3" t="e">
        <f t="shared" ca="1" si="69"/>
        <v>#N/A</v>
      </c>
    </row>
    <row r="570" spans="7:28">
      <c r="G570" t="e">
        <f t="shared" ca="1" si="63"/>
        <v>#N/A</v>
      </c>
      <c r="H570" t="e">
        <f t="shared" ca="1" si="64"/>
        <v>#N/A</v>
      </c>
      <c r="I570" t="e">
        <f ca="1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W570" s="2">
        <f t="shared" ca="1" si="65"/>
        <v>0</v>
      </c>
      <c r="X570">
        <f t="shared" ca="1" si="66"/>
        <v>0</v>
      </c>
      <c r="Z570" s="63" t="e">
        <f t="shared" ca="1" si="67"/>
        <v>#N/A</v>
      </c>
      <c r="AA570" s="63" t="e">
        <f t="shared" ca="1" si="68"/>
        <v>#N/A</v>
      </c>
      <c r="AB570" s="3" t="e">
        <f t="shared" ca="1" si="69"/>
        <v>#N/A</v>
      </c>
    </row>
    <row r="571" spans="7:28">
      <c r="G571" t="e">
        <f t="shared" ca="1" si="63"/>
        <v>#N/A</v>
      </c>
      <c r="H571" t="e">
        <f t="shared" ca="1" si="64"/>
        <v>#N/A</v>
      </c>
      <c r="I571" t="e">
        <f ca="1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W571" s="2">
        <f t="shared" ca="1" si="65"/>
        <v>0</v>
      </c>
      <c r="X571">
        <f t="shared" ca="1" si="66"/>
        <v>0</v>
      </c>
      <c r="Z571" s="63" t="e">
        <f t="shared" ca="1" si="67"/>
        <v>#N/A</v>
      </c>
      <c r="AA571" s="63" t="e">
        <f t="shared" ca="1" si="68"/>
        <v>#N/A</v>
      </c>
      <c r="AB571" s="3" t="e">
        <f t="shared" ca="1" si="69"/>
        <v>#N/A</v>
      </c>
    </row>
    <row r="572" spans="7:28">
      <c r="G572" t="e">
        <f t="shared" ca="1" si="63"/>
        <v>#N/A</v>
      </c>
      <c r="H572" t="e">
        <f t="shared" ca="1" si="64"/>
        <v>#N/A</v>
      </c>
      <c r="I572" t="e">
        <f ca="1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W572" s="2">
        <f t="shared" ca="1" si="65"/>
        <v>0</v>
      </c>
      <c r="X572">
        <f t="shared" ca="1" si="66"/>
        <v>0</v>
      </c>
      <c r="Z572" s="63" t="e">
        <f t="shared" ca="1" si="67"/>
        <v>#N/A</v>
      </c>
      <c r="AA572" s="63" t="e">
        <f t="shared" ca="1" si="68"/>
        <v>#N/A</v>
      </c>
      <c r="AB572" s="3" t="e">
        <f t="shared" ca="1" si="69"/>
        <v>#N/A</v>
      </c>
    </row>
    <row r="573" spans="7:28">
      <c r="G573" t="e">
        <f t="shared" ca="1" si="63"/>
        <v>#N/A</v>
      </c>
      <c r="H573" t="e">
        <f t="shared" ca="1" si="64"/>
        <v>#N/A</v>
      </c>
      <c r="I573" t="e">
        <f ca="1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W573" s="2">
        <f t="shared" ca="1" si="65"/>
        <v>0</v>
      </c>
      <c r="X573">
        <f t="shared" ca="1" si="66"/>
        <v>0</v>
      </c>
      <c r="Z573" s="63" t="e">
        <f t="shared" ca="1" si="67"/>
        <v>#N/A</v>
      </c>
      <c r="AA573" s="63" t="e">
        <f t="shared" ca="1" si="68"/>
        <v>#N/A</v>
      </c>
      <c r="AB573" s="3" t="e">
        <f t="shared" ca="1" si="69"/>
        <v>#N/A</v>
      </c>
    </row>
    <row r="574" spans="7:28">
      <c r="G574" t="e">
        <f t="shared" ca="1" si="63"/>
        <v>#N/A</v>
      </c>
      <c r="H574" t="e">
        <f t="shared" ca="1" si="64"/>
        <v>#N/A</v>
      </c>
      <c r="I574" t="e">
        <f ca="1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W574" s="2">
        <f t="shared" ca="1" si="65"/>
        <v>0</v>
      </c>
      <c r="X574">
        <f t="shared" ca="1" si="66"/>
        <v>0</v>
      </c>
      <c r="Z574" s="63" t="e">
        <f t="shared" ca="1" si="67"/>
        <v>#N/A</v>
      </c>
      <c r="AA574" s="63" t="e">
        <f t="shared" ca="1" si="68"/>
        <v>#N/A</v>
      </c>
      <c r="AB574" s="3" t="e">
        <f t="shared" ca="1" si="69"/>
        <v>#N/A</v>
      </c>
    </row>
    <row r="575" spans="7:28">
      <c r="G575" t="e">
        <f t="shared" ca="1" si="63"/>
        <v>#N/A</v>
      </c>
      <c r="H575" t="e">
        <f t="shared" ca="1" si="64"/>
        <v>#N/A</v>
      </c>
      <c r="I575" t="e">
        <f ca="1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W575" s="2">
        <f t="shared" ca="1" si="65"/>
        <v>0</v>
      </c>
      <c r="X575">
        <f t="shared" ca="1" si="66"/>
        <v>0</v>
      </c>
      <c r="Z575" s="63" t="e">
        <f t="shared" ca="1" si="67"/>
        <v>#N/A</v>
      </c>
      <c r="AA575" s="63" t="e">
        <f t="shared" ca="1" si="68"/>
        <v>#N/A</v>
      </c>
      <c r="AB575" s="3" t="e">
        <f t="shared" ca="1" si="69"/>
        <v>#N/A</v>
      </c>
    </row>
    <row r="576" spans="7:28">
      <c r="G576" t="e">
        <f t="shared" ca="1" si="63"/>
        <v>#N/A</v>
      </c>
      <c r="H576" t="e">
        <f t="shared" ca="1" si="64"/>
        <v>#N/A</v>
      </c>
      <c r="I576" t="e">
        <f ca="1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W576" s="2">
        <f t="shared" ca="1" si="65"/>
        <v>0</v>
      </c>
      <c r="X576">
        <f t="shared" ca="1" si="66"/>
        <v>0</v>
      </c>
      <c r="Z576" s="63" t="e">
        <f t="shared" ca="1" si="67"/>
        <v>#N/A</v>
      </c>
      <c r="AA576" s="63" t="e">
        <f t="shared" ca="1" si="68"/>
        <v>#N/A</v>
      </c>
      <c r="AB576" s="3" t="e">
        <f t="shared" ca="1" si="69"/>
        <v>#N/A</v>
      </c>
    </row>
    <row r="577" spans="7:28">
      <c r="G577" t="e">
        <f t="shared" ca="1" si="63"/>
        <v>#N/A</v>
      </c>
      <c r="H577" t="e">
        <f t="shared" ca="1" si="64"/>
        <v>#N/A</v>
      </c>
      <c r="I577" t="e">
        <f ca="1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W577" s="2">
        <f t="shared" ca="1" si="65"/>
        <v>0</v>
      </c>
      <c r="X577">
        <f t="shared" ca="1" si="66"/>
        <v>0</v>
      </c>
      <c r="Z577" s="63" t="e">
        <f t="shared" ca="1" si="67"/>
        <v>#N/A</v>
      </c>
      <c r="AA577" s="63" t="e">
        <f t="shared" ca="1" si="68"/>
        <v>#N/A</v>
      </c>
      <c r="AB577" s="3" t="e">
        <f t="shared" ca="1" si="69"/>
        <v>#N/A</v>
      </c>
    </row>
    <row r="578" spans="7:28">
      <c r="G578" t="e">
        <f t="shared" ca="1" si="63"/>
        <v>#N/A</v>
      </c>
      <c r="H578" t="e">
        <f t="shared" ca="1" si="64"/>
        <v>#N/A</v>
      </c>
      <c r="I578" t="e">
        <f ca="1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W578" s="2">
        <f t="shared" ca="1" si="65"/>
        <v>0</v>
      </c>
      <c r="X578">
        <f t="shared" ca="1" si="66"/>
        <v>0</v>
      </c>
      <c r="Z578" s="63" t="e">
        <f t="shared" ca="1" si="67"/>
        <v>#N/A</v>
      </c>
      <c r="AA578" s="63" t="e">
        <f t="shared" ca="1" si="68"/>
        <v>#N/A</v>
      </c>
      <c r="AB578" s="3" t="e">
        <f t="shared" ca="1" si="69"/>
        <v>#N/A</v>
      </c>
    </row>
    <row r="579" spans="7:28">
      <c r="G579" t="e">
        <f t="shared" ca="1" si="63"/>
        <v>#N/A</v>
      </c>
      <c r="H579" t="e">
        <f t="shared" ca="1" si="64"/>
        <v>#N/A</v>
      </c>
      <c r="I579" t="e">
        <f ca="1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W579" s="2">
        <f t="shared" ca="1" si="65"/>
        <v>0</v>
      </c>
      <c r="X579">
        <f t="shared" ca="1" si="66"/>
        <v>0</v>
      </c>
      <c r="Z579" s="63" t="e">
        <f t="shared" ca="1" si="67"/>
        <v>#N/A</v>
      </c>
      <c r="AA579" s="63" t="e">
        <f t="shared" ca="1" si="68"/>
        <v>#N/A</v>
      </c>
      <c r="AB579" s="3" t="e">
        <f t="shared" ca="1" si="69"/>
        <v>#N/A</v>
      </c>
    </row>
    <row r="580" spans="7:28">
      <c r="G580" t="e">
        <f t="shared" ca="1" si="63"/>
        <v>#N/A</v>
      </c>
      <c r="H580" t="e">
        <f t="shared" ca="1" si="64"/>
        <v>#N/A</v>
      </c>
      <c r="I580" t="e">
        <f ca="1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W580" s="2">
        <f t="shared" ca="1" si="65"/>
        <v>0</v>
      </c>
      <c r="X580">
        <f t="shared" ca="1" si="66"/>
        <v>0</v>
      </c>
      <c r="Z580" s="63" t="e">
        <f t="shared" ca="1" si="67"/>
        <v>#N/A</v>
      </c>
      <c r="AA580" s="63" t="e">
        <f t="shared" ca="1" si="68"/>
        <v>#N/A</v>
      </c>
      <c r="AB580" s="3" t="e">
        <f t="shared" ca="1" si="69"/>
        <v>#N/A</v>
      </c>
    </row>
    <row r="581" spans="7:28">
      <c r="G581" t="e">
        <f t="shared" ca="1" si="63"/>
        <v>#N/A</v>
      </c>
      <c r="H581" t="e">
        <f t="shared" ca="1" si="64"/>
        <v>#N/A</v>
      </c>
      <c r="I581" t="e">
        <f ca="1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W581" s="2">
        <f t="shared" ca="1" si="65"/>
        <v>0</v>
      </c>
      <c r="X581">
        <f t="shared" ca="1" si="66"/>
        <v>0</v>
      </c>
      <c r="Z581" s="63" t="e">
        <f t="shared" ca="1" si="67"/>
        <v>#N/A</v>
      </c>
      <c r="AA581" s="63" t="e">
        <f t="shared" ca="1" si="68"/>
        <v>#N/A</v>
      </c>
      <c r="AB581" s="3" t="e">
        <f t="shared" ca="1" si="69"/>
        <v>#N/A</v>
      </c>
    </row>
    <row r="582" spans="7:28">
      <c r="G582" t="e">
        <f t="shared" ca="1" si="63"/>
        <v>#N/A</v>
      </c>
      <c r="H582" t="e">
        <f t="shared" ca="1" si="64"/>
        <v>#N/A</v>
      </c>
      <c r="I582" t="e">
        <f ca="1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W582" s="2">
        <f t="shared" ca="1" si="65"/>
        <v>0</v>
      </c>
      <c r="X582">
        <f t="shared" ca="1" si="66"/>
        <v>0</v>
      </c>
      <c r="Z582" s="63" t="e">
        <f t="shared" ca="1" si="67"/>
        <v>#N/A</v>
      </c>
      <c r="AA582" s="63" t="e">
        <f t="shared" ca="1" si="68"/>
        <v>#N/A</v>
      </c>
      <c r="AB582" s="3" t="e">
        <f t="shared" ca="1" si="69"/>
        <v>#N/A</v>
      </c>
    </row>
    <row r="583" spans="7:28">
      <c r="G583" t="e">
        <f t="shared" ca="1" si="63"/>
        <v>#N/A</v>
      </c>
      <c r="H583" t="e">
        <f t="shared" ca="1" si="64"/>
        <v>#N/A</v>
      </c>
      <c r="I583" t="e">
        <f ca="1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W583" s="2">
        <f t="shared" ca="1" si="65"/>
        <v>0</v>
      </c>
      <c r="X583">
        <f t="shared" ca="1" si="66"/>
        <v>0</v>
      </c>
      <c r="Z583" s="63" t="e">
        <f t="shared" ca="1" si="67"/>
        <v>#N/A</v>
      </c>
      <c r="AA583" s="63" t="e">
        <f t="shared" ca="1" si="68"/>
        <v>#N/A</v>
      </c>
      <c r="AB583" s="3" t="e">
        <f t="shared" ca="1" si="69"/>
        <v>#N/A</v>
      </c>
    </row>
    <row r="584" spans="7:28">
      <c r="G584" t="e">
        <f t="shared" ca="1" si="63"/>
        <v>#N/A</v>
      </c>
      <c r="H584" t="e">
        <f t="shared" ca="1" si="64"/>
        <v>#N/A</v>
      </c>
      <c r="I584" t="e">
        <f ca="1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W584" s="2">
        <f t="shared" ca="1" si="65"/>
        <v>0</v>
      </c>
      <c r="X584">
        <f t="shared" ca="1" si="66"/>
        <v>0</v>
      </c>
      <c r="Z584" s="63" t="e">
        <f t="shared" ca="1" si="67"/>
        <v>#N/A</v>
      </c>
      <c r="AA584" s="63" t="e">
        <f t="shared" ca="1" si="68"/>
        <v>#N/A</v>
      </c>
      <c r="AB584" s="3" t="e">
        <f t="shared" ca="1" si="69"/>
        <v>#N/A</v>
      </c>
    </row>
    <row r="585" spans="7:28">
      <c r="G585" t="e">
        <f t="shared" ca="1" si="63"/>
        <v>#N/A</v>
      </c>
      <c r="H585" t="e">
        <f t="shared" ca="1" si="64"/>
        <v>#N/A</v>
      </c>
      <c r="I585" t="e">
        <f ca="1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W585" s="2">
        <f t="shared" ca="1" si="65"/>
        <v>0</v>
      </c>
      <c r="X585">
        <f t="shared" ca="1" si="66"/>
        <v>0</v>
      </c>
      <c r="Z585" s="63" t="e">
        <f t="shared" ca="1" si="67"/>
        <v>#N/A</v>
      </c>
      <c r="AA585" s="63" t="e">
        <f t="shared" ca="1" si="68"/>
        <v>#N/A</v>
      </c>
      <c r="AB585" s="3" t="e">
        <f t="shared" ca="1" si="69"/>
        <v>#N/A</v>
      </c>
    </row>
    <row r="586" spans="7:28">
      <c r="G586" t="e">
        <f t="shared" ca="1" si="63"/>
        <v>#N/A</v>
      </c>
      <c r="H586" t="e">
        <f t="shared" ca="1" si="64"/>
        <v>#N/A</v>
      </c>
      <c r="I586" t="e">
        <f ca="1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W586" s="2">
        <f t="shared" ca="1" si="65"/>
        <v>0</v>
      </c>
      <c r="X586">
        <f t="shared" ca="1" si="66"/>
        <v>0</v>
      </c>
      <c r="Z586" s="63" t="e">
        <f t="shared" ca="1" si="67"/>
        <v>#N/A</v>
      </c>
      <c r="AA586" s="63" t="e">
        <f t="shared" ca="1" si="68"/>
        <v>#N/A</v>
      </c>
      <c r="AB586" s="3" t="e">
        <f t="shared" ca="1" si="69"/>
        <v>#N/A</v>
      </c>
    </row>
    <row r="587" spans="7:28">
      <c r="G587" t="e">
        <f t="shared" ca="1" si="63"/>
        <v>#N/A</v>
      </c>
      <c r="H587" t="e">
        <f t="shared" ca="1" si="64"/>
        <v>#N/A</v>
      </c>
      <c r="I587" t="e">
        <f ca="1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W587" s="2">
        <f t="shared" ca="1" si="65"/>
        <v>0</v>
      </c>
      <c r="X587">
        <f t="shared" ca="1" si="66"/>
        <v>0</v>
      </c>
      <c r="Z587" s="63" t="e">
        <f t="shared" ca="1" si="67"/>
        <v>#N/A</v>
      </c>
      <c r="AA587" s="63" t="e">
        <f t="shared" ca="1" si="68"/>
        <v>#N/A</v>
      </c>
      <c r="AB587" s="3" t="e">
        <f t="shared" ca="1" si="69"/>
        <v>#N/A</v>
      </c>
    </row>
    <row r="588" spans="7:28">
      <c r="G588" t="e">
        <f t="shared" ca="1" si="63"/>
        <v>#N/A</v>
      </c>
      <c r="H588" t="e">
        <f t="shared" ca="1" si="64"/>
        <v>#N/A</v>
      </c>
      <c r="I588" t="e">
        <f ca="1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W588" s="2">
        <f t="shared" ca="1" si="65"/>
        <v>0</v>
      </c>
      <c r="X588">
        <f t="shared" ca="1" si="66"/>
        <v>0</v>
      </c>
      <c r="Z588" s="63" t="e">
        <f t="shared" ca="1" si="67"/>
        <v>#N/A</v>
      </c>
      <c r="AA588" s="63" t="e">
        <f t="shared" ca="1" si="68"/>
        <v>#N/A</v>
      </c>
      <c r="AB588" s="3" t="e">
        <f t="shared" ca="1" si="69"/>
        <v>#N/A</v>
      </c>
    </row>
    <row r="589" spans="7:28">
      <c r="G589" t="e">
        <f t="shared" ca="1" si="63"/>
        <v>#N/A</v>
      </c>
      <c r="H589" t="e">
        <f t="shared" ca="1" si="64"/>
        <v>#N/A</v>
      </c>
      <c r="I589" t="e">
        <f ca="1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W589" s="2">
        <f t="shared" ca="1" si="65"/>
        <v>0</v>
      </c>
      <c r="X589">
        <f t="shared" ca="1" si="66"/>
        <v>0</v>
      </c>
      <c r="Z589" s="63" t="e">
        <f t="shared" ca="1" si="67"/>
        <v>#N/A</v>
      </c>
      <c r="AA589" s="63" t="e">
        <f t="shared" ca="1" si="68"/>
        <v>#N/A</v>
      </c>
      <c r="AB589" s="3" t="e">
        <f t="shared" ca="1" si="69"/>
        <v>#N/A</v>
      </c>
    </row>
    <row r="590" spans="7:28">
      <c r="G590" t="e">
        <f t="shared" ca="1" si="63"/>
        <v>#N/A</v>
      </c>
      <c r="H590" t="e">
        <f t="shared" ca="1" si="64"/>
        <v>#N/A</v>
      </c>
      <c r="I590" t="e">
        <f ca="1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W590" s="2">
        <f t="shared" ca="1" si="65"/>
        <v>0</v>
      </c>
      <c r="X590">
        <f t="shared" ca="1" si="66"/>
        <v>0</v>
      </c>
      <c r="Z590" s="63" t="e">
        <f t="shared" ca="1" si="67"/>
        <v>#N/A</v>
      </c>
      <c r="AA590" s="63" t="e">
        <f t="shared" ca="1" si="68"/>
        <v>#N/A</v>
      </c>
      <c r="AB590" s="3" t="e">
        <f t="shared" ca="1" si="69"/>
        <v>#N/A</v>
      </c>
    </row>
    <row r="591" spans="7:28">
      <c r="G591" t="e">
        <f t="shared" ca="1" si="63"/>
        <v>#N/A</v>
      </c>
      <c r="H591" t="e">
        <f t="shared" ca="1" si="64"/>
        <v>#N/A</v>
      </c>
      <c r="I591" t="e">
        <f ca="1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W591" s="2">
        <f t="shared" ca="1" si="65"/>
        <v>0</v>
      </c>
      <c r="X591">
        <f t="shared" ca="1" si="66"/>
        <v>0</v>
      </c>
      <c r="Z591" s="63" t="e">
        <f t="shared" ca="1" si="67"/>
        <v>#N/A</v>
      </c>
      <c r="AA591" s="63" t="e">
        <f t="shared" ca="1" si="68"/>
        <v>#N/A</v>
      </c>
      <c r="AB591" s="3" t="e">
        <f t="shared" ca="1" si="69"/>
        <v>#N/A</v>
      </c>
    </row>
    <row r="592" spans="7:28">
      <c r="G592" t="e">
        <f t="shared" ca="1" si="63"/>
        <v>#N/A</v>
      </c>
      <c r="H592" t="e">
        <f t="shared" ca="1" si="64"/>
        <v>#N/A</v>
      </c>
      <c r="I592" t="e">
        <f ca="1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W592" s="2">
        <f t="shared" ca="1" si="65"/>
        <v>0</v>
      </c>
      <c r="X592">
        <f t="shared" ca="1" si="66"/>
        <v>0</v>
      </c>
      <c r="Z592" s="63" t="e">
        <f t="shared" ca="1" si="67"/>
        <v>#N/A</v>
      </c>
      <c r="AA592" s="63" t="e">
        <f t="shared" ca="1" si="68"/>
        <v>#N/A</v>
      </c>
      <c r="AB592" s="3" t="e">
        <f t="shared" ca="1" si="69"/>
        <v>#N/A</v>
      </c>
    </row>
    <row r="593" spans="7:28">
      <c r="G593" t="e">
        <f t="shared" ca="1" si="63"/>
        <v>#N/A</v>
      </c>
      <c r="H593" t="e">
        <f t="shared" ca="1" si="64"/>
        <v>#N/A</v>
      </c>
      <c r="I593" t="e">
        <f ca="1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W593" s="2">
        <f t="shared" ca="1" si="65"/>
        <v>0</v>
      </c>
      <c r="X593">
        <f t="shared" ca="1" si="66"/>
        <v>0</v>
      </c>
      <c r="Z593" s="63" t="e">
        <f t="shared" ca="1" si="67"/>
        <v>#N/A</v>
      </c>
      <c r="AA593" s="63" t="e">
        <f t="shared" ca="1" si="68"/>
        <v>#N/A</v>
      </c>
      <c r="AB593" s="3" t="e">
        <f t="shared" ca="1" si="69"/>
        <v>#N/A</v>
      </c>
    </row>
    <row r="594" spans="7:28">
      <c r="G594" t="e">
        <f t="shared" ca="1" si="63"/>
        <v>#N/A</v>
      </c>
      <c r="H594" t="e">
        <f t="shared" ca="1" si="64"/>
        <v>#N/A</v>
      </c>
      <c r="I594" t="e">
        <f ca="1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W594" s="2">
        <f t="shared" ca="1" si="65"/>
        <v>0</v>
      </c>
      <c r="X594">
        <f t="shared" ca="1" si="66"/>
        <v>0</v>
      </c>
      <c r="Z594" s="63" t="e">
        <f t="shared" ca="1" si="67"/>
        <v>#N/A</v>
      </c>
      <c r="AA594" s="63" t="e">
        <f t="shared" ca="1" si="68"/>
        <v>#N/A</v>
      </c>
      <c r="AB594" s="3" t="e">
        <f t="shared" ca="1" si="69"/>
        <v>#N/A</v>
      </c>
    </row>
    <row r="595" spans="7:28">
      <c r="G595" t="e">
        <f t="shared" ca="1" si="63"/>
        <v>#N/A</v>
      </c>
      <c r="H595" t="e">
        <f t="shared" ca="1" si="64"/>
        <v>#N/A</v>
      </c>
      <c r="I595" t="e">
        <f ca="1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W595" s="2">
        <f t="shared" ca="1" si="65"/>
        <v>0</v>
      </c>
      <c r="X595">
        <f t="shared" ca="1" si="66"/>
        <v>0</v>
      </c>
      <c r="Z595" s="63" t="e">
        <f t="shared" ca="1" si="67"/>
        <v>#N/A</v>
      </c>
      <c r="AA595" s="63" t="e">
        <f t="shared" ca="1" si="68"/>
        <v>#N/A</v>
      </c>
      <c r="AB595" s="3" t="e">
        <f t="shared" ca="1" si="69"/>
        <v>#N/A</v>
      </c>
    </row>
    <row r="596" spans="7:28">
      <c r="G596" t="e">
        <f t="shared" ca="1" si="63"/>
        <v>#N/A</v>
      </c>
      <c r="H596" t="e">
        <f t="shared" ca="1" si="64"/>
        <v>#N/A</v>
      </c>
      <c r="I596" t="e">
        <f ca="1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W596" s="2">
        <f t="shared" ca="1" si="65"/>
        <v>0</v>
      </c>
      <c r="X596">
        <f t="shared" ca="1" si="66"/>
        <v>0</v>
      </c>
      <c r="Z596" s="63" t="e">
        <f t="shared" ca="1" si="67"/>
        <v>#N/A</v>
      </c>
      <c r="AA596" s="63" t="e">
        <f t="shared" ca="1" si="68"/>
        <v>#N/A</v>
      </c>
      <c r="AB596" s="3" t="e">
        <f t="shared" ca="1" si="69"/>
        <v>#N/A</v>
      </c>
    </row>
    <row r="597" spans="7:28">
      <c r="G597" t="e">
        <f t="shared" ca="1" si="63"/>
        <v>#N/A</v>
      </c>
      <c r="H597" t="e">
        <f t="shared" ca="1" si="64"/>
        <v>#N/A</v>
      </c>
      <c r="I597" t="e">
        <f ca="1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W597" s="2">
        <f t="shared" ca="1" si="65"/>
        <v>0</v>
      </c>
      <c r="X597">
        <f t="shared" ca="1" si="66"/>
        <v>0</v>
      </c>
      <c r="Z597" s="63" t="e">
        <f t="shared" ca="1" si="67"/>
        <v>#N/A</v>
      </c>
      <c r="AA597" s="63" t="e">
        <f t="shared" ca="1" si="68"/>
        <v>#N/A</v>
      </c>
      <c r="AB597" s="3" t="e">
        <f t="shared" ca="1" si="69"/>
        <v>#N/A</v>
      </c>
    </row>
    <row r="598" spans="7:28">
      <c r="G598" t="e">
        <f t="shared" ca="1" si="63"/>
        <v>#N/A</v>
      </c>
      <c r="H598" t="e">
        <f t="shared" ca="1" si="64"/>
        <v>#N/A</v>
      </c>
      <c r="I598" t="e">
        <f ca="1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W598" s="2">
        <f t="shared" ca="1" si="65"/>
        <v>0</v>
      </c>
      <c r="X598">
        <f t="shared" ca="1" si="66"/>
        <v>0</v>
      </c>
      <c r="Z598" s="63" t="e">
        <f t="shared" ca="1" si="67"/>
        <v>#N/A</v>
      </c>
      <c r="AA598" s="63" t="e">
        <f t="shared" ca="1" si="68"/>
        <v>#N/A</v>
      </c>
      <c r="AB598" s="3" t="e">
        <f t="shared" ca="1" si="69"/>
        <v>#N/A</v>
      </c>
    </row>
    <row r="599" spans="7:28">
      <c r="G599" t="e">
        <f t="shared" ca="1" si="63"/>
        <v>#N/A</v>
      </c>
      <c r="H599" t="e">
        <f t="shared" ca="1" si="64"/>
        <v>#N/A</v>
      </c>
      <c r="I599" t="e">
        <f ca="1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W599" s="2">
        <f t="shared" ca="1" si="65"/>
        <v>0</v>
      </c>
      <c r="X599">
        <f t="shared" ca="1" si="66"/>
        <v>0</v>
      </c>
      <c r="Z599" s="63" t="e">
        <f t="shared" ca="1" si="67"/>
        <v>#N/A</v>
      </c>
      <c r="AA599" s="63" t="e">
        <f t="shared" ca="1" si="68"/>
        <v>#N/A</v>
      </c>
      <c r="AB599" s="3" t="e">
        <f t="shared" ca="1" si="69"/>
        <v>#N/A</v>
      </c>
    </row>
    <row r="600" spans="7:28">
      <c r="G600" t="e">
        <f t="shared" ca="1" si="63"/>
        <v>#N/A</v>
      </c>
      <c r="H600" t="e">
        <f t="shared" ca="1" si="64"/>
        <v>#N/A</v>
      </c>
      <c r="I600" t="e">
        <f ca="1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W600" s="2">
        <f t="shared" ca="1" si="65"/>
        <v>0</v>
      </c>
      <c r="X600">
        <f t="shared" ca="1" si="66"/>
        <v>0</v>
      </c>
      <c r="Z600" s="63" t="e">
        <f t="shared" ca="1" si="67"/>
        <v>#N/A</v>
      </c>
      <c r="AA600" s="63" t="e">
        <f t="shared" ca="1" si="68"/>
        <v>#N/A</v>
      </c>
      <c r="AB600" s="3" t="e">
        <f t="shared" ca="1" si="69"/>
        <v>#N/A</v>
      </c>
    </row>
    <row r="601" spans="7:28">
      <c r="G601" t="e">
        <f t="shared" ca="1" si="63"/>
        <v>#N/A</v>
      </c>
      <c r="H601" t="e">
        <f t="shared" ca="1" si="64"/>
        <v>#N/A</v>
      </c>
      <c r="I601" t="e">
        <f ca="1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W601" s="2">
        <f t="shared" ca="1" si="65"/>
        <v>0</v>
      </c>
      <c r="X601">
        <f t="shared" ca="1" si="66"/>
        <v>0</v>
      </c>
      <c r="Z601" s="63" t="e">
        <f t="shared" ca="1" si="67"/>
        <v>#N/A</v>
      </c>
      <c r="AA601" s="63" t="e">
        <f t="shared" ca="1" si="68"/>
        <v>#N/A</v>
      </c>
      <c r="AB601" s="3" t="e">
        <f t="shared" ca="1" si="69"/>
        <v>#N/A</v>
      </c>
    </row>
    <row r="602" spans="7:28">
      <c r="G602" t="e">
        <f t="shared" ca="1" si="63"/>
        <v>#N/A</v>
      </c>
      <c r="H602" t="e">
        <f t="shared" ca="1" si="64"/>
        <v>#N/A</v>
      </c>
      <c r="I602" t="e">
        <f ca="1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W602" s="2">
        <f t="shared" ca="1" si="65"/>
        <v>0</v>
      </c>
      <c r="X602">
        <f t="shared" ca="1" si="66"/>
        <v>0</v>
      </c>
      <c r="Z602" s="63" t="e">
        <f t="shared" ca="1" si="67"/>
        <v>#N/A</v>
      </c>
      <c r="AA602" s="63" t="e">
        <f t="shared" ca="1" si="68"/>
        <v>#N/A</v>
      </c>
      <c r="AB602" s="3" t="e">
        <f t="shared" ca="1" si="69"/>
        <v>#N/A</v>
      </c>
    </row>
    <row r="603" spans="7:28">
      <c r="G603" t="e">
        <f t="shared" ca="1" si="63"/>
        <v>#N/A</v>
      </c>
      <c r="H603" t="e">
        <f t="shared" ca="1" si="64"/>
        <v>#N/A</v>
      </c>
      <c r="I603" t="e">
        <f ca="1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W603" s="2">
        <f t="shared" ca="1" si="65"/>
        <v>0</v>
      </c>
      <c r="X603">
        <f t="shared" ca="1" si="66"/>
        <v>0</v>
      </c>
      <c r="Z603" s="63" t="e">
        <f t="shared" ca="1" si="67"/>
        <v>#N/A</v>
      </c>
      <c r="AA603" s="63" t="e">
        <f t="shared" ca="1" si="68"/>
        <v>#N/A</v>
      </c>
      <c r="AB603" s="3" t="e">
        <f t="shared" ca="1" si="69"/>
        <v>#N/A</v>
      </c>
    </row>
    <row r="604" spans="7:28">
      <c r="G604" t="e">
        <f t="shared" ca="1" si="63"/>
        <v>#N/A</v>
      </c>
      <c r="H604" t="e">
        <f t="shared" ca="1" si="64"/>
        <v>#N/A</v>
      </c>
      <c r="I604" t="e">
        <f ca="1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W604" s="2">
        <f t="shared" ca="1" si="65"/>
        <v>0</v>
      </c>
      <c r="X604">
        <f t="shared" ca="1" si="66"/>
        <v>0</v>
      </c>
      <c r="Z604" s="63" t="e">
        <f t="shared" ca="1" si="67"/>
        <v>#N/A</v>
      </c>
      <c r="AA604" s="63" t="e">
        <f t="shared" ca="1" si="68"/>
        <v>#N/A</v>
      </c>
      <c r="AB604" s="3" t="e">
        <f t="shared" ca="1" si="69"/>
        <v>#N/A</v>
      </c>
    </row>
    <row r="605" spans="7:28">
      <c r="G605" t="e">
        <f t="shared" ca="1" si="63"/>
        <v>#N/A</v>
      </c>
      <c r="H605" t="e">
        <f t="shared" ca="1" si="64"/>
        <v>#N/A</v>
      </c>
      <c r="I605" t="e">
        <f ca="1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W605" s="2">
        <f t="shared" ca="1" si="65"/>
        <v>0</v>
      </c>
      <c r="X605">
        <f t="shared" ca="1" si="66"/>
        <v>0</v>
      </c>
      <c r="Z605" s="63" t="e">
        <f t="shared" ca="1" si="67"/>
        <v>#N/A</v>
      </c>
      <c r="AA605" s="63" t="e">
        <f t="shared" ca="1" si="68"/>
        <v>#N/A</v>
      </c>
      <c r="AB605" s="3" t="e">
        <f t="shared" ca="1" si="69"/>
        <v>#N/A</v>
      </c>
    </row>
    <row r="606" spans="7:28">
      <c r="G606" t="e">
        <f t="shared" ca="1" si="63"/>
        <v>#N/A</v>
      </c>
      <c r="H606" t="e">
        <f t="shared" ca="1" si="64"/>
        <v>#N/A</v>
      </c>
      <c r="I606" t="e">
        <f ca="1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W606" s="2">
        <f t="shared" ca="1" si="65"/>
        <v>0</v>
      </c>
      <c r="X606">
        <f t="shared" ca="1" si="66"/>
        <v>0</v>
      </c>
      <c r="Z606" s="63" t="e">
        <f t="shared" ca="1" si="67"/>
        <v>#N/A</v>
      </c>
      <c r="AA606" s="63" t="e">
        <f t="shared" ca="1" si="68"/>
        <v>#N/A</v>
      </c>
      <c r="AB606" s="3" t="e">
        <f t="shared" ca="1" si="69"/>
        <v>#N/A</v>
      </c>
    </row>
    <row r="607" spans="7:28">
      <c r="G607" t="e">
        <f t="shared" ca="1" si="63"/>
        <v>#N/A</v>
      </c>
      <c r="H607" t="e">
        <f t="shared" ca="1" si="64"/>
        <v>#N/A</v>
      </c>
      <c r="I607" t="e">
        <f ca="1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W607" s="2">
        <f t="shared" ca="1" si="65"/>
        <v>0</v>
      </c>
      <c r="X607">
        <f t="shared" ca="1" si="66"/>
        <v>0</v>
      </c>
      <c r="Z607" s="63" t="e">
        <f t="shared" ca="1" si="67"/>
        <v>#N/A</v>
      </c>
      <c r="AA607" s="63" t="e">
        <f t="shared" ca="1" si="68"/>
        <v>#N/A</v>
      </c>
      <c r="AB607" s="3" t="e">
        <f t="shared" ca="1" si="69"/>
        <v>#N/A</v>
      </c>
    </row>
    <row r="608" spans="7:28">
      <c r="G608" t="e">
        <f t="shared" ca="1" si="63"/>
        <v>#N/A</v>
      </c>
      <c r="H608" t="e">
        <f t="shared" ca="1" si="64"/>
        <v>#N/A</v>
      </c>
      <c r="I608" t="e">
        <f ca="1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W608" s="2">
        <f t="shared" ca="1" si="65"/>
        <v>0</v>
      </c>
      <c r="X608">
        <f t="shared" ca="1" si="66"/>
        <v>0</v>
      </c>
      <c r="Z608" s="63" t="e">
        <f t="shared" ca="1" si="67"/>
        <v>#N/A</v>
      </c>
      <c r="AA608" s="63" t="e">
        <f t="shared" ca="1" si="68"/>
        <v>#N/A</v>
      </c>
      <c r="AB608" s="3" t="e">
        <f t="shared" ca="1" si="69"/>
        <v>#N/A</v>
      </c>
    </row>
    <row r="609" spans="7:28">
      <c r="G609" t="e">
        <f t="shared" ca="1" si="63"/>
        <v>#N/A</v>
      </c>
      <c r="H609" t="e">
        <f t="shared" ca="1" si="64"/>
        <v>#N/A</v>
      </c>
      <c r="I609" t="e">
        <f ca="1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W609" s="2">
        <f t="shared" ca="1" si="65"/>
        <v>0</v>
      </c>
      <c r="X609">
        <f t="shared" ca="1" si="66"/>
        <v>0</v>
      </c>
      <c r="Z609" s="63" t="e">
        <f t="shared" ca="1" si="67"/>
        <v>#N/A</v>
      </c>
      <c r="AA609" s="63" t="e">
        <f t="shared" ca="1" si="68"/>
        <v>#N/A</v>
      </c>
      <c r="AB609" s="3" t="e">
        <f t="shared" ca="1" si="69"/>
        <v>#N/A</v>
      </c>
    </row>
    <row r="610" spans="7:28">
      <c r="G610" t="e">
        <f t="shared" ca="1" si="63"/>
        <v>#N/A</v>
      </c>
      <c r="H610" t="e">
        <f t="shared" ca="1" si="64"/>
        <v>#N/A</v>
      </c>
      <c r="I610" t="e">
        <f ca="1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W610" s="2">
        <f t="shared" ca="1" si="65"/>
        <v>0</v>
      </c>
      <c r="X610">
        <f t="shared" ca="1" si="66"/>
        <v>0</v>
      </c>
      <c r="Z610" s="63" t="e">
        <f t="shared" ca="1" si="67"/>
        <v>#N/A</v>
      </c>
      <c r="AA610" s="63" t="e">
        <f t="shared" ca="1" si="68"/>
        <v>#N/A</v>
      </c>
      <c r="AB610" s="3" t="e">
        <f t="shared" ca="1" si="69"/>
        <v>#N/A</v>
      </c>
    </row>
    <row r="611" spans="7:28">
      <c r="G611" t="e">
        <f t="shared" ca="1" si="63"/>
        <v>#N/A</v>
      </c>
      <c r="H611" t="e">
        <f t="shared" ca="1" si="64"/>
        <v>#N/A</v>
      </c>
      <c r="I611" t="e">
        <f ca="1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W611" s="2">
        <f t="shared" ca="1" si="65"/>
        <v>0</v>
      </c>
      <c r="X611">
        <f t="shared" ca="1" si="66"/>
        <v>0</v>
      </c>
      <c r="Z611" s="63" t="e">
        <f t="shared" ca="1" si="67"/>
        <v>#N/A</v>
      </c>
      <c r="AA611" s="63" t="e">
        <f t="shared" ca="1" si="68"/>
        <v>#N/A</v>
      </c>
      <c r="AB611" s="3" t="e">
        <f t="shared" ca="1" si="69"/>
        <v>#N/A</v>
      </c>
    </row>
    <row r="612" spans="7:28">
      <c r="G612" t="e">
        <f t="shared" ca="1" si="63"/>
        <v>#N/A</v>
      </c>
      <c r="H612" t="e">
        <f t="shared" ca="1" si="64"/>
        <v>#N/A</v>
      </c>
      <c r="I612" t="e">
        <f ca="1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W612" s="2">
        <f t="shared" ca="1" si="65"/>
        <v>0</v>
      </c>
      <c r="X612">
        <f t="shared" ca="1" si="66"/>
        <v>0</v>
      </c>
      <c r="Z612" s="63" t="e">
        <f t="shared" ca="1" si="67"/>
        <v>#N/A</v>
      </c>
      <c r="AA612" s="63" t="e">
        <f t="shared" ca="1" si="68"/>
        <v>#N/A</v>
      </c>
      <c r="AB612" s="3" t="e">
        <f t="shared" ca="1" si="69"/>
        <v>#N/A</v>
      </c>
    </row>
    <row r="613" spans="7:28">
      <c r="G613" t="e">
        <f t="shared" ca="1" si="63"/>
        <v>#N/A</v>
      </c>
      <c r="H613" t="e">
        <f t="shared" ca="1" si="64"/>
        <v>#N/A</v>
      </c>
      <c r="I613" t="e">
        <f ca="1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W613" s="2">
        <f t="shared" ca="1" si="65"/>
        <v>0</v>
      </c>
      <c r="X613">
        <f t="shared" ca="1" si="66"/>
        <v>0</v>
      </c>
      <c r="Z613" s="63" t="e">
        <f t="shared" ca="1" si="67"/>
        <v>#N/A</v>
      </c>
      <c r="AA613" s="63" t="e">
        <f t="shared" ca="1" si="68"/>
        <v>#N/A</v>
      </c>
      <c r="AB613" s="3" t="e">
        <f t="shared" ca="1" si="69"/>
        <v>#N/A</v>
      </c>
    </row>
    <row r="614" spans="7:28">
      <c r="G614" t="e">
        <f t="shared" ca="1" si="63"/>
        <v>#N/A</v>
      </c>
      <c r="H614" t="e">
        <f t="shared" ca="1" si="64"/>
        <v>#N/A</v>
      </c>
      <c r="I614" t="e">
        <f ca="1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W614" s="2">
        <f t="shared" ca="1" si="65"/>
        <v>0</v>
      </c>
      <c r="X614">
        <f t="shared" ca="1" si="66"/>
        <v>0</v>
      </c>
      <c r="Z614" s="63" t="e">
        <f t="shared" ca="1" si="67"/>
        <v>#N/A</v>
      </c>
      <c r="AA614" s="63" t="e">
        <f t="shared" ca="1" si="68"/>
        <v>#N/A</v>
      </c>
      <c r="AB614" s="3" t="e">
        <f t="shared" ca="1" si="69"/>
        <v>#N/A</v>
      </c>
    </row>
    <row r="615" spans="7:28">
      <c r="G615" t="e">
        <f t="shared" ca="1" si="63"/>
        <v>#N/A</v>
      </c>
      <c r="H615" t="e">
        <f t="shared" ca="1" si="64"/>
        <v>#N/A</v>
      </c>
      <c r="I615" t="e">
        <f ca="1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W615" s="2">
        <f t="shared" ca="1" si="65"/>
        <v>0</v>
      </c>
      <c r="X615">
        <f t="shared" ca="1" si="66"/>
        <v>0</v>
      </c>
      <c r="Z615" s="63" t="e">
        <f t="shared" ca="1" si="67"/>
        <v>#N/A</v>
      </c>
      <c r="AA615" s="63" t="e">
        <f t="shared" ca="1" si="68"/>
        <v>#N/A</v>
      </c>
      <c r="AB615" s="3" t="e">
        <f t="shared" ca="1" si="69"/>
        <v>#N/A</v>
      </c>
    </row>
    <row r="616" spans="7:28">
      <c r="G616" t="e">
        <f t="shared" ca="1" si="63"/>
        <v>#N/A</v>
      </c>
      <c r="H616" t="e">
        <f t="shared" ca="1" si="64"/>
        <v>#N/A</v>
      </c>
      <c r="I616" t="e">
        <f ca="1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W616" s="2">
        <f t="shared" ca="1" si="65"/>
        <v>0</v>
      </c>
      <c r="X616">
        <f t="shared" ca="1" si="66"/>
        <v>0</v>
      </c>
      <c r="Z616" s="63" t="e">
        <f t="shared" ca="1" si="67"/>
        <v>#N/A</v>
      </c>
      <c r="AA616" s="63" t="e">
        <f t="shared" ca="1" si="68"/>
        <v>#N/A</v>
      </c>
      <c r="AB616" s="3" t="e">
        <f t="shared" ca="1" si="69"/>
        <v>#N/A</v>
      </c>
    </row>
    <row r="617" spans="7:28">
      <c r="G617" t="e">
        <f t="shared" ca="1" si="63"/>
        <v>#N/A</v>
      </c>
      <c r="H617" t="e">
        <f t="shared" ca="1" si="64"/>
        <v>#N/A</v>
      </c>
      <c r="I617" t="e">
        <f ca="1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W617" s="2">
        <f t="shared" ca="1" si="65"/>
        <v>0</v>
      </c>
      <c r="X617">
        <f t="shared" ca="1" si="66"/>
        <v>0</v>
      </c>
      <c r="Z617" s="63" t="e">
        <f t="shared" ca="1" si="67"/>
        <v>#N/A</v>
      </c>
      <c r="AA617" s="63" t="e">
        <f t="shared" ca="1" si="68"/>
        <v>#N/A</v>
      </c>
      <c r="AB617" s="3" t="e">
        <f t="shared" ca="1" si="69"/>
        <v>#N/A</v>
      </c>
    </row>
    <row r="618" spans="7:28">
      <c r="G618" t="e">
        <f t="shared" ca="1" si="63"/>
        <v>#N/A</v>
      </c>
      <c r="H618" t="e">
        <f t="shared" ca="1" si="64"/>
        <v>#N/A</v>
      </c>
      <c r="I618" t="e">
        <f ca="1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W618" s="2">
        <f t="shared" ca="1" si="65"/>
        <v>0</v>
      </c>
      <c r="X618">
        <f t="shared" ca="1" si="66"/>
        <v>0</v>
      </c>
      <c r="Z618" s="63" t="e">
        <f t="shared" ca="1" si="67"/>
        <v>#N/A</v>
      </c>
      <c r="AA618" s="63" t="e">
        <f t="shared" ca="1" si="68"/>
        <v>#N/A</v>
      </c>
      <c r="AB618" s="3" t="e">
        <f t="shared" ca="1" si="69"/>
        <v>#N/A</v>
      </c>
    </row>
    <row r="619" spans="7:28">
      <c r="G619" t="e">
        <f t="shared" ca="1" si="63"/>
        <v>#N/A</v>
      </c>
      <c r="H619" t="e">
        <f t="shared" ca="1" si="64"/>
        <v>#N/A</v>
      </c>
      <c r="I619" t="e">
        <f ca="1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W619" s="2">
        <f t="shared" ca="1" si="65"/>
        <v>0</v>
      </c>
      <c r="X619">
        <f t="shared" ca="1" si="66"/>
        <v>0</v>
      </c>
      <c r="Z619" s="63" t="e">
        <f t="shared" ca="1" si="67"/>
        <v>#N/A</v>
      </c>
      <c r="AA619" s="63" t="e">
        <f t="shared" ca="1" si="68"/>
        <v>#N/A</v>
      </c>
      <c r="AB619" s="3" t="e">
        <f t="shared" ca="1" si="69"/>
        <v>#N/A</v>
      </c>
    </row>
    <row r="620" spans="7:28">
      <c r="G620" t="e">
        <f t="shared" ca="1" si="63"/>
        <v>#N/A</v>
      </c>
      <c r="H620" t="e">
        <f t="shared" ca="1" si="64"/>
        <v>#N/A</v>
      </c>
      <c r="I620" t="e">
        <f ca="1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W620" s="2">
        <f t="shared" ca="1" si="65"/>
        <v>0</v>
      </c>
      <c r="X620">
        <f t="shared" ca="1" si="66"/>
        <v>0</v>
      </c>
      <c r="Z620" s="63" t="e">
        <f t="shared" ca="1" si="67"/>
        <v>#N/A</v>
      </c>
      <c r="AA620" s="63" t="e">
        <f t="shared" ca="1" si="68"/>
        <v>#N/A</v>
      </c>
      <c r="AB620" s="3" t="e">
        <f t="shared" ca="1" si="69"/>
        <v>#N/A</v>
      </c>
    </row>
    <row r="621" spans="7:28">
      <c r="G621" t="e">
        <f t="shared" ca="1" si="63"/>
        <v>#N/A</v>
      </c>
      <c r="H621" t="e">
        <f t="shared" ca="1" si="64"/>
        <v>#N/A</v>
      </c>
      <c r="I621" t="e">
        <f ca="1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W621" s="2">
        <f t="shared" ca="1" si="65"/>
        <v>0</v>
      </c>
      <c r="X621">
        <f t="shared" ca="1" si="66"/>
        <v>0</v>
      </c>
      <c r="Z621" s="63" t="e">
        <f t="shared" ca="1" si="67"/>
        <v>#N/A</v>
      </c>
      <c r="AA621" s="63" t="e">
        <f t="shared" ca="1" si="68"/>
        <v>#N/A</v>
      </c>
      <c r="AB621" s="3" t="e">
        <f t="shared" ca="1" si="69"/>
        <v>#N/A</v>
      </c>
    </row>
    <row r="622" spans="7:28">
      <c r="G622" t="e">
        <f t="shared" ca="1" si="63"/>
        <v>#N/A</v>
      </c>
      <c r="H622" t="e">
        <f t="shared" ca="1" si="64"/>
        <v>#N/A</v>
      </c>
      <c r="I622" t="e">
        <f ca="1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W622" s="2">
        <f t="shared" ca="1" si="65"/>
        <v>0</v>
      </c>
      <c r="X622">
        <f t="shared" ca="1" si="66"/>
        <v>0</v>
      </c>
      <c r="Z622" s="63" t="e">
        <f t="shared" ca="1" si="67"/>
        <v>#N/A</v>
      </c>
      <c r="AA622" s="63" t="e">
        <f t="shared" ca="1" si="68"/>
        <v>#N/A</v>
      </c>
      <c r="AB622" s="3" t="e">
        <f t="shared" ca="1" si="69"/>
        <v>#N/A</v>
      </c>
    </row>
    <row r="623" spans="7:28">
      <c r="G623" t="e">
        <f t="shared" ca="1" si="63"/>
        <v>#N/A</v>
      </c>
      <c r="H623" t="e">
        <f t="shared" ca="1" si="64"/>
        <v>#N/A</v>
      </c>
      <c r="I623" t="e">
        <f ca="1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W623" s="2">
        <f t="shared" ca="1" si="65"/>
        <v>0</v>
      </c>
      <c r="X623">
        <f t="shared" ca="1" si="66"/>
        <v>0</v>
      </c>
      <c r="Z623" s="63" t="e">
        <f t="shared" ca="1" si="67"/>
        <v>#N/A</v>
      </c>
      <c r="AA623" s="63" t="e">
        <f t="shared" ca="1" si="68"/>
        <v>#N/A</v>
      </c>
      <c r="AB623" s="3" t="e">
        <f t="shared" ca="1" si="69"/>
        <v>#N/A</v>
      </c>
    </row>
    <row r="624" spans="7:28">
      <c r="G624" t="e">
        <f t="shared" ca="1" si="63"/>
        <v>#N/A</v>
      </c>
      <c r="H624" t="e">
        <f t="shared" ca="1" si="64"/>
        <v>#N/A</v>
      </c>
      <c r="I624" t="e">
        <f ca="1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W624" s="2">
        <f t="shared" ca="1" si="65"/>
        <v>0</v>
      </c>
      <c r="X624">
        <f t="shared" ca="1" si="66"/>
        <v>0</v>
      </c>
      <c r="Z624" s="63" t="e">
        <f t="shared" ca="1" si="67"/>
        <v>#N/A</v>
      </c>
      <c r="AA624" s="63" t="e">
        <f t="shared" ca="1" si="68"/>
        <v>#N/A</v>
      </c>
      <c r="AB624" s="3" t="e">
        <f t="shared" ca="1" si="69"/>
        <v>#N/A</v>
      </c>
    </row>
    <row r="625" spans="7:28">
      <c r="G625" t="e">
        <f t="shared" ref="G625:G688" ca="1" si="70">IF(I625&lt;$I$4,TRUE,FALSE)</f>
        <v>#N/A</v>
      </c>
      <c r="H625" t="e">
        <f t="shared" ref="H625:H688" ca="1" si="71">AND(IF(I625&gt;($I$3-1),TRUE,FALSE),IF(I625&lt;($I$4+1),TRUE,FALSE))</f>
        <v>#N/A</v>
      </c>
      <c r="I625" t="e">
        <f ca="1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W625" s="2">
        <f t="shared" ref="W625:W688" ca="1" si="72">IFERROR(I625,$W$5)</f>
        <v>0</v>
      </c>
      <c r="X625">
        <f t="shared" ref="X625:X688" ca="1" si="73">IFERROR(N625,0)</f>
        <v>0</v>
      </c>
      <c r="Z625" s="63" t="e">
        <f t="shared" ref="Z625:Z688" ca="1" si="74">J624+L625+M625+N625</f>
        <v>#N/A</v>
      </c>
      <c r="AA625" s="63" t="e">
        <f t="shared" ref="AA625:AA688" ca="1" si="75">J625+K625+Q625</f>
        <v>#N/A</v>
      </c>
      <c r="AB625" s="3" t="e">
        <f t="shared" ref="AB625:AB688" ca="1" si="76">AA625-Z625</f>
        <v>#N/A</v>
      </c>
    </row>
    <row r="626" spans="7:28">
      <c r="G626" t="e">
        <f t="shared" ca="1" si="70"/>
        <v>#N/A</v>
      </c>
      <c r="H626" t="e">
        <f t="shared" ca="1" si="71"/>
        <v>#N/A</v>
      </c>
      <c r="I626" t="e">
        <f ca="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W626" s="2">
        <f t="shared" ca="1" si="72"/>
        <v>0</v>
      </c>
      <c r="X626">
        <f t="shared" ca="1" si="73"/>
        <v>0</v>
      </c>
      <c r="Z626" s="63" t="e">
        <f t="shared" ca="1" si="74"/>
        <v>#N/A</v>
      </c>
      <c r="AA626" s="63" t="e">
        <f t="shared" ca="1" si="75"/>
        <v>#N/A</v>
      </c>
      <c r="AB626" s="3" t="e">
        <f t="shared" ca="1" si="76"/>
        <v>#N/A</v>
      </c>
    </row>
    <row r="627" spans="7:28">
      <c r="G627" t="e">
        <f t="shared" ca="1" si="70"/>
        <v>#N/A</v>
      </c>
      <c r="H627" t="e">
        <f t="shared" ca="1" si="71"/>
        <v>#N/A</v>
      </c>
      <c r="I627" t="e">
        <f ca="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W627" s="2">
        <f t="shared" ca="1" si="72"/>
        <v>0</v>
      </c>
      <c r="X627">
        <f t="shared" ca="1" si="73"/>
        <v>0</v>
      </c>
      <c r="Z627" s="63" t="e">
        <f t="shared" ca="1" si="74"/>
        <v>#N/A</v>
      </c>
      <c r="AA627" s="63" t="e">
        <f t="shared" ca="1" si="75"/>
        <v>#N/A</v>
      </c>
      <c r="AB627" s="3" t="e">
        <f t="shared" ca="1" si="76"/>
        <v>#N/A</v>
      </c>
    </row>
    <row r="628" spans="7:28">
      <c r="G628" t="e">
        <f t="shared" ca="1" si="70"/>
        <v>#N/A</v>
      </c>
      <c r="H628" t="e">
        <f t="shared" ca="1" si="71"/>
        <v>#N/A</v>
      </c>
      <c r="I628" t="e">
        <f ca="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W628" s="2">
        <f t="shared" ca="1" si="72"/>
        <v>0</v>
      </c>
      <c r="X628">
        <f t="shared" ca="1" si="73"/>
        <v>0</v>
      </c>
      <c r="Z628" s="63" t="e">
        <f t="shared" ca="1" si="74"/>
        <v>#N/A</v>
      </c>
      <c r="AA628" s="63" t="e">
        <f t="shared" ca="1" si="75"/>
        <v>#N/A</v>
      </c>
      <c r="AB628" s="3" t="e">
        <f t="shared" ca="1" si="76"/>
        <v>#N/A</v>
      </c>
    </row>
    <row r="629" spans="7:28">
      <c r="G629" t="e">
        <f t="shared" ca="1" si="70"/>
        <v>#N/A</v>
      </c>
      <c r="H629" t="e">
        <f t="shared" ca="1" si="71"/>
        <v>#N/A</v>
      </c>
      <c r="I629" t="e">
        <f ca="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W629" s="2">
        <f t="shared" ca="1" si="72"/>
        <v>0</v>
      </c>
      <c r="X629">
        <f t="shared" ca="1" si="73"/>
        <v>0</v>
      </c>
      <c r="Z629" s="63" t="e">
        <f t="shared" ca="1" si="74"/>
        <v>#N/A</v>
      </c>
      <c r="AA629" s="63" t="e">
        <f t="shared" ca="1" si="75"/>
        <v>#N/A</v>
      </c>
      <c r="AB629" s="3" t="e">
        <f t="shared" ca="1" si="76"/>
        <v>#N/A</v>
      </c>
    </row>
    <row r="630" spans="7:28">
      <c r="G630" t="e">
        <f t="shared" ca="1" si="70"/>
        <v>#N/A</v>
      </c>
      <c r="H630" t="e">
        <f t="shared" ca="1" si="71"/>
        <v>#N/A</v>
      </c>
      <c r="I630" t="e">
        <f ca="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W630" s="2">
        <f t="shared" ca="1" si="72"/>
        <v>0</v>
      </c>
      <c r="X630">
        <f t="shared" ca="1" si="73"/>
        <v>0</v>
      </c>
      <c r="Z630" s="63" t="e">
        <f t="shared" ca="1" si="74"/>
        <v>#N/A</v>
      </c>
      <c r="AA630" s="63" t="e">
        <f t="shared" ca="1" si="75"/>
        <v>#N/A</v>
      </c>
      <c r="AB630" s="3" t="e">
        <f t="shared" ca="1" si="76"/>
        <v>#N/A</v>
      </c>
    </row>
    <row r="631" spans="7:28">
      <c r="G631" t="e">
        <f t="shared" ca="1" si="70"/>
        <v>#N/A</v>
      </c>
      <c r="H631" t="e">
        <f t="shared" ca="1" si="71"/>
        <v>#N/A</v>
      </c>
      <c r="I631" t="e">
        <f ca="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W631" s="2">
        <f t="shared" ca="1" si="72"/>
        <v>0</v>
      </c>
      <c r="X631">
        <f t="shared" ca="1" si="73"/>
        <v>0</v>
      </c>
      <c r="Z631" s="63" t="e">
        <f t="shared" ca="1" si="74"/>
        <v>#N/A</v>
      </c>
      <c r="AA631" s="63" t="e">
        <f t="shared" ca="1" si="75"/>
        <v>#N/A</v>
      </c>
      <c r="AB631" s="3" t="e">
        <f t="shared" ca="1" si="76"/>
        <v>#N/A</v>
      </c>
    </row>
    <row r="632" spans="7:28">
      <c r="G632" t="e">
        <f t="shared" ca="1" si="70"/>
        <v>#N/A</v>
      </c>
      <c r="H632" t="e">
        <f t="shared" ca="1" si="71"/>
        <v>#N/A</v>
      </c>
      <c r="I632" t="e">
        <f ca="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W632" s="2">
        <f t="shared" ca="1" si="72"/>
        <v>0</v>
      </c>
      <c r="X632">
        <f t="shared" ca="1" si="73"/>
        <v>0</v>
      </c>
      <c r="Z632" s="63" t="e">
        <f t="shared" ca="1" si="74"/>
        <v>#N/A</v>
      </c>
      <c r="AA632" s="63" t="e">
        <f t="shared" ca="1" si="75"/>
        <v>#N/A</v>
      </c>
      <c r="AB632" s="3" t="e">
        <f t="shared" ca="1" si="76"/>
        <v>#N/A</v>
      </c>
    </row>
    <row r="633" spans="7:28">
      <c r="G633" t="e">
        <f t="shared" ca="1" si="70"/>
        <v>#N/A</v>
      </c>
      <c r="H633" t="e">
        <f t="shared" ca="1" si="71"/>
        <v>#N/A</v>
      </c>
      <c r="I633" t="e">
        <f ca="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W633" s="2">
        <f t="shared" ca="1" si="72"/>
        <v>0</v>
      </c>
      <c r="X633">
        <f t="shared" ca="1" si="73"/>
        <v>0</v>
      </c>
      <c r="Z633" s="63" t="e">
        <f t="shared" ca="1" si="74"/>
        <v>#N/A</v>
      </c>
      <c r="AA633" s="63" t="e">
        <f t="shared" ca="1" si="75"/>
        <v>#N/A</v>
      </c>
      <c r="AB633" s="3" t="e">
        <f t="shared" ca="1" si="76"/>
        <v>#N/A</v>
      </c>
    </row>
    <row r="634" spans="7:28">
      <c r="G634" t="e">
        <f t="shared" ca="1" si="70"/>
        <v>#N/A</v>
      </c>
      <c r="H634" t="e">
        <f t="shared" ca="1" si="71"/>
        <v>#N/A</v>
      </c>
      <c r="I634" t="e">
        <f ca="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W634" s="2">
        <f t="shared" ca="1" si="72"/>
        <v>0</v>
      </c>
      <c r="X634">
        <f t="shared" ca="1" si="73"/>
        <v>0</v>
      </c>
      <c r="Z634" s="63" t="e">
        <f t="shared" ca="1" si="74"/>
        <v>#N/A</v>
      </c>
      <c r="AA634" s="63" t="e">
        <f t="shared" ca="1" si="75"/>
        <v>#N/A</v>
      </c>
      <c r="AB634" s="3" t="e">
        <f t="shared" ca="1" si="76"/>
        <v>#N/A</v>
      </c>
    </row>
    <row r="635" spans="7:28">
      <c r="G635" t="e">
        <f t="shared" ca="1" si="70"/>
        <v>#N/A</v>
      </c>
      <c r="H635" t="e">
        <f t="shared" ca="1" si="71"/>
        <v>#N/A</v>
      </c>
      <c r="I635" t="e">
        <f ca="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W635" s="2">
        <f t="shared" ca="1" si="72"/>
        <v>0</v>
      </c>
      <c r="X635">
        <f t="shared" ca="1" si="73"/>
        <v>0</v>
      </c>
      <c r="Z635" s="63" t="e">
        <f t="shared" ca="1" si="74"/>
        <v>#N/A</v>
      </c>
      <c r="AA635" s="63" t="e">
        <f t="shared" ca="1" si="75"/>
        <v>#N/A</v>
      </c>
      <c r="AB635" s="3" t="e">
        <f t="shared" ca="1" si="76"/>
        <v>#N/A</v>
      </c>
    </row>
    <row r="636" spans="7:28">
      <c r="G636" t="e">
        <f t="shared" ca="1" si="70"/>
        <v>#N/A</v>
      </c>
      <c r="H636" t="e">
        <f t="shared" ca="1" si="71"/>
        <v>#N/A</v>
      </c>
      <c r="I636" t="e">
        <f ca="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W636" s="2">
        <f t="shared" ca="1" si="72"/>
        <v>0</v>
      </c>
      <c r="X636">
        <f t="shared" ca="1" si="73"/>
        <v>0</v>
      </c>
      <c r="Z636" s="63" t="e">
        <f t="shared" ca="1" si="74"/>
        <v>#N/A</v>
      </c>
      <c r="AA636" s="63" t="e">
        <f t="shared" ca="1" si="75"/>
        <v>#N/A</v>
      </c>
      <c r="AB636" s="3" t="e">
        <f t="shared" ca="1" si="76"/>
        <v>#N/A</v>
      </c>
    </row>
    <row r="637" spans="7:28">
      <c r="G637" t="e">
        <f t="shared" ca="1" si="70"/>
        <v>#N/A</v>
      </c>
      <c r="H637" t="e">
        <f t="shared" ca="1" si="71"/>
        <v>#N/A</v>
      </c>
      <c r="I637" t="e">
        <f ca="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W637" s="2">
        <f t="shared" ca="1" si="72"/>
        <v>0</v>
      </c>
      <c r="X637">
        <f t="shared" ca="1" si="73"/>
        <v>0</v>
      </c>
      <c r="Z637" s="63" t="e">
        <f t="shared" ca="1" si="74"/>
        <v>#N/A</v>
      </c>
      <c r="AA637" s="63" t="e">
        <f t="shared" ca="1" si="75"/>
        <v>#N/A</v>
      </c>
      <c r="AB637" s="3" t="e">
        <f t="shared" ca="1" si="76"/>
        <v>#N/A</v>
      </c>
    </row>
    <row r="638" spans="7:28">
      <c r="G638" t="e">
        <f t="shared" ca="1" si="70"/>
        <v>#N/A</v>
      </c>
      <c r="H638" t="e">
        <f t="shared" ca="1" si="71"/>
        <v>#N/A</v>
      </c>
      <c r="I638" t="e">
        <f ca="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W638" s="2">
        <f t="shared" ca="1" si="72"/>
        <v>0</v>
      </c>
      <c r="X638">
        <f t="shared" ca="1" si="73"/>
        <v>0</v>
      </c>
      <c r="Z638" s="63" t="e">
        <f t="shared" ca="1" si="74"/>
        <v>#N/A</v>
      </c>
      <c r="AA638" s="63" t="e">
        <f t="shared" ca="1" si="75"/>
        <v>#N/A</v>
      </c>
      <c r="AB638" s="3" t="e">
        <f t="shared" ca="1" si="76"/>
        <v>#N/A</v>
      </c>
    </row>
    <row r="639" spans="7:28">
      <c r="G639" t="e">
        <f t="shared" ca="1" si="70"/>
        <v>#N/A</v>
      </c>
      <c r="H639" t="e">
        <f t="shared" ca="1" si="71"/>
        <v>#N/A</v>
      </c>
      <c r="I639" t="e">
        <f ca="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W639" s="2">
        <f t="shared" ca="1" si="72"/>
        <v>0</v>
      </c>
      <c r="X639">
        <f t="shared" ca="1" si="73"/>
        <v>0</v>
      </c>
      <c r="Z639" s="63" t="e">
        <f t="shared" ca="1" si="74"/>
        <v>#N/A</v>
      </c>
      <c r="AA639" s="63" t="e">
        <f t="shared" ca="1" si="75"/>
        <v>#N/A</v>
      </c>
      <c r="AB639" s="3" t="e">
        <f t="shared" ca="1" si="76"/>
        <v>#N/A</v>
      </c>
    </row>
    <row r="640" spans="7:28">
      <c r="G640" t="e">
        <f t="shared" ca="1" si="70"/>
        <v>#N/A</v>
      </c>
      <c r="H640" t="e">
        <f t="shared" ca="1" si="71"/>
        <v>#N/A</v>
      </c>
      <c r="I640" t="e">
        <f ca="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W640" s="2">
        <f t="shared" ca="1" si="72"/>
        <v>0</v>
      </c>
      <c r="X640">
        <f t="shared" ca="1" si="73"/>
        <v>0</v>
      </c>
      <c r="Z640" s="63" t="e">
        <f t="shared" ca="1" si="74"/>
        <v>#N/A</v>
      </c>
      <c r="AA640" s="63" t="e">
        <f t="shared" ca="1" si="75"/>
        <v>#N/A</v>
      </c>
      <c r="AB640" s="3" t="e">
        <f t="shared" ca="1" si="76"/>
        <v>#N/A</v>
      </c>
    </row>
    <row r="641" spans="7:28">
      <c r="G641" t="e">
        <f t="shared" ca="1" si="70"/>
        <v>#N/A</v>
      </c>
      <c r="H641" t="e">
        <f t="shared" ca="1" si="71"/>
        <v>#N/A</v>
      </c>
      <c r="I641" t="e">
        <f ca="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W641" s="2">
        <f t="shared" ca="1" si="72"/>
        <v>0</v>
      </c>
      <c r="X641">
        <f t="shared" ca="1" si="73"/>
        <v>0</v>
      </c>
      <c r="Z641" s="63" t="e">
        <f t="shared" ca="1" si="74"/>
        <v>#N/A</v>
      </c>
      <c r="AA641" s="63" t="e">
        <f t="shared" ca="1" si="75"/>
        <v>#N/A</v>
      </c>
      <c r="AB641" s="3" t="e">
        <f t="shared" ca="1" si="76"/>
        <v>#N/A</v>
      </c>
    </row>
    <row r="642" spans="7:28">
      <c r="G642" t="e">
        <f t="shared" ca="1" si="70"/>
        <v>#N/A</v>
      </c>
      <c r="H642" t="e">
        <f t="shared" ca="1" si="71"/>
        <v>#N/A</v>
      </c>
      <c r="I642" t="e">
        <f ca="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W642" s="2">
        <f t="shared" ca="1" si="72"/>
        <v>0</v>
      </c>
      <c r="X642">
        <f t="shared" ca="1" si="73"/>
        <v>0</v>
      </c>
      <c r="Z642" s="63" t="e">
        <f t="shared" ca="1" si="74"/>
        <v>#N/A</v>
      </c>
      <c r="AA642" s="63" t="e">
        <f t="shared" ca="1" si="75"/>
        <v>#N/A</v>
      </c>
      <c r="AB642" s="3" t="e">
        <f t="shared" ca="1" si="76"/>
        <v>#N/A</v>
      </c>
    </row>
    <row r="643" spans="7:28">
      <c r="G643" t="e">
        <f t="shared" ca="1" si="70"/>
        <v>#N/A</v>
      </c>
      <c r="H643" t="e">
        <f t="shared" ca="1" si="71"/>
        <v>#N/A</v>
      </c>
      <c r="I643" t="e">
        <f ca="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W643" s="2">
        <f t="shared" ca="1" si="72"/>
        <v>0</v>
      </c>
      <c r="X643">
        <f t="shared" ca="1" si="73"/>
        <v>0</v>
      </c>
      <c r="Z643" s="63" t="e">
        <f t="shared" ca="1" si="74"/>
        <v>#N/A</v>
      </c>
      <c r="AA643" s="63" t="e">
        <f t="shared" ca="1" si="75"/>
        <v>#N/A</v>
      </c>
      <c r="AB643" s="3" t="e">
        <f t="shared" ca="1" si="76"/>
        <v>#N/A</v>
      </c>
    </row>
    <row r="644" spans="7:28">
      <c r="G644" t="e">
        <f t="shared" ca="1" si="70"/>
        <v>#N/A</v>
      </c>
      <c r="H644" t="e">
        <f t="shared" ca="1" si="71"/>
        <v>#N/A</v>
      </c>
      <c r="I644" t="e">
        <f ca="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W644" s="2">
        <f t="shared" ca="1" si="72"/>
        <v>0</v>
      </c>
      <c r="X644">
        <f t="shared" ca="1" si="73"/>
        <v>0</v>
      </c>
      <c r="Z644" s="63" t="e">
        <f t="shared" ca="1" si="74"/>
        <v>#N/A</v>
      </c>
      <c r="AA644" s="63" t="e">
        <f t="shared" ca="1" si="75"/>
        <v>#N/A</v>
      </c>
      <c r="AB644" s="3" t="e">
        <f t="shared" ca="1" si="76"/>
        <v>#N/A</v>
      </c>
    </row>
    <row r="645" spans="7:28">
      <c r="G645" t="e">
        <f t="shared" ca="1" si="70"/>
        <v>#N/A</v>
      </c>
      <c r="H645" t="e">
        <f t="shared" ca="1" si="71"/>
        <v>#N/A</v>
      </c>
      <c r="I645" t="e">
        <f ca="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W645" s="2">
        <f t="shared" ca="1" si="72"/>
        <v>0</v>
      </c>
      <c r="X645">
        <f t="shared" ca="1" si="73"/>
        <v>0</v>
      </c>
      <c r="Z645" s="63" t="e">
        <f t="shared" ca="1" si="74"/>
        <v>#N/A</v>
      </c>
      <c r="AA645" s="63" t="e">
        <f t="shared" ca="1" si="75"/>
        <v>#N/A</v>
      </c>
      <c r="AB645" s="3" t="e">
        <f t="shared" ca="1" si="76"/>
        <v>#N/A</v>
      </c>
    </row>
    <row r="646" spans="7:28">
      <c r="G646" t="e">
        <f t="shared" ca="1" si="70"/>
        <v>#N/A</v>
      </c>
      <c r="H646" t="e">
        <f t="shared" ca="1" si="71"/>
        <v>#N/A</v>
      </c>
      <c r="I646" t="e">
        <f ca="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W646" s="2">
        <f t="shared" ca="1" si="72"/>
        <v>0</v>
      </c>
      <c r="X646">
        <f t="shared" ca="1" si="73"/>
        <v>0</v>
      </c>
      <c r="Z646" s="63" t="e">
        <f t="shared" ca="1" si="74"/>
        <v>#N/A</v>
      </c>
      <c r="AA646" s="63" t="e">
        <f t="shared" ca="1" si="75"/>
        <v>#N/A</v>
      </c>
      <c r="AB646" s="3" t="e">
        <f t="shared" ca="1" si="76"/>
        <v>#N/A</v>
      </c>
    </row>
    <row r="647" spans="7:28">
      <c r="G647" t="e">
        <f t="shared" ca="1" si="70"/>
        <v>#N/A</v>
      </c>
      <c r="H647" t="e">
        <f t="shared" ca="1" si="71"/>
        <v>#N/A</v>
      </c>
      <c r="I647" t="e">
        <f ca="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W647" s="2">
        <f t="shared" ca="1" si="72"/>
        <v>0</v>
      </c>
      <c r="X647">
        <f t="shared" ca="1" si="73"/>
        <v>0</v>
      </c>
      <c r="Z647" s="63" t="e">
        <f t="shared" ca="1" si="74"/>
        <v>#N/A</v>
      </c>
      <c r="AA647" s="63" t="e">
        <f t="shared" ca="1" si="75"/>
        <v>#N/A</v>
      </c>
      <c r="AB647" s="3" t="e">
        <f t="shared" ca="1" si="76"/>
        <v>#N/A</v>
      </c>
    </row>
    <row r="648" spans="7:28">
      <c r="G648" t="e">
        <f t="shared" ca="1" si="70"/>
        <v>#N/A</v>
      </c>
      <c r="H648" t="e">
        <f t="shared" ca="1" si="71"/>
        <v>#N/A</v>
      </c>
      <c r="I648" t="e">
        <f ca="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W648" s="2">
        <f t="shared" ca="1" si="72"/>
        <v>0</v>
      </c>
      <c r="X648">
        <f t="shared" ca="1" si="73"/>
        <v>0</v>
      </c>
      <c r="Z648" s="63" t="e">
        <f t="shared" ca="1" si="74"/>
        <v>#N/A</v>
      </c>
      <c r="AA648" s="63" t="e">
        <f t="shared" ca="1" si="75"/>
        <v>#N/A</v>
      </c>
      <c r="AB648" s="3" t="e">
        <f t="shared" ca="1" si="76"/>
        <v>#N/A</v>
      </c>
    </row>
    <row r="649" spans="7:28">
      <c r="G649" t="e">
        <f t="shared" ca="1" si="70"/>
        <v>#N/A</v>
      </c>
      <c r="H649" t="e">
        <f t="shared" ca="1" si="71"/>
        <v>#N/A</v>
      </c>
      <c r="I649" t="e">
        <f ca="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W649" s="2">
        <f t="shared" ca="1" si="72"/>
        <v>0</v>
      </c>
      <c r="X649">
        <f t="shared" ca="1" si="73"/>
        <v>0</v>
      </c>
      <c r="Z649" s="63" t="e">
        <f t="shared" ca="1" si="74"/>
        <v>#N/A</v>
      </c>
      <c r="AA649" s="63" t="e">
        <f t="shared" ca="1" si="75"/>
        <v>#N/A</v>
      </c>
      <c r="AB649" s="3" t="e">
        <f t="shared" ca="1" si="76"/>
        <v>#N/A</v>
      </c>
    </row>
    <row r="650" spans="7:28">
      <c r="G650" t="e">
        <f t="shared" ca="1" si="70"/>
        <v>#N/A</v>
      </c>
      <c r="H650" t="e">
        <f t="shared" ca="1" si="71"/>
        <v>#N/A</v>
      </c>
      <c r="I650" t="e">
        <f ca="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W650" s="2">
        <f t="shared" ca="1" si="72"/>
        <v>0</v>
      </c>
      <c r="X650">
        <f t="shared" ca="1" si="73"/>
        <v>0</v>
      </c>
      <c r="Z650" s="63" t="e">
        <f t="shared" ca="1" si="74"/>
        <v>#N/A</v>
      </c>
      <c r="AA650" s="63" t="e">
        <f t="shared" ca="1" si="75"/>
        <v>#N/A</v>
      </c>
      <c r="AB650" s="3" t="e">
        <f t="shared" ca="1" si="76"/>
        <v>#N/A</v>
      </c>
    </row>
    <row r="651" spans="7:28">
      <c r="G651" t="e">
        <f t="shared" ca="1" si="70"/>
        <v>#N/A</v>
      </c>
      <c r="H651" t="e">
        <f t="shared" ca="1" si="71"/>
        <v>#N/A</v>
      </c>
      <c r="I651" t="e">
        <f ca="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W651" s="2">
        <f t="shared" ca="1" si="72"/>
        <v>0</v>
      </c>
      <c r="X651">
        <f t="shared" ca="1" si="73"/>
        <v>0</v>
      </c>
      <c r="Z651" s="63" t="e">
        <f t="shared" ca="1" si="74"/>
        <v>#N/A</v>
      </c>
      <c r="AA651" s="63" t="e">
        <f t="shared" ca="1" si="75"/>
        <v>#N/A</v>
      </c>
      <c r="AB651" s="3" t="e">
        <f t="shared" ca="1" si="76"/>
        <v>#N/A</v>
      </c>
    </row>
    <row r="652" spans="7:28">
      <c r="G652" t="e">
        <f t="shared" ca="1" si="70"/>
        <v>#N/A</v>
      </c>
      <c r="H652" t="e">
        <f t="shared" ca="1" si="71"/>
        <v>#N/A</v>
      </c>
      <c r="I652" t="e">
        <f ca="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W652" s="2">
        <f t="shared" ca="1" si="72"/>
        <v>0</v>
      </c>
      <c r="X652">
        <f t="shared" ca="1" si="73"/>
        <v>0</v>
      </c>
      <c r="Z652" s="63" t="e">
        <f t="shared" ca="1" si="74"/>
        <v>#N/A</v>
      </c>
      <c r="AA652" s="63" t="e">
        <f t="shared" ca="1" si="75"/>
        <v>#N/A</v>
      </c>
      <c r="AB652" s="3" t="e">
        <f t="shared" ca="1" si="76"/>
        <v>#N/A</v>
      </c>
    </row>
    <row r="653" spans="7:28">
      <c r="G653" t="e">
        <f t="shared" ca="1" si="70"/>
        <v>#N/A</v>
      </c>
      <c r="H653" t="e">
        <f t="shared" ca="1" si="71"/>
        <v>#N/A</v>
      </c>
      <c r="I653" t="e">
        <f ca="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W653" s="2">
        <f t="shared" ca="1" si="72"/>
        <v>0</v>
      </c>
      <c r="X653">
        <f t="shared" ca="1" si="73"/>
        <v>0</v>
      </c>
      <c r="Z653" s="63" t="e">
        <f t="shared" ca="1" si="74"/>
        <v>#N/A</v>
      </c>
      <c r="AA653" s="63" t="e">
        <f t="shared" ca="1" si="75"/>
        <v>#N/A</v>
      </c>
      <c r="AB653" s="3" t="e">
        <f t="shared" ca="1" si="76"/>
        <v>#N/A</v>
      </c>
    </row>
    <row r="654" spans="7:28">
      <c r="G654" t="e">
        <f t="shared" ca="1" si="70"/>
        <v>#N/A</v>
      </c>
      <c r="H654" t="e">
        <f t="shared" ca="1" si="71"/>
        <v>#N/A</v>
      </c>
      <c r="I654" t="e">
        <f ca="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W654" s="2">
        <f t="shared" ca="1" si="72"/>
        <v>0</v>
      </c>
      <c r="X654">
        <f t="shared" ca="1" si="73"/>
        <v>0</v>
      </c>
      <c r="Z654" s="63" t="e">
        <f t="shared" ca="1" si="74"/>
        <v>#N/A</v>
      </c>
      <c r="AA654" s="63" t="e">
        <f t="shared" ca="1" si="75"/>
        <v>#N/A</v>
      </c>
      <c r="AB654" s="3" t="e">
        <f t="shared" ca="1" si="76"/>
        <v>#N/A</v>
      </c>
    </row>
    <row r="655" spans="7:28">
      <c r="G655" t="e">
        <f t="shared" ca="1" si="70"/>
        <v>#N/A</v>
      </c>
      <c r="H655" t="e">
        <f t="shared" ca="1" si="71"/>
        <v>#N/A</v>
      </c>
      <c r="I655" t="e">
        <f ca="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W655" s="2">
        <f t="shared" ca="1" si="72"/>
        <v>0</v>
      </c>
      <c r="X655">
        <f t="shared" ca="1" si="73"/>
        <v>0</v>
      </c>
      <c r="Z655" s="63" t="e">
        <f t="shared" ca="1" si="74"/>
        <v>#N/A</v>
      </c>
      <c r="AA655" s="63" t="e">
        <f t="shared" ca="1" si="75"/>
        <v>#N/A</v>
      </c>
      <c r="AB655" s="3" t="e">
        <f t="shared" ca="1" si="76"/>
        <v>#N/A</v>
      </c>
    </row>
    <row r="656" spans="7:28">
      <c r="G656" t="e">
        <f t="shared" ca="1" si="70"/>
        <v>#N/A</v>
      </c>
      <c r="H656" t="e">
        <f t="shared" ca="1" si="71"/>
        <v>#N/A</v>
      </c>
      <c r="I656" t="e">
        <f ca="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W656" s="2">
        <f t="shared" ca="1" si="72"/>
        <v>0</v>
      </c>
      <c r="X656">
        <f t="shared" ca="1" si="73"/>
        <v>0</v>
      </c>
      <c r="Z656" s="63" t="e">
        <f t="shared" ca="1" si="74"/>
        <v>#N/A</v>
      </c>
      <c r="AA656" s="63" t="e">
        <f t="shared" ca="1" si="75"/>
        <v>#N/A</v>
      </c>
      <c r="AB656" s="3" t="e">
        <f t="shared" ca="1" si="76"/>
        <v>#N/A</v>
      </c>
    </row>
    <row r="657" spans="7:28">
      <c r="G657" t="e">
        <f t="shared" ca="1" si="70"/>
        <v>#N/A</v>
      </c>
      <c r="H657" t="e">
        <f t="shared" ca="1" si="71"/>
        <v>#N/A</v>
      </c>
      <c r="I657" t="e">
        <f ca="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W657" s="2">
        <f t="shared" ca="1" si="72"/>
        <v>0</v>
      </c>
      <c r="X657">
        <f t="shared" ca="1" si="73"/>
        <v>0</v>
      </c>
      <c r="Z657" s="63" t="e">
        <f t="shared" ca="1" si="74"/>
        <v>#N/A</v>
      </c>
      <c r="AA657" s="63" t="e">
        <f t="shared" ca="1" si="75"/>
        <v>#N/A</v>
      </c>
      <c r="AB657" s="3" t="e">
        <f t="shared" ca="1" si="76"/>
        <v>#N/A</v>
      </c>
    </row>
    <row r="658" spans="7:28">
      <c r="G658" t="e">
        <f t="shared" ca="1" si="70"/>
        <v>#N/A</v>
      </c>
      <c r="H658" t="e">
        <f t="shared" ca="1" si="71"/>
        <v>#N/A</v>
      </c>
      <c r="I658" t="e">
        <f ca="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W658" s="2">
        <f t="shared" ca="1" si="72"/>
        <v>0</v>
      </c>
      <c r="X658">
        <f t="shared" ca="1" si="73"/>
        <v>0</v>
      </c>
      <c r="Z658" s="63" t="e">
        <f t="shared" ca="1" si="74"/>
        <v>#N/A</v>
      </c>
      <c r="AA658" s="63" t="e">
        <f t="shared" ca="1" si="75"/>
        <v>#N/A</v>
      </c>
      <c r="AB658" s="3" t="e">
        <f t="shared" ca="1" si="76"/>
        <v>#N/A</v>
      </c>
    </row>
    <row r="659" spans="7:28">
      <c r="G659" t="e">
        <f t="shared" ca="1" si="70"/>
        <v>#N/A</v>
      </c>
      <c r="H659" t="e">
        <f t="shared" ca="1" si="71"/>
        <v>#N/A</v>
      </c>
      <c r="I659" t="e">
        <f ca="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W659" s="2">
        <f t="shared" ca="1" si="72"/>
        <v>0</v>
      </c>
      <c r="X659">
        <f t="shared" ca="1" si="73"/>
        <v>0</v>
      </c>
      <c r="Z659" s="63" t="e">
        <f t="shared" ca="1" si="74"/>
        <v>#N/A</v>
      </c>
      <c r="AA659" s="63" t="e">
        <f t="shared" ca="1" si="75"/>
        <v>#N/A</v>
      </c>
      <c r="AB659" s="3" t="e">
        <f t="shared" ca="1" si="76"/>
        <v>#N/A</v>
      </c>
    </row>
    <row r="660" spans="7:28">
      <c r="G660" t="e">
        <f t="shared" ca="1" si="70"/>
        <v>#N/A</v>
      </c>
      <c r="H660" t="e">
        <f t="shared" ca="1" si="71"/>
        <v>#N/A</v>
      </c>
      <c r="I660" t="e">
        <f ca="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W660" s="2">
        <f t="shared" ca="1" si="72"/>
        <v>0</v>
      </c>
      <c r="X660">
        <f t="shared" ca="1" si="73"/>
        <v>0</v>
      </c>
      <c r="Z660" s="63" t="e">
        <f t="shared" ca="1" si="74"/>
        <v>#N/A</v>
      </c>
      <c r="AA660" s="63" t="e">
        <f t="shared" ca="1" si="75"/>
        <v>#N/A</v>
      </c>
      <c r="AB660" s="3" t="e">
        <f t="shared" ca="1" si="76"/>
        <v>#N/A</v>
      </c>
    </row>
    <row r="661" spans="7:28">
      <c r="G661" t="e">
        <f t="shared" ca="1" si="70"/>
        <v>#N/A</v>
      </c>
      <c r="H661" t="e">
        <f t="shared" ca="1" si="71"/>
        <v>#N/A</v>
      </c>
      <c r="I661" t="e">
        <f ca="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W661" s="2">
        <f t="shared" ca="1" si="72"/>
        <v>0</v>
      </c>
      <c r="X661">
        <f t="shared" ca="1" si="73"/>
        <v>0</v>
      </c>
      <c r="Z661" s="63" t="e">
        <f t="shared" ca="1" si="74"/>
        <v>#N/A</v>
      </c>
      <c r="AA661" s="63" t="e">
        <f t="shared" ca="1" si="75"/>
        <v>#N/A</v>
      </c>
      <c r="AB661" s="3" t="e">
        <f t="shared" ca="1" si="76"/>
        <v>#N/A</v>
      </c>
    </row>
    <row r="662" spans="7:28">
      <c r="G662" t="e">
        <f t="shared" ca="1" si="70"/>
        <v>#N/A</v>
      </c>
      <c r="H662" t="e">
        <f t="shared" ca="1" si="71"/>
        <v>#N/A</v>
      </c>
      <c r="I662" t="e">
        <f ca="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W662" s="2">
        <f t="shared" ca="1" si="72"/>
        <v>0</v>
      </c>
      <c r="X662">
        <f t="shared" ca="1" si="73"/>
        <v>0</v>
      </c>
      <c r="Z662" s="63" t="e">
        <f t="shared" ca="1" si="74"/>
        <v>#N/A</v>
      </c>
      <c r="AA662" s="63" t="e">
        <f t="shared" ca="1" si="75"/>
        <v>#N/A</v>
      </c>
      <c r="AB662" s="3" t="e">
        <f t="shared" ca="1" si="76"/>
        <v>#N/A</v>
      </c>
    </row>
    <row r="663" spans="7:28">
      <c r="G663" t="e">
        <f t="shared" ca="1" si="70"/>
        <v>#N/A</v>
      </c>
      <c r="H663" t="e">
        <f t="shared" ca="1" si="71"/>
        <v>#N/A</v>
      </c>
      <c r="I663" t="e">
        <f ca="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W663" s="2">
        <f t="shared" ca="1" si="72"/>
        <v>0</v>
      </c>
      <c r="X663">
        <f t="shared" ca="1" si="73"/>
        <v>0</v>
      </c>
      <c r="Z663" s="63" t="e">
        <f t="shared" ca="1" si="74"/>
        <v>#N/A</v>
      </c>
      <c r="AA663" s="63" t="e">
        <f t="shared" ca="1" si="75"/>
        <v>#N/A</v>
      </c>
      <c r="AB663" s="3" t="e">
        <f t="shared" ca="1" si="76"/>
        <v>#N/A</v>
      </c>
    </row>
    <row r="664" spans="7:28">
      <c r="G664" t="e">
        <f t="shared" ca="1" si="70"/>
        <v>#N/A</v>
      </c>
      <c r="H664" t="e">
        <f t="shared" ca="1" si="71"/>
        <v>#N/A</v>
      </c>
      <c r="I664" t="e">
        <f ca="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W664" s="2">
        <f t="shared" ca="1" si="72"/>
        <v>0</v>
      </c>
      <c r="X664">
        <f t="shared" ca="1" si="73"/>
        <v>0</v>
      </c>
      <c r="Z664" s="63" t="e">
        <f t="shared" ca="1" si="74"/>
        <v>#N/A</v>
      </c>
      <c r="AA664" s="63" t="e">
        <f t="shared" ca="1" si="75"/>
        <v>#N/A</v>
      </c>
      <c r="AB664" s="3" t="e">
        <f t="shared" ca="1" si="76"/>
        <v>#N/A</v>
      </c>
    </row>
    <row r="665" spans="7:28">
      <c r="G665" t="e">
        <f t="shared" ca="1" si="70"/>
        <v>#N/A</v>
      </c>
      <c r="H665" t="e">
        <f t="shared" ca="1" si="71"/>
        <v>#N/A</v>
      </c>
      <c r="I665" t="e">
        <f ca="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W665" s="2">
        <f t="shared" ca="1" si="72"/>
        <v>0</v>
      </c>
      <c r="X665">
        <f t="shared" ca="1" si="73"/>
        <v>0</v>
      </c>
      <c r="Z665" s="63" t="e">
        <f t="shared" ca="1" si="74"/>
        <v>#N/A</v>
      </c>
      <c r="AA665" s="63" t="e">
        <f t="shared" ca="1" si="75"/>
        <v>#N/A</v>
      </c>
      <c r="AB665" s="3" t="e">
        <f t="shared" ca="1" si="76"/>
        <v>#N/A</v>
      </c>
    </row>
    <row r="666" spans="7:28">
      <c r="G666" t="e">
        <f t="shared" ca="1" si="70"/>
        <v>#N/A</v>
      </c>
      <c r="H666" t="e">
        <f t="shared" ca="1" si="71"/>
        <v>#N/A</v>
      </c>
      <c r="I666" t="e">
        <f ca="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W666" s="2">
        <f t="shared" ca="1" si="72"/>
        <v>0</v>
      </c>
      <c r="X666">
        <f t="shared" ca="1" si="73"/>
        <v>0</v>
      </c>
      <c r="Z666" s="63" t="e">
        <f t="shared" ca="1" si="74"/>
        <v>#N/A</v>
      </c>
      <c r="AA666" s="63" t="e">
        <f t="shared" ca="1" si="75"/>
        <v>#N/A</v>
      </c>
      <c r="AB666" s="3" t="e">
        <f t="shared" ca="1" si="76"/>
        <v>#N/A</v>
      </c>
    </row>
    <row r="667" spans="7:28">
      <c r="G667" t="e">
        <f t="shared" ca="1" si="70"/>
        <v>#N/A</v>
      </c>
      <c r="H667" t="e">
        <f t="shared" ca="1" si="71"/>
        <v>#N/A</v>
      </c>
      <c r="I667" t="e">
        <f ca="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W667" s="2">
        <f t="shared" ca="1" si="72"/>
        <v>0</v>
      </c>
      <c r="X667">
        <f t="shared" ca="1" si="73"/>
        <v>0</v>
      </c>
      <c r="Z667" s="63" t="e">
        <f t="shared" ca="1" si="74"/>
        <v>#N/A</v>
      </c>
      <c r="AA667" s="63" t="e">
        <f t="shared" ca="1" si="75"/>
        <v>#N/A</v>
      </c>
      <c r="AB667" s="3" t="e">
        <f t="shared" ca="1" si="76"/>
        <v>#N/A</v>
      </c>
    </row>
    <row r="668" spans="7:28">
      <c r="G668" t="e">
        <f t="shared" ca="1" si="70"/>
        <v>#N/A</v>
      </c>
      <c r="H668" t="e">
        <f t="shared" ca="1" si="71"/>
        <v>#N/A</v>
      </c>
      <c r="I668" t="e">
        <f ca="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W668" s="2">
        <f t="shared" ca="1" si="72"/>
        <v>0</v>
      </c>
      <c r="X668">
        <f t="shared" ca="1" si="73"/>
        <v>0</v>
      </c>
      <c r="Z668" s="63" t="e">
        <f t="shared" ca="1" si="74"/>
        <v>#N/A</v>
      </c>
      <c r="AA668" s="63" t="e">
        <f t="shared" ca="1" si="75"/>
        <v>#N/A</v>
      </c>
      <c r="AB668" s="3" t="e">
        <f t="shared" ca="1" si="76"/>
        <v>#N/A</v>
      </c>
    </row>
    <row r="669" spans="7:28">
      <c r="G669" t="e">
        <f t="shared" ca="1" si="70"/>
        <v>#N/A</v>
      </c>
      <c r="H669" t="e">
        <f t="shared" ca="1" si="71"/>
        <v>#N/A</v>
      </c>
      <c r="I669" t="e">
        <f ca="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W669" s="2">
        <f t="shared" ca="1" si="72"/>
        <v>0</v>
      </c>
      <c r="X669">
        <f t="shared" ca="1" si="73"/>
        <v>0</v>
      </c>
      <c r="Z669" s="63" t="e">
        <f t="shared" ca="1" si="74"/>
        <v>#N/A</v>
      </c>
      <c r="AA669" s="63" t="e">
        <f t="shared" ca="1" si="75"/>
        <v>#N/A</v>
      </c>
      <c r="AB669" s="3" t="e">
        <f t="shared" ca="1" si="76"/>
        <v>#N/A</v>
      </c>
    </row>
    <row r="670" spans="7:28">
      <c r="G670" t="e">
        <f t="shared" ca="1" si="70"/>
        <v>#N/A</v>
      </c>
      <c r="H670" t="e">
        <f t="shared" ca="1" si="71"/>
        <v>#N/A</v>
      </c>
      <c r="I670" t="e">
        <f ca="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W670" s="2">
        <f t="shared" ca="1" si="72"/>
        <v>0</v>
      </c>
      <c r="X670">
        <f t="shared" ca="1" si="73"/>
        <v>0</v>
      </c>
      <c r="Z670" s="63" t="e">
        <f t="shared" ca="1" si="74"/>
        <v>#N/A</v>
      </c>
      <c r="AA670" s="63" t="e">
        <f t="shared" ca="1" si="75"/>
        <v>#N/A</v>
      </c>
      <c r="AB670" s="3" t="e">
        <f t="shared" ca="1" si="76"/>
        <v>#N/A</v>
      </c>
    </row>
    <row r="671" spans="7:28">
      <c r="G671" t="e">
        <f t="shared" ca="1" si="70"/>
        <v>#N/A</v>
      </c>
      <c r="H671" t="e">
        <f t="shared" ca="1" si="71"/>
        <v>#N/A</v>
      </c>
      <c r="I671" t="e">
        <f ca="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W671" s="2">
        <f t="shared" ca="1" si="72"/>
        <v>0</v>
      </c>
      <c r="X671">
        <f t="shared" ca="1" si="73"/>
        <v>0</v>
      </c>
      <c r="Z671" s="63" t="e">
        <f t="shared" ca="1" si="74"/>
        <v>#N/A</v>
      </c>
      <c r="AA671" s="63" t="e">
        <f t="shared" ca="1" si="75"/>
        <v>#N/A</v>
      </c>
      <c r="AB671" s="3" t="e">
        <f t="shared" ca="1" si="76"/>
        <v>#N/A</v>
      </c>
    </row>
    <row r="672" spans="7:28">
      <c r="G672" t="e">
        <f t="shared" ca="1" si="70"/>
        <v>#N/A</v>
      </c>
      <c r="H672" t="e">
        <f t="shared" ca="1" si="71"/>
        <v>#N/A</v>
      </c>
      <c r="I672" t="e">
        <f ca="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W672" s="2">
        <f t="shared" ca="1" si="72"/>
        <v>0</v>
      </c>
      <c r="X672">
        <f t="shared" ca="1" si="73"/>
        <v>0</v>
      </c>
      <c r="Z672" s="63" t="e">
        <f t="shared" ca="1" si="74"/>
        <v>#N/A</v>
      </c>
      <c r="AA672" s="63" t="e">
        <f t="shared" ca="1" si="75"/>
        <v>#N/A</v>
      </c>
      <c r="AB672" s="3" t="e">
        <f t="shared" ca="1" si="76"/>
        <v>#N/A</v>
      </c>
    </row>
    <row r="673" spans="7:28">
      <c r="G673" t="e">
        <f t="shared" ca="1" si="70"/>
        <v>#N/A</v>
      </c>
      <c r="H673" t="e">
        <f t="shared" ca="1" si="71"/>
        <v>#N/A</v>
      </c>
      <c r="I673" t="e">
        <f ca="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W673" s="2">
        <f t="shared" ca="1" si="72"/>
        <v>0</v>
      </c>
      <c r="X673">
        <f t="shared" ca="1" si="73"/>
        <v>0</v>
      </c>
      <c r="Z673" s="63" t="e">
        <f t="shared" ca="1" si="74"/>
        <v>#N/A</v>
      </c>
      <c r="AA673" s="63" t="e">
        <f t="shared" ca="1" si="75"/>
        <v>#N/A</v>
      </c>
      <c r="AB673" s="3" t="e">
        <f t="shared" ca="1" si="76"/>
        <v>#N/A</v>
      </c>
    </row>
    <row r="674" spans="7:28">
      <c r="G674" t="e">
        <f t="shared" ca="1" si="70"/>
        <v>#N/A</v>
      </c>
      <c r="H674" t="e">
        <f t="shared" ca="1" si="71"/>
        <v>#N/A</v>
      </c>
      <c r="I674" t="e">
        <f ca="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W674" s="2">
        <f t="shared" ca="1" si="72"/>
        <v>0</v>
      </c>
      <c r="X674">
        <f t="shared" ca="1" si="73"/>
        <v>0</v>
      </c>
      <c r="Z674" s="63" t="e">
        <f t="shared" ca="1" si="74"/>
        <v>#N/A</v>
      </c>
      <c r="AA674" s="63" t="e">
        <f t="shared" ca="1" si="75"/>
        <v>#N/A</v>
      </c>
      <c r="AB674" s="3" t="e">
        <f t="shared" ca="1" si="76"/>
        <v>#N/A</v>
      </c>
    </row>
    <row r="675" spans="7:28">
      <c r="G675" t="e">
        <f t="shared" ca="1" si="70"/>
        <v>#N/A</v>
      </c>
      <c r="H675" t="e">
        <f t="shared" ca="1" si="71"/>
        <v>#N/A</v>
      </c>
      <c r="I675" t="e">
        <f ca="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W675" s="2">
        <f t="shared" ca="1" si="72"/>
        <v>0</v>
      </c>
      <c r="X675">
        <f t="shared" ca="1" si="73"/>
        <v>0</v>
      </c>
      <c r="Z675" s="63" t="e">
        <f t="shared" ca="1" si="74"/>
        <v>#N/A</v>
      </c>
      <c r="AA675" s="63" t="e">
        <f t="shared" ca="1" si="75"/>
        <v>#N/A</v>
      </c>
      <c r="AB675" s="3" t="e">
        <f t="shared" ca="1" si="76"/>
        <v>#N/A</v>
      </c>
    </row>
    <row r="676" spans="7:28">
      <c r="G676" t="e">
        <f t="shared" ca="1" si="70"/>
        <v>#N/A</v>
      </c>
      <c r="H676" t="e">
        <f t="shared" ca="1" si="71"/>
        <v>#N/A</v>
      </c>
      <c r="I676" t="e">
        <f ca="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W676" s="2">
        <f t="shared" ca="1" si="72"/>
        <v>0</v>
      </c>
      <c r="X676">
        <f t="shared" ca="1" si="73"/>
        <v>0</v>
      </c>
      <c r="Z676" s="63" t="e">
        <f t="shared" ca="1" si="74"/>
        <v>#N/A</v>
      </c>
      <c r="AA676" s="63" t="e">
        <f t="shared" ca="1" si="75"/>
        <v>#N/A</v>
      </c>
      <c r="AB676" s="3" t="e">
        <f t="shared" ca="1" si="76"/>
        <v>#N/A</v>
      </c>
    </row>
    <row r="677" spans="7:28">
      <c r="G677" t="e">
        <f t="shared" ca="1" si="70"/>
        <v>#N/A</v>
      </c>
      <c r="H677" t="e">
        <f t="shared" ca="1" si="71"/>
        <v>#N/A</v>
      </c>
      <c r="I677" t="e">
        <f ca="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W677" s="2">
        <f t="shared" ca="1" si="72"/>
        <v>0</v>
      </c>
      <c r="X677">
        <f t="shared" ca="1" si="73"/>
        <v>0</v>
      </c>
      <c r="Z677" s="63" t="e">
        <f t="shared" ca="1" si="74"/>
        <v>#N/A</v>
      </c>
      <c r="AA677" s="63" t="e">
        <f t="shared" ca="1" si="75"/>
        <v>#N/A</v>
      </c>
      <c r="AB677" s="3" t="e">
        <f t="shared" ca="1" si="76"/>
        <v>#N/A</v>
      </c>
    </row>
    <row r="678" spans="7:28">
      <c r="G678" t="e">
        <f t="shared" ca="1" si="70"/>
        <v>#N/A</v>
      </c>
      <c r="H678" t="e">
        <f t="shared" ca="1" si="71"/>
        <v>#N/A</v>
      </c>
      <c r="I678" t="e">
        <f ca="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W678" s="2">
        <f t="shared" ca="1" si="72"/>
        <v>0</v>
      </c>
      <c r="X678">
        <f t="shared" ca="1" si="73"/>
        <v>0</v>
      </c>
      <c r="Z678" s="63" t="e">
        <f t="shared" ca="1" si="74"/>
        <v>#N/A</v>
      </c>
      <c r="AA678" s="63" t="e">
        <f t="shared" ca="1" si="75"/>
        <v>#N/A</v>
      </c>
      <c r="AB678" s="3" t="e">
        <f t="shared" ca="1" si="76"/>
        <v>#N/A</v>
      </c>
    </row>
    <row r="679" spans="7:28">
      <c r="G679" t="e">
        <f t="shared" ca="1" si="70"/>
        <v>#N/A</v>
      </c>
      <c r="H679" t="e">
        <f t="shared" ca="1" si="71"/>
        <v>#N/A</v>
      </c>
      <c r="I679" t="e">
        <f ca="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W679" s="2">
        <f t="shared" ca="1" si="72"/>
        <v>0</v>
      </c>
      <c r="X679">
        <f t="shared" ca="1" si="73"/>
        <v>0</v>
      </c>
      <c r="Z679" s="63" t="e">
        <f t="shared" ca="1" si="74"/>
        <v>#N/A</v>
      </c>
      <c r="AA679" s="63" t="e">
        <f t="shared" ca="1" si="75"/>
        <v>#N/A</v>
      </c>
      <c r="AB679" s="3" t="e">
        <f t="shared" ca="1" si="76"/>
        <v>#N/A</v>
      </c>
    </row>
    <row r="680" spans="7:28">
      <c r="G680" t="e">
        <f t="shared" ca="1" si="70"/>
        <v>#N/A</v>
      </c>
      <c r="H680" t="e">
        <f t="shared" ca="1" si="71"/>
        <v>#N/A</v>
      </c>
      <c r="I680" t="e">
        <f ca="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W680" s="2">
        <f t="shared" ca="1" si="72"/>
        <v>0</v>
      </c>
      <c r="X680">
        <f t="shared" ca="1" si="73"/>
        <v>0</v>
      </c>
      <c r="Z680" s="63" t="e">
        <f t="shared" ca="1" si="74"/>
        <v>#N/A</v>
      </c>
      <c r="AA680" s="63" t="e">
        <f t="shared" ca="1" si="75"/>
        <v>#N/A</v>
      </c>
      <c r="AB680" s="3" t="e">
        <f t="shared" ca="1" si="76"/>
        <v>#N/A</v>
      </c>
    </row>
    <row r="681" spans="7:28">
      <c r="G681" t="e">
        <f t="shared" ca="1" si="70"/>
        <v>#N/A</v>
      </c>
      <c r="H681" t="e">
        <f t="shared" ca="1" si="71"/>
        <v>#N/A</v>
      </c>
      <c r="I681" t="e">
        <f ca="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W681" s="2">
        <f t="shared" ca="1" si="72"/>
        <v>0</v>
      </c>
      <c r="X681">
        <f t="shared" ca="1" si="73"/>
        <v>0</v>
      </c>
      <c r="Z681" s="63" t="e">
        <f t="shared" ca="1" si="74"/>
        <v>#N/A</v>
      </c>
      <c r="AA681" s="63" t="e">
        <f t="shared" ca="1" si="75"/>
        <v>#N/A</v>
      </c>
      <c r="AB681" s="3" t="e">
        <f t="shared" ca="1" si="76"/>
        <v>#N/A</v>
      </c>
    </row>
    <row r="682" spans="7:28">
      <c r="G682" t="e">
        <f t="shared" ca="1" si="70"/>
        <v>#N/A</v>
      </c>
      <c r="H682" t="e">
        <f t="shared" ca="1" si="71"/>
        <v>#N/A</v>
      </c>
      <c r="I682" t="e">
        <f ca="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W682" s="2">
        <f t="shared" ca="1" si="72"/>
        <v>0</v>
      </c>
      <c r="X682">
        <f t="shared" ca="1" si="73"/>
        <v>0</v>
      </c>
      <c r="Z682" s="63" t="e">
        <f t="shared" ca="1" si="74"/>
        <v>#N/A</v>
      </c>
      <c r="AA682" s="63" t="e">
        <f t="shared" ca="1" si="75"/>
        <v>#N/A</v>
      </c>
      <c r="AB682" s="3" t="e">
        <f t="shared" ca="1" si="76"/>
        <v>#N/A</v>
      </c>
    </row>
    <row r="683" spans="7:28">
      <c r="G683" t="e">
        <f t="shared" ca="1" si="70"/>
        <v>#N/A</v>
      </c>
      <c r="H683" t="e">
        <f t="shared" ca="1" si="71"/>
        <v>#N/A</v>
      </c>
      <c r="I683" t="e">
        <f ca="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W683" s="2">
        <f t="shared" ca="1" si="72"/>
        <v>0</v>
      </c>
      <c r="X683">
        <f t="shared" ca="1" si="73"/>
        <v>0</v>
      </c>
      <c r="Z683" s="63" t="e">
        <f t="shared" ca="1" si="74"/>
        <v>#N/A</v>
      </c>
      <c r="AA683" s="63" t="e">
        <f t="shared" ca="1" si="75"/>
        <v>#N/A</v>
      </c>
      <c r="AB683" s="3" t="e">
        <f t="shared" ca="1" si="76"/>
        <v>#N/A</v>
      </c>
    </row>
    <row r="684" spans="7:28">
      <c r="G684" t="e">
        <f t="shared" ca="1" si="70"/>
        <v>#N/A</v>
      </c>
      <c r="H684" t="e">
        <f t="shared" ca="1" si="71"/>
        <v>#N/A</v>
      </c>
      <c r="I684" t="e">
        <f ca="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W684" s="2">
        <f t="shared" ca="1" si="72"/>
        <v>0</v>
      </c>
      <c r="X684">
        <f t="shared" ca="1" si="73"/>
        <v>0</v>
      </c>
      <c r="Z684" s="63" t="e">
        <f t="shared" ca="1" si="74"/>
        <v>#N/A</v>
      </c>
      <c r="AA684" s="63" t="e">
        <f t="shared" ca="1" si="75"/>
        <v>#N/A</v>
      </c>
      <c r="AB684" s="3" t="e">
        <f t="shared" ca="1" si="76"/>
        <v>#N/A</v>
      </c>
    </row>
    <row r="685" spans="7:28">
      <c r="G685" t="e">
        <f t="shared" ca="1" si="70"/>
        <v>#N/A</v>
      </c>
      <c r="H685" t="e">
        <f t="shared" ca="1" si="71"/>
        <v>#N/A</v>
      </c>
      <c r="I685" t="e">
        <f ca="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W685" s="2">
        <f t="shared" ca="1" si="72"/>
        <v>0</v>
      </c>
      <c r="X685">
        <f t="shared" ca="1" si="73"/>
        <v>0</v>
      </c>
      <c r="Z685" s="63" t="e">
        <f t="shared" ca="1" si="74"/>
        <v>#N/A</v>
      </c>
      <c r="AA685" s="63" t="e">
        <f t="shared" ca="1" si="75"/>
        <v>#N/A</v>
      </c>
      <c r="AB685" s="3" t="e">
        <f t="shared" ca="1" si="76"/>
        <v>#N/A</v>
      </c>
    </row>
    <row r="686" spans="7:28">
      <c r="G686" t="e">
        <f t="shared" ca="1" si="70"/>
        <v>#N/A</v>
      </c>
      <c r="H686" t="e">
        <f t="shared" ca="1" si="71"/>
        <v>#N/A</v>
      </c>
      <c r="I686" t="e">
        <f ca="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W686" s="2">
        <f t="shared" ca="1" si="72"/>
        <v>0</v>
      </c>
      <c r="X686">
        <f t="shared" ca="1" si="73"/>
        <v>0</v>
      </c>
      <c r="Z686" s="63" t="e">
        <f t="shared" ca="1" si="74"/>
        <v>#N/A</v>
      </c>
      <c r="AA686" s="63" t="e">
        <f t="shared" ca="1" si="75"/>
        <v>#N/A</v>
      </c>
      <c r="AB686" s="3" t="e">
        <f t="shared" ca="1" si="76"/>
        <v>#N/A</v>
      </c>
    </row>
    <row r="687" spans="7:28">
      <c r="G687" t="e">
        <f t="shared" ca="1" si="70"/>
        <v>#N/A</v>
      </c>
      <c r="H687" t="e">
        <f t="shared" ca="1" si="71"/>
        <v>#N/A</v>
      </c>
      <c r="I687" t="e">
        <f ca="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W687" s="2">
        <f t="shared" ca="1" si="72"/>
        <v>0</v>
      </c>
      <c r="X687">
        <f t="shared" ca="1" si="73"/>
        <v>0</v>
      </c>
      <c r="Z687" s="63" t="e">
        <f t="shared" ca="1" si="74"/>
        <v>#N/A</v>
      </c>
      <c r="AA687" s="63" t="e">
        <f t="shared" ca="1" si="75"/>
        <v>#N/A</v>
      </c>
      <c r="AB687" s="3" t="e">
        <f t="shared" ca="1" si="76"/>
        <v>#N/A</v>
      </c>
    </row>
    <row r="688" spans="7:28">
      <c r="G688" t="e">
        <f t="shared" ca="1" si="70"/>
        <v>#N/A</v>
      </c>
      <c r="H688" t="e">
        <f t="shared" ca="1" si="71"/>
        <v>#N/A</v>
      </c>
      <c r="I688" t="e">
        <f ca="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W688" s="2">
        <f t="shared" ca="1" si="72"/>
        <v>0</v>
      </c>
      <c r="X688">
        <f t="shared" ca="1" si="73"/>
        <v>0</v>
      </c>
      <c r="Z688" s="63" t="e">
        <f t="shared" ca="1" si="74"/>
        <v>#N/A</v>
      </c>
      <c r="AA688" s="63" t="e">
        <f t="shared" ca="1" si="75"/>
        <v>#N/A</v>
      </c>
      <c r="AB688" s="3" t="e">
        <f t="shared" ca="1" si="76"/>
        <v>#N/A</v>
      </c>
    </row>
    <row r="689" spans="7:28">
      <c r="G689" t="e">
        <f t="shared" ref="G689:G752" ca="1" si="77">IF(I689&lt;$I$4,TRUE,FALSE)</f>
        <v>#N/A</v>
      </c>
      <c r="H689" t="e">
        <f t="shared" ref="H689:H752" ca="1" si="78">AND(IF(I689&gt;($I$3-1),TRUE,FALSE),IF(I689&lt;($I$4+1),TRUE,FALSE))</f>
        <v>#N/A</v>
      </c>
      <c r="I689" t="e">
        <f ca="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W689" s="2">
        <f t="shared" ref="W689:W752" ca="1" si="79">IFERROR(I689,$W$5)</f>
        <v>0</v>
      </c>
      <c r="X689">
        <f t="shared" ref="X689:X752" ca="1" si="80">IFERROR(N689,0)</f>
        <v>0</v>
      </c>
      <c r="Z689" s="63" t="e">
        <f t="shared" ref="Z689:Z752" ca="1" si="81">J688+L689+M689+N689</f>
        <v>#N/A</v>
      </c>
      <c r="AA689" s="63" t="e">
        <f t="shared" ref="AA689:AA752" ca="1" si="82">J689+K689+Q689</f>
        <v>#N/A</v>
      </c>
      <c r="AB689" s="3" t="e">
        <f t="shared" ref="AB689:AB752" ca="1" si="83">AA689-Z689</f>
        <v>#N/A</v>
      </c>
    </row>
    <row r="690" spans="7:28">
      <c r="G690" t="e">
        <f t="shared" ca="1" si="77"/>
        <v>#N/A</v>
      </c>
      <c r="H690" t="e">
        <f t="shared" ca="1" si="78"/>
        <v>#N/A</v>
      </c>
      <c r="I690" t="e">
        <f ca="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W690" s="2">
        <f t="shared" ca="1" si="79"/>
        <v>0</v>
      </c>
      <c r="X690">
        <f t="shared" ca="1" si="80"/>
        <v>0</v>
      </c>
      <c r="Z690" s="63" t="e">
        <f t="shared" ca="1" si="81"/>
        <v>#N/A</v>
      </c>
      <c r="AA690" s="63" t="e">
        <f t="shared" ca="1" si="82"/>
        <v>#N/A</v>
      </c>
      <c r="AB690" s="3" t="e">
        <f t="shared" ca="1" si="83"/>
        <v>#N/A</v>
      </c>
    </row>
    <row r="691" spans="7:28">
      <c r="G691" t="e">
        <f t="shared" ca="1" si="77"/>
        <v>#N/A</v>
      </c>
      <c r="H691" t="e">
        <f t="shared" ca="1" si="78"/>
        <v>#N/A</v>
      </c>
      <c r="I691" t="e">
        <f ca="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W691" s="2">
        <f t="shared" ca="1" si="79"/>
        <v>0</v>
      </c>
      <c r="X691">
        <f t="shared" ca="1" si="80"/>
        <v>0</v>
      </c>
      <c r="Z691" s="63" t="e">
        <f t="shared" ca="1" si="81"/>
        <v>#N/A</v>
      </c>
      <c r="AA691" s="63" t="e">
        <f t="shared" ca="1" si="82"/>
        <v>#N/A</v>
      </c>
      <c r="AB691" s="3" t="e">
        <f t="shared" ca="1" si="83"/>
        <v>#N/A</v>
      </c>
    </row>
    <row r="692" spans="7:28">
      <c r="G692" t="e">
        <f t="shared" ca="1" si="77"/>
        <v>#N/A</v>
      </c>
      <c r="H692" t="e">
        <f t="shared" ca="1" si="78"/>
        <v>#N/A</v>
      </c>
      <c r="I692" t="e">
        <f ca="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W692" s="2">
        <f t="shared" ca="1" si="79"/>
        <v>0</v>
      </c>
      <c r="X692">
        <f t="shared" ca="1" si="80"/>
        <v>0</v>
      </c>
      <c r="Z692" s="63" t="e">
        <f t="shared" ca="1" si="81"/>
        <v>#N/A</v>
      </c>
      <c r="AA692" s="63" t="e">
        <f t="shared" ca="1" si="82"/>
        <v>#N/A</v>
      </c>
      <c r="AB692" s="3" t="e">
        <f t="shared" ca="1" si="83"/>
        <v>#N/A</v>
      </c>
    </row>
    <row r="693" spans="7:28">
      <c r="G693" t="e">
        <f t="shared" ca="1" si="77"/>
        <v>#N/A</v>
      </c>
      <c r="H693" t="e">
        <f t="shared" ca="1" si="78"/>
        <v>#N/A</v>
      </c>
      <c r="I693" t="e">
        <f ca="1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W693" s="2">
        <f t="shared" ca="1" si="79"/>
        <v>0</v>
      </c>
      <c r="X693">
        <f t="shared" ca="1" si="80"/>
        <v>0</v>
      </c>
      <c r="Z693" s="63" t="e">
        <f t="shared" ca="1" si="81"/>
        <v>#N/A</v>
      </c>
      <c r="AA693" s="63" t="e">
        <f t="shared" ca="1" si="82"/>
        <v>#N/A</v>
      </c>
      <c r="AB693" s="3" t="e">
        <f t="shared" ca="1" si="83"/>
        <v>#N/A</v>
      </c>
    </row>
    <row r="694" spans="7:28">
      <c r="G694" t="e">
        <f t="shared" ca="1" si="77"/>
        <v>#N/A</v>
      </c>
      <c r="H694" t="e">
        <f t="shared" ca="1" si="78"/>
        <v>#N/A</v>
      </c>
      <c r="I694" t="e">
        <f ca="1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W694" s="2">
        <f t="shared" ca="1" si="79"/>
        <v>0</v>
      </c>
      <c r="X694">
        <f t="shared" ca="1" si="80"/>
        <v>0</v>
      </c>
      <c r="Z694" s="63" t="e">
        <f t="shared" ca="1" si="81"/>
        <v>#N/A</v>
      </c>
      <c r="AA694" s="63" t="e">
        <f t="shared" ca="1" si="82"/>
        <v>#N/A</v>
      </c>
      <c r="AB694" s="3" t="e">
        <f t="shared" ca="1" si="83"/>
        <v>#N/A</v>
      </c>
    </row>
    <row r="695" spans="7:28">
      <c r="G695" t="e">
        <f t="shared" ca="1" si="77"/>
        <v>#N/A</v>
      </c>
      <c r="H695" t="e">
        <f t="shared" ca="1" si="78"/>
        <v>#N/A</v>
      </c>
      <c r="I695" t="e">
        <f ca="1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W695" s="2">
        <f t="shared" ca="1" si="79"/>
        <v>0</v>
      </c>
      <c r="X695">
        <f t="shared" ca="1" si="80"/>
        <v>0</v>
      </c>
      <c r="Z695" s="63" t="e">
        <f t="shared" ca="1" si="81"/>
        <v>#N/A</v>
      </c>
      <c r="AA695" s="63" t="e">
        <f t="shared" ca="1" si="82"/>
        <v>#N/A</v>
      </c>
      <c r="AB695" s="3" t="e">
        <f t="shared" ca="1" si="83"/>
        <v>#N/A</v>
      </c>
    </row>
    <row r="696" spans="7:28">
      <c r="G696" t="e">
        <f t="shared" ca="1" si="77"/>
        <v>#N/A</v>
      </c>
      <c r="H696" t="e">
        <f t="shared" ca="1" si="78"/>
        <v>#N/A</v>
      </c>
      <c r="I696" t="e">
        <f ca="1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W696" s="2">
        <f t="shared" ca="1" si="79"/>
        <v>0</v>
      </c>
      <c r="X696">
        <f t="shared" ca="1" si="80"/>
        <v>0</v>
      </c>
      <c r="Z696" s="63" t="e">
        <f t="shared" ca="1" si="81"/>
        <v>#N/A</v>
      </c>
      <c r="AA696" s="63" t="e">
        <f t="shared" ca="1" si="82"/>
        <v>#N/A</v>
      </c>
      <c r="AB696" s="3" t="e">
        <f t="shared" ca="1" si="83"/>
        <v>#N/A</v>
      </c>
    </row>
    <row r="697" spans="7:28">
      <c r="G697" t="e">
        <f t="shared" ca="1" si="77"/>
        <v>#N/A</v>
      </c>
      <c r="H697" t="e">
        <f t="shared" ca="1" si="78"/>
        <v>#N/A</v>
      </c>
      <c r="I697" t="e">
        <f ca="1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W697" s="2">
        <f t="shared" ca="1" si="79"/>
        <v>0</v>
      </c>
      <c r="X697">
        <f t="shared" ca="1" si="80"/>
        <v>0</v>
      </c>
      <c r="Z697" s="63" t="e">
        <f t="shared" ca="1" si="81"/>
        <v>#N/A</v>
      </c>
      <c r="AA697" s="63" t="e">
        <f t="shared" ca="1" si="82"/>
        <v>#N/A</v>
      </c>
      <c r="AB697" s="3" t="e">
        <f t="shared" ca="1" si="83"/>
        <v>#N/A</v>
      </c>
    </row>
    <row r="698" spans="7:28">
      <c r="G698" t="e">
        <f t="shared" ca="1" si="77"/>
        <v>#N/A</v>
      </c>
      <c r="H698" t="e">
        <f t="shared" ca="1" si="78"/>
        <v>#N/A</v>
      </c>
      <c r="I698" t="e">
        <f ca="1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W698" s="2">
        <f t="shared" ca="1" si="79"/>
        <v>0</v>
      </c>
      <c r="X698">
        <f t="shared" ca="1" si="80"/>
        <v>0</v>
      </c>
      <c r="Z698" s="63" t="e">
        <f t="shared" ca="1" si="81"/>
        <v>#N/A</v>
      </c>
      <c r="AA698" s="63" t="e">
        <f t="shared" ca="1" si="82"/>
        <v>#N/A</v>
      </c>
      <c r="AB698" s="3" t="e">
        <f t="shared" ca="1" si="83"/>
        <v>#N/A</v>
      </c>
    </row>
    <row r="699" spans="7:28">
      <c r="G699" t="e">
        <f t="shared" ca="1" si="77"/>
        <v>#N/A</v>
      </c>
      <c r="H699" t="e">
        <f t="shared" ca="1" si="78"/>
        <v>#N/A</v>
      </c>
      <c r="I699" t="e">
        <f ca="1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W699" s="2">
        <f t="shared" ca="1" si="79"/>
        <v>0</v>
      </c>
      <c r="X699">
        <f t="shared" ca="1" si="80"/>
        <v>0</v>
      </c>
      <c r="Z699" s="63" t="e">
        <f t="shared" ca="1" si="81"/>
        <v>#N/A</v>
      </c>
      <c r="AA699" s="63" t="e">
        <f t="shared" ca="1" si="82"/>
        <v>#N/A</v>
      </c>
      <c r="AB699" s="3" t="e">
        <f t="shared" ca="1" si="83"/>
        <v>#N/A</v>
      </c>
    </row>
    <row r="700" spans="7:28">
      <c r="G700" t="e">
        <f t="shared" ca="1" si="77"/>
        <v>#N/A</v>
      </c>
      <c r="H700" t="e">
        <f t="shared" ca="1" si="78"/>
        <v>#N/A</v>
      </c>
      <c r="I700" t="e">
        <f ca="1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W700" s="2">
        <f t="shared" ca="1" si="79"/>
        <v>0</v>
      </c>
      <c r="X700">
        <f t="shared" ca="1" si="80"/>
        <v>0</v>
      </c>
      <c r="Z700" s="63" t="e">
        <f t="shared" ca="1" si="81"/>
        <v>#N/A</v>
      </c>
      <c r="AA700" s="63" t="e">
        <f t="shared" ca="1" si="82"/>
        <v>#N/A</v>
      </c>
      <c r="AB700" s="3" t="e">
        <f t="shared" ca="1" si="83"/>
        <v>#N/A</v>
      </c>
    </row>
    <row r="701" spans="7:28">
      <c r="G701" t="e">
        <f t="shared" ca="1" si="77"/>
        <v>#N/A</v>
      </c>
      <c r="H701" t="e">
        <f t="shared" ca="1" si="78"/>
        <v>#N/A</v>
      </c>
      <c r="I701" t="e">
        <f ca="1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W701" s="2">
        <f t="shared" ca="1" si="79"/>
        <v>0</v>
      </c>
      <c r="X701">
        <f t="shared" ca="1" si="80"/>
        <v>0</v>
      </c>
      <c r="Z701" s="63" t="e">
        <f t="shared" ca="1" si="81"/>
        <v>#N/A</v>
      </c>
      <c r="AA701" s="63" t="e">
        <f t="shared" ca="1" si="82"/>
        <v>#N/A</v>
      </c>
      <c r="AB701" s="3" t="e">
        <f t="shared" ca="1" si="83"/>
        <v>#N/A</v>
      </c>
    </row>
    <row r="702" spans="7:28">
      <c r="G702" t="e">
        <f t="shared" ca="1" si="77"/>
        <v>#N/A</v>
      </c>
      <c r="H702" t="e">
        <f t="shared" ca="1" si="78"/>
        <v>#N/A</v>
      </c>
      <c r="I702" t="e">
        <f ca="1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W702" s="2">
        <f t="shared" ca="1" si="79"/>
        <v>0</v>
      </c>
      <c r="X702">
        <f t="shared" ca="1" si="80"/>
        <v>0</v>
      </c>
      <c r="Z702" s="63" t="e">
        <f t="shared" ca="1" si="81"/>
        <v>#N/A</v>
      </c>
      <c r="AA702" s="63" t="e">
        <f t="shared" ca="1" si="82"/>
        <v>#N/A</v>
      </c>
      <c r="AB702" s="3" t="e">
        <f t="shared" ca="1" si="83"/>
        <v>#N/A</v>
      </c>
    </row>
    <row r="703" spans="7:28">
      <c r="G703" t="e">
        <f t="shared" ca="1" si="77"/>
        <v>#N/A</v>
      </c>
      <c r="H703" t="e">
        <f t="shared" ca="1" si="78"/>
        <v>#N/A</v>
      </c>
      <c r="I703" t="e">
        <f ca="1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W703" s="2">
        <f t="shared" ca="1" si="79"/>
        <v>0</v>
      </c>
      <c r="X703">
        <f t="shared" ca="1" si="80"/>
        <v>0</v>
      </c>
      <c r="Z703" s="63" t="e">
        <f t="shared" ca="1" si="81"/>
        <v>#N/A</v>
      </c>
      <c r="AA703" s="63" t="e">
        <f t="shared" ca="1" si="82"/>
        <v>#N/A</v>
      </c>
      <c r="AB703" s="3" t="e">
        <f t="shared" ca="1" si="83"/>
        <v>#N/A</v>
      </c>
    </row>
    <row r="704" spans="7:28">
      <c r="G704" t="e">
        <f t="shared" ca="1" si="77"/>
        <v>#N/A</v>
      </c>
      <c r="H704" t="e">
        <f t="shared" ca="1" si="78"/>
        <v>#N/A</v>
      </c>
      <c r="I704" t="e">
        <f ca="1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W704" s="2">
        <f t="shared" ca="1" si="79"/>
        <v>0</v>
      </c>
      <c r="X704">
        <f t="shared" ca="1" si="80"/>
        <v>0</v>
      </c>
      <c r="Z704" s="63" t="e">
        <f t="shared" ca="1" si="81"/>
        <v>#N/A</v>
      </c>
      <c r="AA704" s="63" t="e">
        <f t="shared" ca="1" si="82"/>
        <v>#N/A</v>
      </c>
      <c r="AB704" s="3" t="e">
        <f t="shared" ca="1" si="83"/>
        <v>#N/A</v>
      </c>
    </row>
    <row r="705" spans="7:28">
      <c r="G705" t="e">
        <f t="shared" ca="1" si="77"/>
        <v>#N/A</v>
      </c>
      <c r="H705" t="e">
        <f t="shared" ca="1" si="78"/>
        <v>#N/A</v>
      </c>
      <c r="I705" t="e">
        <f ca="1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W705" s="2">
        <f t="shared" ca="1" si="79"/>
        <v>0</v>
      </c>
      <c r="X705">
        <f t="shared" ca="1" si="80"/>
        <v>0</v>
      </c>
      <c r="Z705" s="63" t="e">
        <f t="shared" ca="1" si="81"/>
        <v>#N/A</v>
      </c>
      <c r="AA705" s="63" t="e">
        <f t="shared" ca="1" si="82"/>
        <v>#N/A</v>
      </c>
      <c r="AB705" s="3" t="e">
        <f t="shared" ca="1" si="83"/>
        <v>#N/A</v>
      </c>
    </row>
    <row r="706" spans="7:28">
      <c r="G706" t="e">
        <f t="shared" ca="1" si="77"/>
        <v>#N/A</v>
      </c>
      <c r="H706" t="e">
        <f t="shared" ca="1" si="78"/>
        <v>#N/A</v>
      </c>
      <c r="I706" t="e">
        <f ca="1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W706" s="2">
        <f t="shared" ca="1" si="79"/>
        <v>0</v>
      </c>
      <c r="X706">
        <f t="shared" ca="1" si="80"/>
        <v>0</v>
      </c>
      <c r="Z706" s="63" t="e">
        <f t="shared" ca="1" si="81"/>
        <v>#N/A</v>
      </c>
      <c r="AA706" s="63" t="e">
        <f t="shared" ca="1" si="82"/>
        <v>#N/A</v>
      </c>
      <c r="AB706" s="3" t="e">
        <f t="shared" ca="1" si="83"/>
        <v>#N/A</v>
      </c>
    </row>
    <row r="707" spans="7:28">
      <c r="G707" t="e">
        <f t="shared" ca="1" si="77"/>
        <v>#N/A</v>
      </c>
      <c r="H707" t="e">
        <f t="shared" ca="1" si="78"/>
        <v>#N/A</v>
      </c>
      <c r="I707" t="e">
        <f ca="1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W707" s="2">
        <f t="shared" ca="1" si="79"/>
        <v>0</v>
      </c>
      <c r="X707">
        <f t="shared" ca="1" si="80"/>
        <v>0</v>
      </c>
      <c r="Z707" s="63" t="e">
        <f t="shared" ca="1" si="81"/>
        <v>#N/A</v>
      </c>
      <c r="AA707" s="63" t="e">
        <f t="shared" ca="1" si="82"/>
        <v>#N/A</v>
      </c>
      <c r="AB707" s="3" t="e">
        <f t="shared" ca="1" si="83"/>
        <v>#N/A</v>
      </c>
    </row>
    <row r="708" spans="7:28">
      <c r="G708" t="e">
        <f t="shared" ca="1" si="77"/>
        <v>#N/A</v>
      </c>
      <c r="H708" t="e">
        <f t="shared" ca="1" si="78"/>
        <v>#N/A</v>
      </c>
      <c r="I708" t="e">
        <f ca="1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W708" s="2">
        <f t="shared" ca="1" si="79"/>
        <v>0</v>
      </c>
      <c r="X708">
        <f t="shared" ca="1" si="80"/>
        <v>0</v>
      </c>
      <c r="Z708" s="63" t="e">
        <f t="shared" ca="1" si="81"/>
        <v>#N/A</v>
      </c>
      <c r="AA708" s="63" t="e">
        <f t="shared" ca="1" si="82"/>
        <v>#N/A</v>
      </c>
      <c r="AB708" s="3" t="e">
        <f t="shared" ca="1" si="83"/>
        <v>#N/A</v>
      </c>
    </row>
    <row r="709" spans="7:28">
      <c r="G709" t="e">
        <f t="shared" ca="1" si="77"/>
        <v>#N/A</v>
      </c>
      <c r="H709" t="e">
        <f t="shared" ca="1" si="78"/>
        <v>#N/A</v>
      </c>
      <c r="I709" t="e">
        <f ca="1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W709" s="2">
        <f t="shared" ca="1" si="79"/>
        <v>0</v>
      </c>
      <c r="X709">
        <f t="shared" ca="1" si="80"/>
        <v>0</v>
      </c>
      <c r="Z709" s="63" t="e">
        <f t="shared" ca="1" si="81"/>
        <v>#N/A</v>
      </c>
      <c r="AA709" s="63" t="e">
        <f t="shared" ca="1" si="82"/>
        <v>#N/A</v>
      </c>
      <c r="AB709" s="3" t="e">
        <f t="shared" ca="1" si="83"/>
        <v>#N/A</v>
      </c>
    </row>
    <row r="710" spans="7:28">
      <c r="G710" t="e">
        <f t="shared" ca="1" si="77"/>
        <v>#N/A</v>
      </c>
      <c r="H710" t="e">
        <f t="shared" ca="1" si="78"/>
        <v>#N/A</v>
      </c>
      <c r="I710" t="e">
        <f ca="1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W710" s="2">
        <f t="shared" ca="1" si="79"/>
        <v>0</v>
      </c>
      <c r="X710">
        <f t="shared" ca="1" si="80"/>
        <v>0</v>
      </c>
      <c r="Z710" s="63" t="e">
        <f t="shared" ca="1" si="81"/>
        <v>#N/A</v>
      </c>
      <c r="AA710" s="63" t="e">
        <f t="shared" ca="1" si="82"/>
        <v>#N/A</v>
      </c>
      <c r="AB710" s="3" t="e">
        <f t="shared" ca="1" si="83"/>
        <v>#N/A</v>
      </c>
    </row>
    <row r="711" spans="7:28">
      <c r="G711" t="e">
        <f t="shared" ca="1" si="77"/>
        <v>#N/A</v>
      </c>
      <c r="H711" t="e">
        <f t="shared" ca="1" si="78"/>
        <v>#N/A</v>
      </c>
      <c r="I711" t="e">
        <f ca="1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W711" s="2">
        <f t="shared" ca="1" si="79"/>
        <v>0</v>
      </c>
      <c r="X711">
        <f t="shared" ca="1" si="80"/>
        <v>0</v>
      </c>
      <c r="Z711" s="63" t="e">
        <f t="shared" ca="1" si="81"/>
        <v>#N/A</v>
      </c>
      <c r="AA711" s="63" t="e">
        <f t="shared" ca="1" si="82"/>
        <v>#N/A</v>
      </c>
      <c r="AB711" s="3" t="e">
        <f t="shared" ca="1" si="83"/>
        <v>#N/A</v>
      </c>
    </row>
    <row r="712" spans="7:28">
      <c r="G712" t="e">
        <f t="shared" ca="1" si="77"/>
        <v>#N/A</v>
      </c>
      <c r="H712" t="e">
        <f t="shared" ca="1" si="78"/>
        <v>#N/A</v>
      </c>
      <c r="I712" t="e">
        <f ca="1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W712" s="2">
        <f t="shared" ca="1" si="79"/>
        <v>0</v>
      </c>
      <c r="X712">
        <f t="shared" ca="1" si="80"/>
        <v>0</v>
      </c>
      <c r="Z712" s="63" t="e">
        <f t="shared" ca="1" si="81"/>
        <v>#N/A</v>
      </c>
      <c r="AA712" s="63" t="e">
        <f t="shared" ca="1" si="82"/>
        <v>#N/A</v>
      </c>
      <c r="AB712" s="3" t="e">
        <f t="shared" ca="1" si="83"/>
        <v>#N/A</v>
      </c>
    </row>
    <row r="713" spans="7:28">
      <c r="G713" t="e">
        <f t="shared" ca="1" si="77"/>
        <v>#N/A</v>
      </c>
      <c r="H713" t="e">
        <f t="shared" ca="1" si="78"/>
        <v>#N/A</v>
      </c>
      <c r="I713" t="e">
        <f ca="1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W713" s="2">
        <f t="shared" ca="1" si="79"/>
        <v>0</v>
      </c>
      <c r="X713">
        <f t="shared" ca="1" si="80"/>
        <v>0</v>
      </c>
      <c r="Z713" s="63" t="e">
        <f t="shared" ca="1" si="81"/>
        <v>#N/A</v>
      </c>
      <c r="AA713" s="63" t="e">
        <f t="shared" ca="1" si="82"/>
        <v>#N/A</v>
      </c>
      <c r="AB713" s="3" t="e">
        <f t="shared" ca="1" si="83"/>
        <v>#N/A</v>
      </c>
    </row>
    <row r="714" spans="7:28">
      <c r="G714" t="e">
        <f t="shared" ca="1" si="77"/>
        <v>#N/A</v>
      </c>
      <c r="H714" t="e">
        <f t="shared" ca="1" si="78"/>
        <v>#N/A</v>
      </c>
      <c r="I714" t="e">
        <f ca="1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W714" s="2">
        <f t="shared" ca="1" si="79"/>
        <v>0</v>
      </c>
      <c r="X714">
        <f t="shared" ca="1" si="80"/>
        <v>0</v>
      </c>
      <c r="Z714" s="63" t="e">
        <f t="shared" ca="1" si="81"/>
        <v>#N/A</v>
      </c>
      <c r="AA714" s="63" t="e">
        <f t="shared" ca="1" si="82"/>
        <v>#N/A</v>
      </c>
      <c r="AB714" s="3" t="e">
        <f t="shared" ca="1" si="83"/>
        <v>#N/A</v>
      </c>
    </row>
    <row r="715" spans="7:28">
      <c r="G715" t="e">
        <f t="shared" ca="1" si="77"/>
        <v>#N/A</v>
      </c>
      <c r="H715" t="e">
        <f t="shared" ca="1" si="78"/>
        <v>#N/A</v>
      </c>
      <c r="I715" t="e">
        <f ca="1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W715" s="2">
        <f t="shared" ca="1" si="79"/>
        <v>0</v>
      </c>
      <c r="X715">
        <f t="shared" ca="1" si="80"/>
        <v>0</v>
      </c>
      <c r="Z715" s="63" t="e">
        <f t="shared" ca="1" si="81"/>
        <v>#N/A</v>
      </c>
      <c r="AA715" s="63" t="e">
        <f t="shared" ca="1" si="82"/>
        <v>#N/A</v>
      </c>
      <c r="AB715" s="3" t="e">
        <f t="shared" ca="1" si="83"/>
        <v>#N/A</v>
      </c>
    </row>
    <row r="716" spans="7:28">
      <c r="G716" t="e">
        <f t="shared" ca="1" si="77"/>
        <v>#N/A</v>
      </c>
      <c r="H716" t="e">
        <f t="shared" ca="1" si="78"/>
        <v>#N/A</v>
      </c>
      <c r="I716" t="e">
        <f ca="1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W716" s="2">
        <f t="shared" ca="1" si="79"/>
        <v>0</v>
      </c>
      <c r="X716">
        <f t="shared" ca="1" si="80"/>
        <v>0</v>
      </c>
      <c r="Z716" s="63" t="e">
        <f t="shared" ca="1" si="81"/>
        <v>#N/A</v>
      </c>
      <c r="AA716" s="63" t="e">
        <f t="shared" ca="1" si="82"/>
        <v>#N/A</v>
      </c>
      <c r="AB716" s="3" t="e">
        <f t="shared" ca="1" si="83"/>
        <v>#N/A</v>
      </c>
    </row>
    <row r="717" spans="7:28">
      <c r="G717" t="e">
        <f t="shared" ca="1" si="77"/>
        <v>#N/A</v>
      </c>
      <c r="H717" t="e">
        <f t="shared" ca="1" si="78"/>
        <v>#N/A</v>
      </c>
      <c r="I717" t="e">
        <f ca="1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W717" s="2">
        <f t="shared" ca="1" si="79"/>
        <v>0</v>
      </c>
      <c r="X717">
        <f t="shared" ca="1" si="80"/>
        <v>0</v>
      </c>
      <c r="Z717" s="63" t="e">
        <f t="shared" ca="1" si="81"/>
        <v>#N/A</v>
      </c>
      <c r="AA717" s="63" t="e">
        <f t="shared" ca="1" si="82"/>
        <v>#N/A</v>
      </c>
      <c r="AB717" s="3" t="e">
        <f t="shared" ca="1" si="83"/>
        <v>#N/A</v>
      </c>
    </row>
    <row r="718" spans="7:28">
      <c r="G718" t="e">
        <f t="shared" ca="1" si="77"/>
        <v>#N/A</v>
      </c>
      <c r="H718" t="e">
        <f t="shared" ca="1" si="78"/>
        <v>#N/A</v>
      </c>
      <c r="I718" t="e">
        <f ca="1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W718" s="2">
        <f t="shared" ca="1" si="79"/>
        <v>0</v>
      </c>
      <c r="X718">
        <f t="shared" ca="1" si="80"/>
        <v>0</v>
      </c>
      <c r="Z718" s="63" t="e">
        <f t="shared" ca="1" si="81"/>
        <v>#N/A</v>
      </c>
      <c r="AA718" s="63" t="e">
        <f t="shared" ca="1" si="82"/>
        <v>#N/A</v>
      </c>
      <c r="AB718" s="3" t="e">
        <f t="shared" ca="1" si="83"/>
        <v>#N/A</v>
      </c>
    </row>
    <row r="719" spans="7:28">
      <c r="G719" t="e">
        <f t="shared" ca="1" si="77"/>
        <v>#N/A</v>
      </c>
      <c r="H719" t="e">
        <f t="shared" ca="1" si="78"/>
        <v>#N/A</v>
      </c>
      <c r="I719" t="e">
        <f ca="1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W719" s="2">
        <f t="shared" ca="1" si="79"/>
        <v>0</v>
      </c>
      <c r="X719">
        <f t="shared" ca="1" si="80"/>
        <v>0</v>
      </c>
      <c r="Z719" s="63" t="e">
        <f t="shared" ca="1" si="81"/>
        <v>#N/A</v>
      </c>
      <c r="AA719" s="63" t="e">
        <f t="shared" ca="1" si="82"/>
        <v>#N/A</v>
      </c>
      <c r="AB719" s="3" t="e">
        <f t="shared" ca="1" si="83"/>
        <v>#N/A</v>
      </c>
    </row>
    <row r="720" spans="7:28">
      <c r="G720" t="e">
        <f t="shared" ca="1" si="77"/>
        <v>#N/A</v>
      </c>
      <c r="H720" t="e">
        <f t="shared" ca="1" si="78"/>
        <v>#N/A</v>
      </c>
      <c r="I720" t="e">
        <f ca="1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W720" s="2">
        <f t="shared" ca="1" si="79"/>
        <v>0</v>
      </c>
      <c r="X720">
        <f t="shared" ca="1" si="80"/>
        <v>0</v>
      </c>
      <c r="Z720" s="63" t="e">
        <f t="shared" ca="1" si="81"/>
        <v>#N/A</v>
      </c>
      <c r="AA720" s="63" t="e">
        <f t="shared" ca="1" si="82"/>
        <v>#N/A</v>
      </c>
      <c r="AB720" s="3" t="e">
        <f t="shared" ca="1" si="83"/>
        <v>#N/A</v>
      </c>
    </row>
    <row r="721" spans="7:28">
      <c r="G721" t="e">
        <f t="shared" ca="1" si="77"/>
        <v>#N/A</v>
      </c>
      <c r="H721" t="e">
        <f t="shared" ca="1" si="78"/>
        <v>#N/A</v>
      </c>
      <c r="I721" t="e">
        <f ca="1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W721" s="2">
        <f t="shared" ca="1" si="79"/>
        <v>0</v>
      </c>
      <c r="X721">
        <f t="shared" ca="1" si="80"/>
        <v>0</v>
      </c>
      <c r="Z721" s="63" t="e">
        <f t="shared" ca="1" si="81"/>
        <v>#N/A</v>
      </c>
      <c r="AA721" s="63" t="e">
        <f t="shared" ca="1" si="82"/>
        <v>#N/A</v>
      </c>
      <c r="AB721" s="3" t="e">
        <f t="shared" ca="1" si="83"/>
        <v>#N/A</v>
      </c>
    </row>
    <row r="722" spans="7:28">
      <c r="G722" t="e">
        <f t="shared" ca="1" si="77"/>
        <v>#N/A</v>
      </c>
      <c r="H722" t="e">
        <f t="shared" ca="1" si="78"/>
        <v>#N/A</v>
      </c>
      <c r="I722" t="e">
        <f ca="1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W722" s="2">
        <f t="shared" ca="1" si="79"/>
        <v>0</v>
      </c>
      <c r="X722">
        <f t="shared" ca="1" si="80"/>
        <v>0</v>
      </c>
      <c r="Z722" s="63" t="e">
        <f t="shared" ca="1" si="81"/>
        <v>#N/A</v>
      </c>
      <c r="AA722" s="63" t="e">
        <f t="shared" ca="1" si="82"/>
        <v>#N/A</v>
      </c>
      <c r="AB722" s="3" t="e">
        <f t="shared" ca="1" si="83"/>
        <v>#N/A</v>
      </c>
    </row>
    <row r="723" spans="7:28">
      <c r="G723" t="e">
        <f t="shared" ca="1" si="77"/>
        <v>#N/A</v>
      </c>
      <c r="H723" t="e">
        <f t="shared" ca="1" si="78"/>
        <v>#N/A</v>
      </c>
      <c r="I723" t="e">
        <f ca="1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W723" s="2">
        <f t="shared" ca="1" si="79"/>
        <v>0</v>
      </c>
      <c r="X723">
        <f t="shared" ca="1" si="80"/>
        <v>0</v>
      </c>
      <c r="Z723" s="63" t="e">
        <f t="shared" ca="1" si="81"/>
        <v>#N/A</v>
      </c>
      <c r="AA723" s="63" t="e">
        <f t="shared" ca="1" si="82"/>
        <v>#N/A</v>
      </c>
      <c r="AB723" s="3" t="e">
        <f t="shared" ca="1" si="83"/>
        <v>#N/A</v>
      </c>
    </row>
    <row r="724" spans="7:28">
      <c r="G724" t="e">
        <f t="shared" ca="1" si="77"/>
        <v>#N/A</v>
      </c>
      <c r="H724" t="e">
        <f t="shared" ca="1" si="78"/>
        <v>#N/A</v>
      </c>
      <c r="I724" t="e">
        <f ca="1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W724" s="2">
        <f t="shared" ca="1" si="79"/>
        <v>0</v>
      </c>
      <c r="X724">
        <f t="shared" ca="1" si="80"/>
        <v>0</v>
      </c>
      <c r="Z724" s="63" t="e">
        <f t="shared" ca="1" si="81"/>
        <v>#N/A</v>
      </c>
      <c r="AA724" s="63" t="e">
        <f t="shared" ca="1" si="82"/>
        <v>#N/A</v>
      </c>
      <c r="AB724" s="3" t="e">
        <f t="shared" ca="1" si="83"/>
        <v>#N/A</v>
      </c>
    </row>
    <row r="725" spans="7:28">
      <c r="G725" t="e">
        <f t="shared" ca="1" si="77"/>
        <v>#N/A</v>
      </c>
      <c r="H725" t="e">
        <f t="shared" ca="1" si="78"/>
        <v>#N/A</v>
      </c>
      <c r="I725" t="e">
        <f ca="1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W725" s="2">
        <f t="shared" ca="1" si="79"/>
        <v>0</v>
      </c>
      <c r="X725">
        <f t="shared" ca="1" si="80"/>
        <v>0</v>
      </c>
      <c r="Z725" s="63" t="e">
        <f t="shared" ca="1" si="81"/>
        <v>#N/A</v>
      </c>
      <c r="AA725" s="63" t="e">
        <f t="shared" ca="1" si="82"/>
        <v>#N/A</v>
      </c>
      <c r="AB725" s="3" t="e">
        <f t="shared" ca="1" si="83"/>
        <v>#N/A</v>
      </c>
    </row>
    <row r="726" spans="7:28">
      <c r="G726" t="e">
        <f t="shared" ca="1" si="77"/>
        <v>#N/A</v>
      </c>
      <c r="H726" t="e">
        <f t="shared" ca="1" si="78"/>
        <v>#N/A</v>
      </c>
      <c r="I726" t="e">
        <f ca="1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W726" s="2">
        <f t="shared" ca="1" si="79"/>
        <v>0</v>
      </c>
      <c r="X726">
        <f t="shared" ca="1" si="80"/>
        <v>0</v>
      </c>
      <c r="Z726" s="63" t="e">
        <f t="shared" ca="1" si="81"/>
        <v>#N/A</v>
      </c>
      <c r="AA726" s="63" t="e">
        <f t="shared" ca="1" si="82"/>
        <v>#N/A</v>
      </c>
      <c r="AB726" s="3" t="e">
        <f t="shared" ca="1" si="83"/>
        <v>#N/A</v>
      </c>
    </row>
    <row r="727" spans="7:28">
      <c r="G727" t="e">
        <f t="shared" ca="1" si="77"/>
        <v>#N/A</v>
      </c>
      <c r="H727" t="e">
        <f t="shared" ca="1" si="78"/>
        <v>#N/A</v>
      </c>
      <c r="I727" t="e">
        <f ca="1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W727" s="2">
        <f t="shared" ca="1" si="79"/>
        <v>0</v>
      </c>
      <c r="X727">
        <f t="shared" ca="1" si="80"/>
        <v>0</v>
      </c>
      <c r="Z727" s="63" t="e">
        <f t="shared" ca="1" si="81"/>
        <v>#N/A</v>
      </c>
      <c r="AA727" s="63" t="e">
        <f t="shared" ca="1" si="82"/>
        <v>#N/A</v>
      </c>
      <c r="AB727" s="3" t="e">
        <f t="shared" ca="1" si="83"/>
        <v>#N/A</v>
      </c>
    </row>
    <row r="728" spans="7:28">
      <c r="G728" t="e">
        <f t="shared" ca="1" si="77"/>
        <v>#N/A</v>
      </c>
      <c r="H728" t="e">
        <f t="shared" ca="1" si="78"/>
        <v>#N/A</v>
      </c>
      <c r="I728" t="e">
        <f ca="1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W728" s="2">
        <f t="shared" ca="1" si="79"/>
        <v>0</v>
      </c>
      <c r="X728">
        <f t="shared" ca="1" si="80"/>
        <v>0</v>
      </c>
      <c r="Z728" s="63" t="e">
        <f t="shared" ca="1" si="81"/>
        <v>#N/A</v>
      </c>
      <c r="AA728" s="63" t="e">
        <f t="shared" ca="1" si="82"/>
        <v>#N/A</v>
      </c>
      <c r="AB728" s="3" t="e">
        <f t="shared" ca="1" si="83"/>
        <v>#N/A</v>
      </c>
    </row>
    <row r="729" spans="7:28">
      <c r="G729" t="e">
        <f t="shared" ca="1" si="77"/>
        <v>#N/A</v>
      </c>
      <c r="H729" t="e">
        <f t="shared" ca="1" si="78"/>
        <v>#N/A</v>
      </c>
      <c r="I729" t="e">
        <f ca="1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W729" s="2">
        <f t="shared" ca="1" si="79"/>
        <v>0</v>
      </c>
      <c r="X729">
        <f t="shared" ca="1" si="80"/>
        <v>0</v>
      </c>
      <c r="Z729" s="63" t="e">
        <f t="shared" ca="1" si="81"/>
        <v>#N/A</v>
      </c>
      <c r="AA729" s="63" t="e">
        <f t="shared" ca="1" si="82"/>
        <v>#N/A</v>
      </c>
      <c r="AB729" s="3" t="e">
        <f t="shared" ca="1" si="83"/>
        <v>#N/A</v>
      </c>
    </row>
    <row r="730" spans="7:28">
      <c r="G730" t="e">
        <f t="shared" ca="1" si="77"/>
        <v>#N/A</v>
      </c>
      <c r="H730" t="e">
        <f t="shared" ca="1" si="78"/>
        <v>#N/A</v>
      </c>
      <c r="I730" t="e">
        <f ca="1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W730" s="2">
        <f t="shared" ca="1" si="79"/>
        <v>0</v>
      </c>
      <c r="X730">
        <f t="shared" ca="1" si="80"/>
        <v>0</v>
      </c>
      <c r="Z730" s="63" t="e">
        <f t="shared" ca="1" si="81"/>
        <v>#N/A</v>
      </c>
      <c r="AA730" s="63" t="e">
        <f t="shared" ca="1" si="82"/>
        <v>#N/A</v>
      </c>
      <c r="AB730" s="3" t="e">
        <f t="shared" ca="1" si="83"/>
        <v>#N/A</v>
      </c>
    </row>
    <row r="731" spans="7:28">
      <c r="G731" t="e">
        <f t="shared" ca="1" si="77"/>
        <v>#N/A</v>
      </c>
      <c r="H731" t="e">
        <f t="shared" ca="1" si="78"/>
        <v>#N/A</v>
      </c>
      <c r="I731" t="e">
        <f ca="1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W731" s="2">
        <f t="shared" ca="1" si="79"/>
        <v>0</v>
      </c>
      <c r="X731">
        <f t="shared" ca="1" si="80"/>
        <v>0</v>
      </c>
      <c r="Z731" s="63" t="e">
        <f t="shared" ca="1" si="81"/>
        <v>#N/A</v>
      </c>
      <c r="AA731" s="63" t="e">
        <f t="shared" ca="1" si="82"/>
        <v>#N/A</v>
      </c>
      <c r="AB731" s="3" t="e">
        <f t="shared" ca="1" si="83"/>
        <v>#N/A</v>
      </c>
    </row>
    <row r="732" spans="7:28">
      <c r="G732" t="e">
        <f t="shared" ca="1" si="77"/>
        <v>#N/A</v>
      </c>
      <c r="H732" t="e">
        <f t="shared" ca="1" si="78"/>
        <v>#N/A</v>
      </c>
      <c r="I732" t="e">
        <f ca="1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W732" s="2">
        <f t="shared" ca="1" si="79"/>
        <v>0</v>
      </c>
      <c r="X732">
        <f t="shared" ca="1" si="80"/>
        <v>0</v>
      </c>
      <c r="Z732" s="63" t="e">
        <f t="shared" ca="1" si="81"/>
        <v>#N/A</v>
      </c>
      <c r="AA732" s="63" t="e">
        <f t="shared" ca="1" si="82"/>
        <v>#N/A</v>
      </c>
      <c r="AB732" s="3" t="e">
        <f t="shared" ca="1" si="83"/>
        <v>#N/A</v>
      </c>
    </row>
    <row r="733" spans="7:28">
      <c r="G733" t="e">
        <f t="shared" ca="1" si="77"/>
        <v>#N/A</v>
      </c>
      <c r="H733" t="e">
        <f t="shared" ca="1" si="78"/>
        <v>#N/A</v>
      </c>
      <c r="I733" t="e">
        <f ca="1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W733" s="2">
        <f t="shared" ca="1" si="79"/>
        <v>0</v>
      </c>
      <c r="X733">
        <f t="shared" ca="1" si="80"/>
        <v>0</v>
      </c>
      <c r="Z733" s="63" t="e">
        <f t="shared" ca="1" si="81"/>
        <v>#N/A</v>
      </c>
      <c r="AA733" s="63" t="e">
        <f t="shared" ca="1" si="82"/>
        <v>#N/A</v>
      </c>
      <c r="AB733" s="3" t="e">
        <f t="shared" ca="1" si="83"/>
        <v>#N/A</v>
      </c>
    </row>
    <row r="734" spans="7:28">
      <c r="G734" t="e">
        <f t="shared" ca="1" si="77"/>
        <v>#N/A</v>
      </c>
      <c r="H734" t="e">
        <f t="shared" ca="1" si="78"/>
        <v>#N/A</v>
      </c>
      <c r="I734" t="e">
        <f ca="1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W734" s="2">
        <f t="shared" ca="1" si="79"/>
        <v>0</v>
      </c>
      <c r="X734">
        <f t="shared" ca="1" si="80"/>
        <v>0</v>
      </c>
      <c r="Z734" s="63" t="e">
        <f t="shared" ca="1" si="81"/>
        <v>#N/A</v>
      </c>
      <c r="AA734" s="63" t="e">
        <f t="shared" ca="1" si="82"/>
        <v>#N/A</v>
      </c>
      <c r="AB734" s="3" t="e">
        <f t="shared" ca="1" si="83"/>
        <v>#N/A</v>
      </c>
    </row>
    <row r="735" spans="7:28">
      <c r="G735" t="e">
        <f t="shared" ca="1" si="77"/>
        <v>#N/A</v>
      </c>
      <c r="H735" t="e">
        <f t="shared" ca="1" si="78"/>
        <v>#N/A</v>
      </c>
      <c r="I735" t="e">
        <f ca="1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W735" s="2">
        <f t="shared" ca="1" si="79"/>
        <v>0</v>
      </c>
      <c r="X735">
        <f t="shared" ca="1" si="80"/>
        <v>0</v>
      </c>
      <c r="Z735" s="63" t="e">
        <f t="shared" ca="1" si="81"/>
        <v>#N/A</v>
      </c>
      <c r="AA735" s="63" t="e">
        <f t="shared" ca="1" si="82"/>
        <v>#N/A</v>
      </c>
      <c r="AB735" s="3" t="e">
        <f t="shared" ca="1" si="83"/>
        <v>#N/A</v>
      </c>
    </row>
    <row r="736" spans="7:28">
      <c r="G736" t="e">
        <f t="shared" ca="1" si="77"/>
        <v>#N/A</v>
      </c>
      <c r="H736" t="e">
        <f t="shared" ca="1" si="78"/>
        <v>#N/A</v>
      </c>
      <c r="I736" t="e">
        <f ca="1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W736" s="2">
        <f t="shared" ca="1" si="79"/>
        <v>0</v>
      </c>
      <c r="X736">
        <f t="shared" ca="1" si="80"/>
        <v>0</v>
      </c>
      <c r="Z736" s="63" t="e">
        <f t="shared" ca="1" si="81"/>
        <v>#N/A</v>
      </c>
      <c r="AA736" s="63" t="e">
        <f t="shared" ca="1" si="82"/>
        <v>#N/A</v>
      </c>
      <c r="AB736" s="3" t="e">
        <f t="shared" ca="1" si="83"/>
        <v>#N/A</v>
      </c>
    </row>
    <row r="737" spans="7:28">
      <c r="G737" t="e">
        <f t="shared" ca="1" si="77"/>
        <v>#N/A</v>
      </c>
      <c r="H737" t="e">
        <f t="shared" ca="1" si="78"/>
        <v>#N/A</v>
      </c>
      <c r="I737" t="e">
        <f ca="1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W737" s="2">
        <f t="shared" ca="1" si="79"/>
        <v>0</v>
      </c>
      <c r="X737">
        <f t="shared" ca="1" si="80"/>
        <v>0</v>
      </c>
      <c r="Z737" s="63" t="e">
        <f t="shared" ca="1" si="81"/>
        <v>#N/A</v>
      </c>
      <c r="AA737" s="63" t="e">
        <f t="shared" ca="1" si="82"/>
        <v>#N/A</v>
      </c>
      <c r="AB737" s="3" t="e">
        <f t="shared" ca="1" si="83"/>
        <v>#N/A</v>
      </c>
    </row>
    <row r="738" spans="7:28">
      <c r="G738" t="e">
        <f t="shared" ca="1" si="77"/>
        <v>#N/A</v>
      </c>
      <c r="H738" t="e">
        <f t="shared" ca="1" si="78"/>
        <v>#N/A</v>
      </c>
      <c r="I738" t="e">
        <f ca="1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W738" s="2">
        <f t="shared" ca="1" si="79"/>
        <v>0</v>
      </c>
      <c r="X738">
        <f t="shared" ca="1" si="80"/>
        <v>0</v>
      </c>
      <c r="Z738" s="63" t="e">
        <f t="shared" ca="1" si="81"/>
        <v>#N/A</v>
      </c>
      <c r="AA738" s="63" t="e">
        <f t="shared" ca="1" si="82"/>
        <v>#N/A</v>
      </c>
      <c r="AB738" s="3" t="e">
        <f t="shared" ca="1" si="83"/>
        <v>#N/A</v>
      </c>
    </row>
    <row r="739" spans="7:28">
      <c r="G739" t="e">
        <f t="shared" ca="1" si="77"/>
        <v>#N/A</v>
      </c>
      <c r="H739" t="e">
        <f t="shared" ca="1" si="78"/>
        <v>#N/A</v>
      </c>
      <c r="I739" t="e">
        <f ca="1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W739" s="2">
        <f t="shared" ca="1" si="79"/>
        <v>0</v>
      </c>
      <c r="X739">
        <f t="shared" ca="1" si="80"/>
        <v>0</v>
      </c>
      <c r="Z739" s="63" t="e">
        <f t="shared" ca="1" si="81"/>
        <v>#N/A</v>
      </c>
      <c r="AA739" s="63" t="e">
        <f t="shared" ca="1" si="82"/>
        <v>#N/A</v>
      </c>
      <c r="AB739" s="3" t="e">
        <f t="shared" ca="1" si="83"/>
        <v>#N/A</v>
      </c>
    </row>
    <row r="740" spans="7:28">
      <c r="G740" t="e">
        <f t="shared" ca="1" si="77"/>
        <v>#N/A</v>
      </c>
      <c r="H740" t="e">
        <f t="shared" ca="1" si="78"/>
        <v>#N/A</v>
      </c>
      <c r="I740" t="e">
        <f ca="1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W740" s="2">
        <f t="shared" ca="1" si="79"/>
        <v>0</v>
      </c>
      <c r="X740">
        <f t="shared" ca="1" si="80"/>
        <v>0</v>
      </c>
      <c r="Z740" s="63" t="e">
        <f t="shared" ca="1" si="81"/>
        <v>#N/A</v>
      </c>
      <c r="AA740" s="63" t="e">
        <f t="shared" ca="1" si="82"/>
        <v>#N/A</v>
      </c>
      <c r="AB740" s="3" t="e">
        <f t="shared" ca="1" si="83"/>
        <v>#N/A</v>
      </c>
    </row>
    <row r="741" spans="7:28">
      <c r="G741" t="e">
        <f t="shared" ca="1" si="77"/>
        <v>#N/A</v>
      </c>
      <c r="H741" t="e">
        <f t="shared" ca="1" si="78"/>
        <v>#N/A</v>
      </c>
      <c r="I741" t="e">
        <f ca="1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W741" s="2">
        <f t="shared" ca="1" si="79"/>
        <v>0</v>
      </c>
      <c r="X741">
        <f t="shared" ca="1" si="80"/>
        <v>0</v>
      </c>
      <c r="Z741" s="63" t="e">
        <f t="shared" ca="1" si="81"/>
        <v>#N/A</v>
      </c>
      <c r="AA741" s="63" t="e">
        <f t="shared" ca="1" si="82"/>
        <v>#N/A</v>
      </c>
      <c r="AB741" s="3" t="e">
        <f t="shared" ca="1" si="83"/>
        <v>#N/A</v>
      </c>
    </row>
    <row r="742" spans="7:28">
      <c r="G742" t="e">
        <f t="shared" ca="1" si="77"/>
        <v>#N/A</v>
      </c>
      <c r="H742" t="e">
        <f t="shared" ca="1" si="78"/>
        <v>#N/A</v>
      </c>
      <c r="I742" t="e">
        <f ca="1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W742" s="2">
        <f t="shared" ca="1" si="79"/>
        <v>0</v>
      </c>
      <c r="X742">
        <f t="shared" ca="1" si="80"/>
        <v>0</v>
      </c>
      <c r="Z742" s="63" t="e">
        <f t="shared" ca="1" si="81"/>
        <v>#N/A</v>
      </c>
      <c r="AA742" s="63" t="e">
        <f t="shared" ca="1" si="82"/>
        <v>#N/A</v>
      </c>
      <c r="AB742" s="3" t="e">
        <f t="shared" ca="1" si="83"/>
        <v>#N/A</v>
      </c>
    </row>
    <row r="743" spans="7:28">
      <c r="G743" t="e">
        <f t="shared" ca="1" si="77"/>
        <v>#N/A</v>
      </c>
      <c r="H743" t="e">
        <f t="shared" ca="1" si="78"/>
        <v>#N/A</v>
      </c>
      <c r="I743" t="e">
        <f ca="1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W743" s="2">
        <f t="shared" ca="1" si="79"/>
        <v>0</v>
      </c>
      <c r="X743">
        <f t="shared" ca="1" si="80"/>
        <v>0</v>
      </c>
      <c r="Z743" s="63" t="e">
        <f t="shared" ca="1" si="81"/>
        <v>#N/A</v>
      </c>
      <c r="AA743" s="63" t="e">
        <f t="shared" ca="1" si="82"/>
        <v>#N/A</v>
      </c>
      <c r="AB743" s="3" t="e">
        <f t="shared" ca="1" si="83"/>
        <v>#N/A</v>
      </c>
    </row>
    <row r="744" spans="7:28">
      <c r="G744" t="e">
        <f t="shared" ca="1" si="77"/>
        <v>#N/A</v>
      </c>
      <c r="H744" t="e">
        <f t="shared" ca="1" si="78"/>
        <v>#N/A</v>
      </c>
      <c r="I744" t="e">
        <f ca="1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W744" s="2">
        <f t="shared" ca="1" si="79"/>
        <v>0</v>
      </c>
      <c r="X744">
        <f t="shared" ca="1" si="80"/>
        <v>0</v>
      </c>
      <c r="Z744" s="63" t="e">
        <f t="shared" ca="1" si="81"/>
        <v>#N/A</v>
      </c>
      <c r="AA744" s="63" t="e">
        <f t="shared" ca="1" si="82"/>
        <v>#N/A</v>
      </c>
      <c r="AB744" s="3" t="e">
        <f t="shared" ca="1" si="83"/>
        <v>#N/A</v>
      </c>
    </row>
    <row r="745" spans="7:28">
      <c r="G745" t="e">
        <f t="shared" ca="1" si="77"/>
        <v>#N/A</v>
      </c>
      <c r="H745" t="e">
        <f t="shared" ca="1" si="78"/>
        <v>#N/A</v>
      </c>
      <c r="I745" t="e">
        <f ca="1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W745" s="2">
        <f t="shared" ca="1" si="79"/>
        <v>0</v>
      </c>
      <c r="X745">
        <f t="shared" ca="1" si="80"/>
        <v>0</v>
      </c>
      <c r="Z745" s="63" t="e">
        <f t="shared" ca="1" si="81"/>
        <v>#N/A</v>
      </c>
      <c r="AA745" s="63" t="e">
        <f t="shared" ca="1" si="82"/>
        <v>#N/A</v>
      </c>
      <c r="AB745" s="3" t="e">
        <f t="shared" ca="1" si="83"/>
        <v>#N/A</v>
      </c>
    </row>
    <row r="746" spans="7:28">
      <c r="G746" t="e">
        <f t="shared" ca="1" si="77"/>
        <v>#N/A</v>
      </c>
      <c r="H746" t="e">
        <f t="shared" ca="1" si="78"/>
        <v>#N/A</v>
      </c>
      <c r="I746" t="e">
        <f ca="1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W746" s="2">
        <f t="shared" ca="1" si="79"/>
        <v>0</v>
      </c>
      <c r="X746">
        <f t="shared" ca="1" si="80"/>
        <v>0</v>
      </c>
      <c r="Z746" s="63" t="e">
        <f t="shared" ca="1" si="81"/>
        <v>#N/A</v>
      </c>
      <c r="AA746" s="63" t="e">
        <f t="shared" ca="1" si="82"/>
        <v>#N/A</v>
      </c>
      <c r="AB746" s="3" t="e">
        <f t="shared" ca="1" si="83"/>
        <v>#N/A</v>
      </c>
    </row>
    <row r="747" spans="7:28">
      <c r="G747" t="e">
        <f t="shared" ca="1" si="77"/>
        <v>#N/A</v>
      </c>
      <c r="H747" t="e">
        <f t="shared" ca="1" si="78"/>
        <v>#N/A</v>
      </c>
      <c r="I747" t="e">
        <f ca="1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W747" s="2">
        <f t="shared" ca="1" si="79"/>
        <v>0</v>
      </c>
      <c r="X747">
        <f t="shared" ca="1" si="80"/>
        <v>0</v>
      </c>
      <c r="Z747" s="63" t="e">
        <f t="shared" ca="1" si="81"/>
        <v>#N/A</v>
      </c>
      <c r="AA747" s="63" t="e">
        <f t="shared" ca="1" si="82"/>
        <v>#N/A</v>
      </c>
      <c r="AB747" s="3" t="e">
        <f t="shared" ca="1" si="83"/>
        <v>#N/A</v>
      </c>
    </row>
    <row r="748" spans="7:28">
      <c r="G748" t="e">
        <f t="shared" ca="1" si="77"/>
        <v>#N/A</v>
      </c>
      <c r="H748" t="e">
        <f t="shared" ca="1" si="78"/>
        <v>#N/A</v>
      </c>
      <c r="I748" t="e">
        <f ca="1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W748" s="2">
        <f t="shared" ca="1" si="79"/>
        <v>0</v>
      </c>
      <c r="X748">
        <f t="shared" ca="1" si="80"/>
        <v>0</v>
      </c>
      <c r="Z748" s="63" t="e">
        <f t="shared" ca="1" si="81"/>
        <v>#N/A</v>
      </c>
      <c r="AA748" s="63" t="e">
        <f t="shared" ca="1" si="82"/>
        <v>#N/A</v>
      </c>
      <c r="AB748" s="3" t="e">
        <f t="shared" ca="1" si="83"/>
        <v>#N/A</v>
      </c>
    </row>
    <row r="749" spans="7:28">
      <c r="G749" t="e">
        <f t="shared" ca="1" si="77"/>
        <v>#N/A</v>
      </c>
      <c r="H749" t="e">
        <f t="shared" ca="1" si="78"/>
        <v>#N/A</v>
      </c>
      <c r="I749" t="e">
        <f ca="1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W749" s="2">
        <f t="shared" ca="1" si="79"/>
        <v>0</v>
      </c>
      <c r="X749">
        <f t="shared" ca="1" si="80"/>
        <v>0</v>
      </c>
      <c r="Z749" s="63" t="e">
        <f t="shared" ca="1" si="81"/>
        <v>#N/A</v>
      </c>
      <c r="AA749" s="63" t="e">
        <f t="shared" ca="1" si="82"/>
        <v>#N/A</v>
      </c>
      <c r="AB749" s="3" t="e">
        <f t="shared" ca="1" si="83"/>
        <v>#N/A</v>
      </c>
    </row>
    <row r="750" spans="7:28">
      <c r="G750" t="e">
        <f t="shared" ca="1" si="77"/>
        <v>#N/A</v>
      </c>
      <c r="H750" t="e">
        <f t="shared" ca="1" si="78"/>
        <v>#N/A</v>
      </c>
      <c r="I750" t="e">
        <f ca="1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W750" s="2">
        <f t="shared" ca="1" si="79"/>
        <v>0</v>
      </c>
      <c r="X750">
        <f t="shared" ca="1" si="80"/>
        <v>0</v>
      </c>
      <c r="Z750" s="63" t="e">
        <f t="shared" ca="1" si="81"/>
        <v>#N/A</v>
      </c>
      <c r="AA750" s="63" t="e">
        <f t="shared" ca="1" si="82"/>
        <v>#N/A</v>
      </c>
      <c r="AB750" s="3" t="e">
        <f t="shared" ca="1" si="83"/>
        <v>#N/A</v>
      </c>
    </row>
    <row r="751" spans="7:28">
      <c r="G751" t="e">
        <f t="shared" ca="1" si="77"/>
        <v>#N/A</v>
      </c>
      <c r="H751" t="e">
        <f t="shared" ca="1" si="78"/>
        <v>#N/A</v>
      </c>
      <c r="I751" t="e">
        <f ca="1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W751" s="2">
        <f t="shared" ca="1" si="79"/>
        <v>0</v>
      </c>
      <c r="X751">
        <f t="shared" ca="1" si="80"/>
        <v>0</v>
      </c>
      <c r="Z751" s="63" t="e">
        <f t="shared" ca="1" si="81"/>
        <v>#N/A</v>
      </c>
      <c r="AA751" s="63" t="e">
        <f t="shared" ca="1" si="82"/>
        <v>#N/A</v>
      </c>
      <c r="AB751" s="3" t="e">
        <f t="shared" ca="1" si="83"/>
        <v>#N/A</v>
      </c>
    </row>
    <row r="752" spans="7:28">
      <c r="G752" t="e">
        <f t="shared" ca="1" si="77"/>
        <v>#N/A</v>
      </c>
      <c r="H752" t="e">
        <f t="shared" ca="1" si="78"/>
        <v>#N/A</v>
      </c>
      <c r="I752" t="e">
        <f ca="1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W752" s="2">
        <f t="shared" ca="1" si="79"/>
        <v>0</v>
      </c>
      <c r="X752">
        <f t="shared" ca="1" si="80"/>
        <v>0</v>
      </c>
      <c r="Z752" s="63" t="e">
        <f t="shared" ca="1" si="81"/>
        <v>#N/A</v>
      </c>
      <c r="AA752" s="63" t="e">
        <f t="shared" ca="1" si="82"/>
        <v>#N/A</v>
      </c>
      <c r="AB752" s="3" t="e">
        <f t="shared" ca="1" si="83"/>
        <v>#N/A</v>
      </c>
    </row>
    <row r="753" spans="7:28">
      <c r="G753" t="e">
        <f t="shared" ref="G753:G816" ca="1" si="84">IF(I753&lt;$I$4,TRUE,FALSE)</f>
        <v>#N/A</v>
      </c>
      <c r="H753" t="e">
        <f t="shared" ref="H753:H816" ca="1" si="85">AND(IF(I753&gt;($I$3-1),TRUE,FALSE),IF(I753&lt;($I$4+1),TRUE,FALSE))</f>
        <v>#N/A</v>
      </c>
      <c r="I753" t="e">
        <f ca="1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W753" s="2">
        <f t="shared" ref="W753:W816" ca="1" si="86">IFERROR(I753,$W$5)</f>
        <v>0</v>
      </c>
      <c r="X753">
        <f t="shared" ref="X753:X816" ca="1" si="87">IFERROR(N753,0)</f>
        <v>0</v>
      </c>
      <c r="Z753" s="63" t="e">
        <f t="shared" ref="Z753:Z816" ca="1" si="88">J752+L753+M753+N753</f>
        <v>#N/A</v>
      </c>
      <c r="AA753" s="63" t="e">
        <f t="shared" ref="AA753:AA816" ca="1" si="89">J753+K753+Q753</f>
        <v>#N/A</v>
      </c>
      <c r="AB753" s="3" t="e">
        <f t="shared" ref="AB753:AB816" ca="1" si="90">AA753-Z753</f>
        <v>#N/A</v>
      </c>
    </row>
    <row r="754" spans="7:28">
      <c r="G754" t="e">
        <f t="shared" ca="1" si="84"/>
        <v>#N/A</v>
      </c>
      <c r="H754" t="e">
        <f t="shared" ca="1" si="85"/>
        <v>#N/A</v>
      </c>
      <c r="I754" t="e">
        <f ca="1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W754" s="2">
        <f t="shared" ca="1" si="86"/>
        <v>0</v>
      </c>
      <c r="X754">
        <f t="shared" ca="1" si="87"/>
        <v>0</v>
      </c>
      <c r="Z754" s="63" t="e">
        <f t="shared" ca="1" si="88"/>
        <v>#N/A</v>
      </c>
      <c r="AA754" s="63" t="e">
        <f t="shared" ca="1" si="89"/>
        <v>#N/A</v>
      </c>
      <c r="AB754" s="3" t="e">
        <f t="shared" ca="1" si="90"/>
        <v>#N/A</v>
      </c>
    </row>
    <row r="755" spans="7:28">
      <c r="G755" t="e">
        <f t="shared" ca="1" si="84"/>
        <v>#N/A</v>
      </c>
      <c r="H755" t="e">
        <f t="shared" ca="1" si="85"/>
        <v>#N/A</v>
      </c>
      <c r="I755" t="e">
        <f ca="1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W755" s="2">
        <f t="shared" ca="1" si="86"/>
        <v>0</v>
      </c>
      <c r="X755">
        <f t="shared" ca="1" si="87"/>
        <v>0</v>
      </c>
      <c r="Z755" s="63" t="e">
        <f t="shared" ca="1" si="88"/>
        <v>#N/A</v>
      </c>
      <c r="AA755" s="63" t="e">
        <f t="shared" ca="1" si="89"/>
        <v>#N/A</v>
      </c>
      <c r="AB755" s="3" t="e">
        <f t="shared" ca="1" si="90"/>
        <v>#N/A</v>
      </c>
    </row>
    <row r="756" spans="7:28">
      <c r="G756" t="e">
        <f t="shared" ca="1" si="84"/>
        <v>#N/A</v>
      </c>
      <c r="H756" t="e">
        <f t="shared" ca="1" si="85"/>
        <v>#N/A</v>
      </c>
      <c r="I756" t="e">
        <f ca="1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W756" s="2">
        <f t="shared" ca="1" si="86"/>
        <v>0</v>
      </c>
      <c r="X756">
        <f t="shared" ca="1" si="87"/>
        <v>0</v>
      </c>
      <c r="Z756" s="63" t="e">
        <f t="shared" ca="1" si="88"/>
        <v>#N/A</v>
      </c>
      <c r="AA756" s="63" t="e">
        <f t="shared" ca="1" si="89"/>
        <v>#N/A</v>
      </c>
      <c r="AB756" s="3" t="e">
        <f t="shared" ca="1" si="90"/>
        <v>#N/A</v>
      </c>
    </row>
    <row r="757" spans="7:28">
      <c r="G757" t="e">
        <f t="shared" ca="1" si="84"/>
        <v>#N/A</v>
      </c>
      <c r="H757" t="e">
        <f t="shared" ca="1" si="85"/>
        <v>#N/A</v>
      </c>
      <c r="I757" t="e">
        <f ca="1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W757" s="2">
        <f t="shared" ca="1" si="86"/>
        <v>0</v>
      </c>
      <c r="X757">
        <f t="shared" ca="1" si="87"/>
        <v>0</v>
      </c>
      <c r="Z757" s="63" t="e">
        <f t="shared" ca="1" si="88"/>
        <v>#N/A</v>
      </c>
      <c r="AA757" s="63" t="e">
        <f t="shared" ca="1" si="89"/>
        <v>#N/A</v>
      </c>
      <c r="AB757" s="3" t="e">
        <f t="shared" ca="1" si="90"/>
        <v>#N/A</v>
      </c>
    </row>
    <row r="758" spans="7:28">
      <c r="G758" t="e">
        <f t="shared" ca="1" si="84"/>
        <v>#N/A</v>
      </c>
      <c r="H758" t="e">
        <f t="shared" ca="1" si="85"/>
        <v>#N/A</v>
      </c>
      <c r="I758" t="e">
        <f ca="1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W758" s="2">
        <f t="shared" ca="1" si="86"/>
        <v>0</v>
      </c>
      <c r="X758">
        <f t="shared" ca="1" si="87"/>
        <v>0</v>
      </c>
      <c r="Z758" s="63" t="e">
        <f t="shared" ca="1" si="88"/>
        <v>#N/A</v>
      </c>
      <c r="AA758" s="63" t="e">
        <f t="shared" ca="1" si="89"/>
        <v>#N/A</v>
      </c>
      <c r="AB758" s="3" t="e">
        <f t="shared" ca="1" si="90"/>
        <v>#N/A</v>
      </c>
    </row>
    <row r="759" spans="7:28">
      <c r="G759" t="e">
        <f t="shared" ca="1" si="84"/>
        <v>#N/A</v>
      </c>
      <c r="H759" t="e">
        <f t="shared" ca="1" si="85"/>
        <v>#N/A</v>
      </c>
      <c r="I759" t="e">
        <f ca="1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W759" s="2">
        <f t="shared" ca="1" si="86"/>
        <v>0</v>
      </c>
      <c r="X759">
        <f t="shared" ca="1" si="87"/>
        <v>0</v>
      </c>
      <c r="Z759" s="63" t="e">
        <f t="shared" ca="1" si="88"/>
        <v>#N/A</v>
      </c>
      <c r="AA759" s="63" t="e">
        <f t="shared" ca="1" si="89"/>
        <v>#N/A</v>
      </c>
      <c r="AB759" s="3" t="e">
        <f t="shared" ca="1" si="90"/>
        <v>#N/A</v>
      </c>
    </row>
    <row r="760" spans="7:28">
      <c r="G760" t="e">
        <f t="shared" ca="1" si="84"/>
        <v>#N/A</v>
      </c>
      <c r="H760" t="e">
        <f t="shared" ca="1" si="85"/>
        <v>#N/A</v>
      </c>
      <c r="I760" t="e">
        <f ca="1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W760" s="2">
        <f t="shared" ca="1" si="86"/>
        <v>0</v>
      </c>
      <c r="X760">
        <f t="shared" ca="1" si="87"/>
        <v>0</v>
      </c>
      <c r="Z760" s="63" t="e">
        <f t="shared" ca="1" si="88"/>
        <v>#N/A</v>
      </c>
      <c r="AA760" s="63" t="e">
        <f t="shared" ca="1" si="89"/>
        <v>#N/A</v>
      </c>
      <c r="AB760" s="3" t="e">
        <f t="shared" ca="1" si="90"/>
        <v>#N/A</v>
      </c>
    </row>
    <row r="761" spans="7:28">
      <c r="G761" t="e">
        <f t="shared" ca="1" si="84"/>
        <v>#N/A</v>
      </c>
      <c r="H761" t="e">
        <f t="shared" ca="1" si="85"/>
        <v>#N/A</v>
      </c>
      <c r="I761" t="e">
        <f ca="1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W761" s="2">
        <f t="shared" ca="1" si="86"/>
        <v>0</v>
      </c>
      <c r="X761">
        <f t="shared" ca="1" si="87"/>
        <v>0</v>
      </c>
      <c r="Z761" s="63" t="e">
        <f t="shared" ca="1" si="88"/>
        <v>#N/A</v>
      </c>
      <c r="AA761" s="63" t="e">
        <f t="shared" ca="1" si="89"/>
        <v>#N/A</v>
      </c>
      <c r="AB761" s="3" t="e">
        <f t="shared" ca="1" si="90"/>
        <v>#N/A</v>
      </c>
    </row>
    <row r="762" spans="7:28">
      <c r="G762" t="e">
        <f t="shared" ca="1" si="84"/>
        <v>#N/A</v>
      </c>
      <c r="H762" t="e">
        <f t="shared" ca="1" si="85"/>
        <v>#N/A</v>
      </c>
      <c r="I762" t="e">
        <f ca="1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W762" s="2">
        <f t="shared" ca="1" si="86"/>
        <v>0</v>
      </c>
      <c r="X762">
        <f t="shared" ca="1" si="87"/>
        <v>0</v>
      </c>
      <c r="Z762" s="63" t="e">
        <f t="shared" ca="1" si="88"/>
        <v>#N/A</v>
      </c>
      <c r="AA762" s="63" t="e">
        <f t="shared" ca="1" si="89"/>
        <v>#N/A</v>
      </c>
      <c r="AB762" s="3" t="e">
        <f t="shared" ca="1" si="90"/>
        <v>#N/A</v>
      </c>
    </row>
    <row r="763" spans="7:28">
      <c r="G763" t="e">
        <f t="shared" ca="1" si="84"/>
        <v>#N/A</v>
      </c>
      <c r="H763" t="e">
        <f t="shared" ca="1" si="85"/>
        <v>#N/A</v>
      </c>
      <c r="I763" t="e">
        <f ca="1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W763" s="2">
        <f t="shared" ca="1" si="86"/>
        <v>0</v>
      </c>
      <c r="X763">
        <f t="shared" ca="1" si="87"/>
        <v>0</v>
      </c>
      <c r="Z763" s="63" t="e">
        <f t="shared" ca="1" si="88"/>
        <v>#N/A</v>
      </c>
      <c r="AA763" s="63" t="e">
        <f t="shared" ca="1" si="89"/>
        <v>#N/A</v>
      </c>
      <c r="AB763" s="3" t="e">
        <f t="shared" ca="1" si="90"/>
        <v>#N/A</v>
      </c>
    </row>
    <row r="764" spans="7:28">
      <c r="G764" t="e">
        <f t="shared" ca="1" si="84"/>
        <v>#N/A</v>
      </c>
      <c r="H764" t="e">
        <f t="shared" ca="1" si="85"/>
        <v>#N/A</v>
      </c>
      <c r="I764" t="e">
        <f ca="1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W764" s="2">
        <f t="shared" ca="1" si="86"/>
        <v>0</v>
      </c>
      <c r="X764">
        <f t="shared" ca="1" si="87"/>
        <v>0</v>
      </c>
      <c r="Z764" s="63" t="e">
        <f t="shared" ca="1" si="88"/>
        <v>#N/A</v>
      </c>
      <c r="AA764" s="63" t="e">
        <f t="shared" ca="1" si="89"/>
        <v>#N/A</v>
      </c>
      <c r="AB764" s="3" t="e">
        <f t="shared" ca="1" si="90"/>
        <v>#N/A</v>
      </c>
    </row>
    <row r="765" spans="7:28">
      <c r="G765" t="e">
        <f t="shared" ca="1" si="84"/>
        <v>#N/A</v>
      </c>
      <c r="H765" t="e">
        <f t="shared" ca="1" si="85"/>
        <v>#N/A</v>
      </c>
      <c r="I765" t="e">
        <f ca="1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W765" s="2">
        <f t="shared" ca="1" si="86"/>
        <v>0</v>
      </c>
      <c r="X765">
        <f t="shared" ca="1" si="87"/>
        <v>0</v>
      </c>
      <c r="Z765" s="63" t="e">
        <f t="shared" ca="1" si="88"/>
        <v>#N/A</v>
      </c>
      <c r="AA765" s="63" t="e">
        <f t="shared" ca="1" si="89"/>
        <v>#N/A</v>
      </c>
      <c r="AB765" s="3" t="e">
        <f t="shared" ca="1" si="90"/>
        <v>#N/A</v>
      </c>
    </row>
    <row r="766" spans="7:28">
      <c r="G766" t="e">
        <f t="shared" ca="1" si="84"/>
        <v>#N/A</v>
      </c>
      <c r="H766" t="e">
        <f t="shared" ca="1" si="85"/>
        <v>#N/A</v>
      </c>
      <c r="I766" t="e">
        <f ca="1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W766" s="2">
        <f t="shared" ca="1" si="86"/>
        <v>0</v>
      </c>
      <c r="X766">
        <f t="shared" ca="1" si="87"/>
        <v>0</v>
      </c>
      <c r="Z766" s="63" t="e">
        <f t="shared" ca="1" si="88"/>
        <v>#N/A</v>
      </c>
      <c r="AA766" s="63" t="e">
        <f t="shared" ca="1" si="89"/>
        <v>#N/A</v>
      </c>
      <c r="AB766" s="3" t="e">
        <f t="shared" ca="1" si="90"/>
        <v>#N/A</v>
      </c>
    </row>
    <row r="767" spans="7:28">
      <c r="G767" t="e">
        <f t="shared" ca="1" si="84"/>
        <v>#N/A</v>
      </c>
      <c r="H767" t="e">
        <f t="shared" ca="1" si="85"/>
        <v>#N/A</v>
      </c>
      <c r="I767" t="e">
        <f ca="1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W767" s="2">
        <f t="shared" ca="1" si="86"/>
        <v>0</v>
      </c>
      <c r="X767">
        <f t="shared" ca="1" si="87"/>
        <v>0</v>
      </c>
      <c r="Z767" s="63" t="e">
        <f t="shared" ca="1" si="88"/>
        <v>#N/A</v>
      </c>
      <c r="AA767" s="63" t="e">
        <f t="shared" ca="1" si="89"/>
        <v>#N/A</v>
      </c>
      <c r="AB767" s="3" t="e">
        <f t="shared" ca="1" si="90"/>
        <v>#N/A</v>
      </c>
    </row>
    <row r="768" spans="7:28">
      <c r="G768" t="e">
        <f t="shared" ca="1" si="84"/>
        <v>#N/A</v>
      </c>
      <c r="H768" t="e">
        <f t="shared" ca="1" si="85"/>
        <v>#N/A</v>
      </c>
      <c r="I768" t="e">
        <f ca="1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W768" s="2">
        <f t="shared" ca="1" si="86"/>
        <v>0</v>
      </c>
      <c r="X768">
        <f t="shared" ca="1" si="87"/>
        <v>0</v>
      </c>
      <c r="Z768" s="63" t="e">
        <f t="shared" ca="1" si="88"/>
        <v>#N/A</v>
      </c>
      <c r="AA768" s="63" t="e">
        <f t="shared" ca="1" si="89"/>
        <v>#N/A</v>
      </c>
      <c r="AB768" s="3" t="e">
        <f t="shared" ca="1" si="90"/>
        <v>#N/A</v>
      </c>
    </row>
    <row r="769" spans="7:28">
      <c r="G769" t="e">
        <f t="shared" ca="1" si="84"/>
        <v>#N/A</v>
      </c>
      <c r="H769" t="e">
        <f t="shared" ca="1" si="85"/>
        <v>#N/A</v>
      </c>
      <c r="I769" t="e">
        <f ca="1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W769" s="2">
        <f t="shared" ca="1" si="86"/>
        <v>0</v>
      </c>
      <c r="X769">
        <f t="shared" ca="1" si="87"/>
        <v>0</v>
      </c>
      <c r="Z769" s="63" t="e">
        <f t="shared" ca="1" si="88"/>
        <v>#N/A</v>
      </c>
      <c r="AA769" s="63" t="e">
        <f t="shared" ca="1" si="89"/>
        <v>#N/A</v>
      </c>
      <c r="AB769" s="3" t="e">
        <f t="shared" ca="1" si="90"/>
        <v>#N/A</v>
      </c>
    </row>
    <row r="770" spans="7:28">
      <c r="G770" t="e">
        <f t="shared" ca="1" si="84"/>
        <v>#N/A</v>
      </c>
      <c r="H770" t="e">
        <f t="shared" ca="1" si="85"/>
        <v>#N/A</v>
      </c>
      <c r="I770" t="e">
        <f ca="1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W770" s="2">
        <f t="shared" ca="1" si="86"/>
        <v>0</v>
      </c>
      <c r="X770">
        <f t="shared" ca="1" si="87"/>
        <v>0</v>
      </c>
      <c r="Z770" s="63" t="e">
        <f t="shared" ca="1" si="88"/>
        <v>#N/A</v>
      </c>
      <c r="AA770" s="63" t="e">
        <f t="shared" ca="1" si="89"/>
        <v>#N/A</v>
      </c>
      <c r="AB770" s="3" t="e">
        <f t="shared" ca="1" si="90"/>
        <v>#N/A</v>
      </c>
    </row>
    <row r="771" spans="7:28">
      <c r="G771" t="e">
        <f t="shared" ca="1" si="84"/>
        <v>#N/A</v>
      </c>
      <c r="H771" t="e">
        <f t="shared" ca="1" si="85"/>
        <v>#N/A</v>
      </c>
      <c r="I771" t="e">
        <f ca="1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W771" s="2">
        <f t="shared" ca="1" si="86"/>
        <v>0</v>
      </c>
      <c r="X771">
        <f t="shared" ca="1" si="87"/>
        <v>0</v>
      </c>
      <c r="Z771" s="63" t="e">
        <f t="shared" ca="1" si="88"/>
        <v>#N/A</v>
      </c>
      <c r="AA771" s="63" t="e">
        <f t="shared" ca="1" si="89"/>
        <v>#N/A</v>
      </c>
      <c r="AB771" s="3" t="e">
        <f t="shared" ca="1" si="90"/>
        <v>#N/A</v>
      </c>
    </row>
    <row r="772" spans="7:28">
      <c r="G772" t="e">
        <f t="shared" ca="1" si="84"/>
        <v>#N/A</v>
      </c>
      <c r="H772" t="e">
        <f t="shared" ca="1" si="85"/>
        <v>#N/A</v>
      </c>
      <c r="I772" t="e">
        <f ca="1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W772" s="2">
        <f t="shared" ca="1" si="86"/>
        <v>0</v>
      </c>
      <c r="X772">
        <f t="shared" ca="1" si="87"/>
        <v>0</v>
      </c>
      <c r="Z772" s="63" t="e">
        <f t="shared" ca="1" si="88"/>
        <v>#N/A</v>
      </c>
      <c r="AA772" s="63" t="e">
        <f t="shared" ca="1" si="89"/>
        <v>#N/A</v>
      </c>
      <c r="AB772" s="3" t="e">
        <f t="shared" ca="1" si="90"/>
        <v>#N/A</v>
      </c>
    </row>
    <row r="773" spans="7:28">
      <c r="G773" t="e">
        <f t="shared" ca="1" si="84"/>
        <v>#N/A</v>
      </c>
      <c r="H773" t="e">
        <f t="shared" ca="1" si="85"/>
        <v>#N/A</v>
      </c>
      <c r="I773" t="e">
        <f ca="1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W773" s="2">
        <f t="shared" ca="1" si="86"/>
        <v>0</v>
      </c>
      <c r="X773">
        <f t="shared" ca="1" si="87"/>
        <v>0</v>
      </c>
      <c r="Z773" s="63" t="e">
        <f t="shared" ca="1" si="88"/>
        <v>#N/A</v>
      </c>
      <c r="AA773" s="63" t="e">
        <f t="shared" ca="1" si="89"/>
        <v>#N/A</v>
      </c>
      <c r="AB773" s="3" t="e">
        <f t="shared" ca="1" si="90"/>
        <v>#N/A</v>
      </c>
    </row>
    <row r="774" spans="7:28">
      <c r="G774" t="e">
        <f t="shared" ca="1" si="84"/>
        <v>#N/A</v>
      </c>
      <c r="H774" t="e">
        <f t="shared" ca="1" si="85"/>
        <v>#N/A</v>
      </c>
      <c r="I774" t="e">
        <f ca="1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W774" s="2">
        <f t="shared" ca="1" si="86"/>
        <v>0</v>
      </c>
      <c r="X774">
        <f t="shared" ca="1" si="87"/>
        <v>0</v>
      </c>
      <c r="Z774" s="63" t="e">
        <f t="shared" ca="1" si="88"/>
        <v>#N/A</v>
      </c>
      <c r="AA774" s="63" t="e">
        <f t="shared" ca="1" si="89"/>
        <v>#N/A</v>
      </c>
      <c r="AB774" s="3" t="e">
        <f t="shared" ca="1" si="90"/>
        <v>#N/A</v>
      </c>
    </row>
    <row r="775" spans="7:28">
      <c r="G775" t="e">
        <f t="shared" ca="1" si="84"/>
        <v>#N/A</v>
      </c>
      <c r="H775" t="e">
        <f t="shared" ca="1" si="85"/>
        <v>#N/A</v>
      </c>
      <c r="I775" t="e">
        <f ca="1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W775" s="2">
        <f t="shared" ca="1" si="86"/>
        <v>0</v>
      </c>
      <c r="X775">
        <f t="shared" ca="1" si="87"/>
        <v>0</v>
      </c>
      <c r="Z775" s="63" t="e">
        <f t="shared" ca="1" si="88"/>
        <v>#N/A</v>
      </c>
      <c r="AA775" s="63" t="e">
        <f t="shared" ca="1" si="89"/>
        <v>#N/A</v>
      </c>
      <c r="AB775" s="3" t="e">
        <f t="shared" ca="1" si="90"/>
        <v>#N/A</v>
      </c>
    </row>
    <row r="776" spans="7:28">
      <c r="G776" t="e">
        <f t="shared" ca="1" si="84"/>
        <v>#N/A</v>
      </c>
      <c r="H776" t="e">
        <f t="shared" ca="1" si="85"/>
        <v>#N/A</v>
      </c>
      <c r="I776" t="e">
        <f ca="1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W776" s="2">
        <f t="shared" ca="1" si="86"/>
        <v>0</v>
      </c>
      <c r="X776">
        <f t="shared" ca="1" si="87"/>
        <v>0</v>
      </c>
      <c r="Z776" s="63" t="e">
        <f t="shared" ca="1" si="88"/>
        <v>#N/A</v>
      </c>
      <c r="AA776" s="63" t="e">
        <f t="shared" ca="1" si="89"/>
        <v>#N/A</v>
      </c>
      <c r="AB776" s="3" t="e">
        <f t="shared" ca="1" si="90"/>
        <v>#N/A</v>
      </c>
    </row>
    <row r="777" spans="7:28">
      <c r="G777" t="e">
        <f t="shared" ca="1" si="84"/>
        <v>#N/A</v>
      </c>
      <c r="H777" t="e">
        <f t="shared" ca="1" si="85"/>
        <v>#N/A</v>
      </c>
      <c r="I777" t="e">
        <f ca="1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W777" s="2">
        <f t="shared" ca="1" si="86"/>
        <v>0</v>
      </c>
      <c r="X777">
        <f t="shared" ca="1" si="87"/>
        <v>0</v>
      </c>
      <c r="Z777" s="63" t="e">
        <f t="shared" ca="1" si="88"/>
        <v>#N/A</v>
      </c>
      <c r="AA777" s="63" t="e">
        <f t="shared" ca="1" si="89"/>
        <v>#N/A</v>
      </c>
      <c r="AB777" s="3" t="e">
        <f t="shared" ca="1" si="90"/>
        <v>#N/A</v>
      </c>
    </row>
    <row r="778" spans="7:28">
      <c r="G778" t="e">
        <f t="shared" ca="1" si="84"/>
        <v>#N/A</v>
      </c>
      <c r="H778" t="e">
        <f t="shared" ca="1" si="85"/>
        <v>#N/A</v>
      </c>
      <c r="I778" t="e">
        <f ca="1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W778" s="2">
        <f t="shared" ca="1" si="86"/>
        <v>0</v>
      </c>
      <c r="X778">
        <f t="shared" ca="1" si="87"/>
        <v>0</v>
      </c>
      <c r="Z778" s="63" t="e">
        <f t="shared" ca="1" si="88"/>
        <v>#N/A</v>
      </c>
      <c r="AA778" s="63" t="e">
        <f t="shared" ca="1" si="89"/>
        <v>#N/A</v>
      </c>
      <c r="AB778" s="3" t="e">
        <f t="shared" ca="1" si="90"/>
        <v>#N/A</v>
      </c>
    </row>
    <row r="779" spans="7:28">
      <c r="G779" t="e">
        <f t="shared" ca="1" si="84"/>
        <v>#N/A</v>
      </c>
      <c r="H779" t="e">
        <f t="shared" ca="1" si="85"/>
        <v>#N/A</v>
      </c>
      <c r="I779" t="e">
        <f ca="1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W779" s="2">
        <f t="shared" ca="1" si="86"/>
        <v>0</v>
      </c>
      <c r="X779">
        <f t="shared" ca="1" si="87"/>
        <v>0</v>
      </c>
      <c r="Z779" s="63" t="e">
        <f t="shared" ca="1" si="88"/>
        <v>#N/A</v>
      </c>
      <c r="AA779" s="63" t="e">
        <f t="shared" ca="1" si="89"/>
        <v>#N/A</v>
      </c>
      <c r="AB779" s="3" t="e">
        <f t="shared" ca="1" si="90"/>
        <v>#N/A</v>
      </c>
    </row>
    <row r="780" spans="7:28">
      <c r="G780" t="e">
        <f t="shared" ca="1" si="84"/>
        <v>#N/A</v>
      </c>
      <c r="H780" t="e">
        <f t="shared" ca="1" si="85"/>
        <v>#N/A</v>
      </c>
      <c r="I780" t="e">
        <f ca="1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W780" s="2">
        <f t="shared" ca="1" si="86"/>
        <v>0</v>
      </c>
      <c r="X780">
        <f t="shared" ca="1" si="87"/>
        <v>0</v>
      </c>
      <c r="Z780" s="63" t="e">
        <f t="shared" ca="1" si="88"/>
        <v>#N/A</v>
      </c>
      <c r="AA780" s="63" t="e">
        <f t="shared" ca="1" si="89"/>
        <v>#N/A</v>
      </c>
      <c r="AB780" s="3" t="e">
        <f t="shared" ca="1" si="90"/>
        <v>#N/A</v>
      </c>
    </row>
    <row r="781" spans="7:28">
      <c r="G781" t="e">
        <f t="shared" ca="1" si="84"/>
        <v>#N/A</v>
      </c>
      <c r="H781" t="e">
        <f t="shared" ca="1" si="85"/>
        <v>#N/A</v>
      </c>
      <c r="I781" t="e">
        <f ca="1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W781" s="2">
        <f t="shared" ca="1" si="86"/>
        <v>0</v>
      </c>
      <c r="X781">
        <f t="shared" ca="1" si="87"/>
        <v>0</v>
      </c>
      <c r="Z781" s="63" t="e">
        <f t="shared" ca="1" si="88"/>
        <v>#N/A</v>
      </c>
      <c r="AA781" s="63" t="e">
        <f t="shared" ca="1" si="89"/>
        <v>#N/A</v>
      </c>
      <c r="AB781" s="3" t="e">
        <f t="shared" ca="1" si="90"/>
        <v>#N/A</v>
      </c>
    </row>
    <row r="782" spans="7:28">
      <c r="G782" t="e">
        <f t="shared" ca="1" si="84"/>
        <v>#N/A</v>
      </c>
      <c r="H782" t="e">
        <f t="shared" ca="1" si="85"/>
        <v>#N/A</v>
      </c>
      <c r="I782" t="e">
        <f ca="1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W782" s="2">
        <f t="shared" ca="1" si="86"/>
        <v>0</v>
      </c>
      <c r="X782">
        <f t="shared" ca="1" si="87"/>
        <v>0</v>
      </c>
      <c r="Z782" s="63" t="e">
        <f t="shared" ca="1" si="88"/>
        <v>#N/A</v>
      </c>
      <c r="AA782" s="63" t="e">
        <f t="shared" ca="1" si="89"/>
        <v>#N/A</v>
      </c>
      <c r="AB782" s="3" t="e">
        <f t="shared" ca="1" si="90"/>
        <v>#N/A</v>
      </c>
    </row>
    <row r="783" spans="7:28">
      <c r="G783" t="e">
        <f t="shared" ca="1" si="84"/>
        <v>#N/A</v>
      </c>
      <c r="H783" t="e">
        <f t="shared" ca="1" si="85"/>
        <v>#N/A</v>
      </c>
      <c r="I783" t="e">
        <f ca="1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W783" s="2">
        <f t="shared" ca="1" si="86"/>
        <v>0</v>
      </c>
      <c r="X783">
        <f t="shared" ca="1" si="87"/>
        <v>0</v>
      </c>
      <c r="Z783" s="63" t="e">
        <f t="shared" ca="1" si="88"/>
        <v>#N/A</v>
      </c>
      <c r="AA783" s="63" t="e">
        <f t="shared" ca="1" si="89"/>
        <v>#N/A</v>
      </c>
      <c r="AB783" s="3" t="e">
        <f t="shared" ca="1" si="90"/>
        <v>#N/A</v>
      </c>
    </row>
    <row r="784" spans="7:28">
      <c r="G784" t="e">
        <f t="shared" ca="1" si="84"/>
        <v>#N/A</v>
      </c>
      <c r="H784" t="e">
        <f t="shared" ca="1" si="85"/>
        <v>#N/A</v>
      </c>
      <c r="I784" t="e">
        <f ca="1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W784" s="2">
        <f t="shared" ca="1" si="86"/>
        <v>0</v>
      </c>
      <c r="X784">
        <f t="shared" ca="1" si="87"/>
        <v>0</v>
      </c>
      <c r="Z784" s="63" t="e">
        <f t="shared" ca="1" si="88"/>
        <v>#N/A</v>
      </c>
      <c r="AA784" s="63" t="e">
        <f t="shared" ca="1" si="89"/>
        <v>#N/A</v>
      </c>
      <c r="AB784" s="3" t="e">
        <f t="shared" ca="1" si="90"/>
        <v>#N/A</v>
      </c>
    </row>
    <row r="785" spans="7:28">
      <c r="G785" t="e">
        <f t="shared" ca="1" si="84"/>
        <v>#N/A</v>
      </c>
      <c r="H785" t="e">
        <f t="shared" ca="1" si="85"/>
        <v>#N/A</v>
      </c>
      <c r="I785" t="e">
        <f ca="1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W785" s="2">
        <f t="shared" ca="1" si="86"/>
        <v>0</v>
      </c>
      <c r="X785">
        <f t="shared" ca="1" si="87"/>
        <v>0</v>
      </c>
      <c r="Z785" s="63" t="e">
        <f t="shared" ca="1" si="88"/>
        <v>#N/A</v>
      </c>
      <c r="AA785" s="63" t="e">
        <f t="shared" ca="1" si="89"/>
        <v>#N/A</v>
      </c>
      <c r="AB785" s="3" t="e">
        <f t="shared" ca="1" si="90"/>
        <v>#N/A</v>
      </c>
    </row>
    <row r="786" spans="7:28">
      <c r="G786" t="e">
        <f t="shared" ca="1" si="84"/>
        <v>#N/A</v>
      </c>
      <c r="H786" t="e">
        <f t="shared" ca="1" si="85"/>
        <v>#N/A</v>
      </c>
      <c r="I786" t="e">
        <f ca="1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W786" s="2">
        <f t="shared" ca="1" si="86"/>
        <v>0</v>
      </c>
      <c r="X786">
        <f t="shared" ca="1" si="87"/>
        <v>0</v>
      </c>
      <c r="Z786" s="63" t="e">
        <f t="shared" ca="1" si="88"/>
        <v>#N/A</v>
      </c>
      <c r="AA786" s="63" t="e">
        <f t="shared" ca="1" si="89"/>
        <v>#N/A</v>
      </c>
      <c r="AB786" s="3" t="e">
        <f t="shared" ca="1" si="90"/>
        <v>#N/A</v>
      </c>
    </row>
    <row r="787" spans="7:28">
      <c r="G787" t="e">
        <f t="shared" ca="1" si="84"/>
        <v>#N/A</v>
      </c>
      <c r="H787" t="e">
        <f t="shared" ca="1" si="85"/>
        <v>#N/A</v>
      </c>
      <c r="I787" t="e">
        <f ca="1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W787" s="2">
        <f t="shared" ca="1" si="86"/>
        <v>0</v>
      </c>
      <c r="X787">
        <f t="shared" ca="1" si="87"/>
        <v>0</v>
      </c>
      <c r="Z787" s="63" t="e">
        <f t="shared" ca="1" si="88"/>
        <v>#N/A</v>
      </c>
      <c r="AA787" s="63" t="e">
        <f t="shared" ca="1" si="89"/>
        <v>#N/A</v>
      </c>
      <c r="AB787" s="3" t="e">
        <f t="shared" ca="1" si="90"/>
        <v>#N/A</v>
      </c>
    </row>
    <row r="788" spans="7:28">
      <c r="G788" t="e">
        <f t="shared" ca="1" si="84"/>
        <v>#N/A</v>
      </c>
      <c r="H788" t="e">
        <f t="shared" ca="1" si="85"/>
        <v>#N/A</v>
      </c>
      <c r="I788" t="e">
        <f ca="1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W788" s="2">
        <f t="shared" ca="1" si="86"/>
        <v>0</v>
      </c>
      <c r="X788">
        <f t="shared" ca="1" si="87"/>
        <v>0</v>
      </c>
      <c r="Z788" s="63" t="e">
        <f t="shared" ca="1" si="88"/>
        <v>#N/A</v>
      </c>
      <c r="AA788" s="63" t="e">
        <f t="shared" ca="1" si="89"/>
        <v>#N/A</v>
      </c>
      <c r="AB788" s="3" t="e">
        <f t="shared" ca="1" si="90"/>
        <v>#N/A</v>
      </c>
    </row>
    <row r="789" spans="7:28">
      <c r="G789" t="e">
        <f t="shared" ca="1" si="84"/>
        <v>#N/A</v>
      </c>
      <c r="H789" t="e">
        <f t="shared" ca="1" si="85"/>
        <v>#N/A</v>
      </c>
      <c r="I789" t="e">
        <f ca="1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W789" s="2">
        <f t="shared" ca="1" si="86"/>
        <v>0</v>
      </c>
      <c r="X789">
        <f t="shared" ca="1" si="87"/>
        <v>0</v>
      </c>
      <c r="Z789" s="63" t="e">
        <f t="shared" ca="1" si="88"/>
        <v>#N/A</v>
      </c>
      <c r="AA789" s="63" t="e">
        <f t="shared" ca="1" si="89"/>
        <v>#N/A</v>
      </c>
      <c r="AB789" s="3" t="e">
        <f t="shared" ca="1" si="90"/>
        <v>#N/A</v>
      </c>
    </row>
    <row r="790" spans="7:28">
      <c r="G790" t="e">
        <f t="shared" ca="1" si="84"/>
        <v>#N/A</v>
      </c>
      <c r="H790" t="e">
        <f t="shared" ca="1" si="85"/>
        <v>#N/A</v>
      </c>
      <c r="I790" t="e">
        <f ca="1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W790" s="2">
        <f t="shared" ca="1" si="86"/>
        <v>0</v>
      </c>
      <c r="X790">
        <f t="shared" ca="1" si="87"/>
        <v>0</v>
      </c>
      <c r="Z790" s="63" t="e">
        <f t="shared" ca="1" si="88"/>
        <v>#N/A</v>
      </c>
      <c r="AA790" s="63" t="e">
        <f t="shared" ca="1" si="89"/>
        <v>#N/A</v>
      </c>
      <c r="AB790" s="3" t="e">
        <f t="shared" ca="1" si="90"/>
        <v>#N/A</v>
      </c>
    </row>
    <row r="791" spans="7:28">
      <c r="G791" t="e">
        <f t="shared" ca="1" si="84"/>
        <v>#N/A</v>
      </c>
      <c r="H791" t="e">
        <f t="shared" ca="1" si="85"/>
        <v>#N/A</v>
      </c>
      <c r="I791" t="e">
        <f ca="1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W791" s="2">
        <f t="shared" ca="1" si="86"/>
        <v>0</v>
      </c>
      <c r="X791">
        <f t="shared" ca="1" si="87"/>
        <v>0</v>
      </c>
      <c r="Z791" s="63" t="e">
        <f t="shared" ca="1" si="88"/>
        <v>#N/A</v>
      </c>
      <c r="AA791" s="63" t="e">
        <f t="shared" ca="1" si="89"/>
        <v>#N/A</v>
      </c>
      <c r="AB791" s="3" t="e">
        <f t="shared" ca="1" si="90"/>
        <v>#N/A</v>
      </c>
    </row>
    <row r="792" spans="7:28">
      <c r="G792" t="e">
        <f t="shared" ca="1" si="84"/>
        <v>#N/A</v>
      </c>
      <c r="H792" t="e">
        <f t="shared" ca="1" si="85"/>
        <v>#N/A</v>
      </c>
      <c r="I792" t="e">
        <f ca="1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W792" s="2">
        <f t="shared" ca="1" si="86"/>
        <v>0</v>
      </c>
      <c r="X792">
        <f t="shared" ca="1" si="87"/>
        <v>0</v>
      </c>
      <c r="Z792" s="63" t="e">
        <f t="shared" ca="1" si="88"/>
        <v>#N/A</v>
      </c>
      <c r="AA792" s="63" t="e">
        <f t="shared" ca="1" si="89"/>
        <v>#N/A</v>
      </c>
      <c r="AB792" s="3" t="e">
        <f t="shared" ca="1" si="90"/>
        <v>#N/A</v>
      </c>
    </row>
    <row r="793" spans="7:28">
      <c r="G793" t="e">
        <f t="shared" ca="1" si="84"/>
        <v>#N/A</v>
      </c>
      <c r="H793" t="e">
        <f t="shared" ca="1" si="85"/>
        <v>#N/A</v>
      </c>
      <c r="I793" t="e">
        <f ca="1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W793" s="2">
        <f t="shared" ca="1" si="86"/>
        <v>0</v>
      </c>
      <c r="X793">
        <f t="shared" ca="1" si="87"/>
        <v>0</v>
      </c>
      <c r="Z793" s="63" t="e">
        <f t="shared" ca="1" si="88"/>
        <v>#N/A</v>
      </c>
      <c r="AA793" s="63" t="e">
        <f t="shared" ca="1" si="89"/>
        <v>#N/A</v>
      </c>
      <c r="AB793" s="3" t="e">
        <f t="shared" ca="1" si="90"/>
        <v>#N/A</v>
      </c>
    </row>
    <row r="794" spans="7:28">
      <c r="G794" t="e">
        <f t="shared" ca="1" si="84"/>
        <v>#N/A</v>
      </c>
      <c r="H794" t="e">
        <f t="shared" ca="1" si="85"/>
        <v>#N/A</v>
      </c>
      <c r="I794" t="e">
        <f ca="1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W794" s="2">
        <f t="shared" ca="1" si="86"/>
        <v>0</v>
      </c>
      <c r="X794">
        <f t="shared" ca="1" si="87"/>
        <v>0</v>
      </c>
      <c r="Z794" s="63" t="e">
        <f t="shared" ca="1" si="88"/>
        <v>#N/A</v>
      </c>
      <c r="AA794" s="63" t="e">
        <f t="shared" ca="1" si="89"/>
        <v>#N/A</v>
      </c>
      <c r="AB794" s="3" t="e">
        <f t="shared" ca="1" si="90"/>
        <v>#N/A</v>
      </c>
    </row>
    <row r="795" spans="7:28">
      <c r="G795" t="e">
        <f t="shared" ca="1" si="84"/>
        <v>#N/A</v>
      </c>
      <c r="H795" t="e">
        <f t="shared" ca="1" si="85"/>
        <v>#N/A</v>
      </c>
      <c r="I795" t="e">
        <f ca="1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W795" s="2">
        <f t="shared" ca="1" si="86"/>
        <v>0</v>
      </c>
      <c r="X795">
        <f t="shared" ca="1" si="87"/>
        <v>0</v>
      </c>
      <c r="Z795" s="63" t="e">
        <f t="shared" ca="1" si="88"/>
        <v>#N/A</v>
      </c>
      <c r="AA795" s="63" t="e">
        <f t="shared" ca="1" si="89"/>
        <v>#N/A</v>
      </c>
      <c r="AB795" s="3" t="e">
        <f t="shared" ca="1" si="90"/>
        <v>#N/A</v>
      </c>
    </row>
    <row r="796" spans="7:28">
      <c r="G796" t="e">
        <f t="shared" ca="1" si="84"/>
        <v>#N/A</v>
      </c>
      <c r="H796" t="e">
        <f t="shared" ca="1" si="85"/>
        <v>#N/A</v>
      </c>
      <c r="I796" t="e">
        <f ca="1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W796" s="2">
        <f t="shared" ca="1" si="86"/>
        <v>0</v>
      </c>
      <c r="X796">
        <f t="shared" ca="1" si="87"/>
        <v>0</v>
      </c>
      <c r="Z796" s="63" t="e">
        <f t="shared" ca="1" si="88"/>
        <v>#N/A</v>
      </c>
      <c r="AA796" s="63" t="e">
        <f t="shared" ca="1" si="89"/>
        <v>#N/A</v>
      </c>
      <c r="AB796" s="3" t="e">
        <f t="shared" ca="1" si="90"/>
        <v>#N/A</v>
      </c>
    </row>
    <row r="797" spans="7:28">
      <c r="G797" t="e">
        <f t="shared" ca="1" si="84"/>
        <v>#N/A</v>
      </c>
      <c r="H797" t="e">
        <f t="shared" ca="1" si="85"/>
        <v>#N/A</v>
      </c>
      <c r="I797" t="e">
        <f ca="1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W797" s="2">
        <f t="shared" ca="1" si="86"/>
        <v>0</v>
      </c>
      <c r="X797">
        <f t="shared" ca="1" si="87"/>
        <v>0</v>
      </c>
      <c r="Z797" s="63" t="e">
        <f t="shared" ca="1" si="88"/>
        <v>#N/A</v>
      </c>
      <c r="AA797" s="63" t="e">
        <f t="shared" ca="1" si="89"/>
        <v>#N/A</v>
      </c>
      <c r="AB797" s="3" t="e">
        <f t="shared" ca="1" si="90"/>
        <v>#N/A</v>
      </c>
    </row>
    <row r="798" spans="7:28">
      <c r="G798" t="e">
        <f t="shared" ca="1" si="84"/>
        <v>#N/A</v>
      </c>
      <c r="H798" t="e">
        <f t="shared" ca="1" si="85"/>
        <v>#N/A</v>
      </c>
      <c r="I798" t="e">
        <f ca="1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W798" s="2">
        <f t="shared" ca="1" si="86"/>
        <v>0</v>
      </c>
      <c r="X798">
        <f t="shared" ca="1" si="87"/>
        <v>0</v>
      </c>
      <c r="Z798" s="63" t="e">
        <f t="shared" ca="1" si="88"/>
        <v>#N/A</v>
      </c>
      <c r="AA798" s="63" t="e">
        <f t="shared" ca="1" si="89"/>
        <v>#N/A</v>
      </c>
      <c r="AB798" s="3" t="e">
        <f t="shared" ca="1" si="90"/>
        <v>#N/A</v>
      </c>
    </row>
    <row r="799" spans="7:28">
      <c r="G799" t="e">
        <f t="shared" ca="1" si="84"/>
        <v>#N/A</v>
      </c>
      <c r="H799" t="e">
        <f t="shared" ca="1" si="85"/>
        <v>#N/A</v>
      </c>
      <c r="I799" t="e">
        <f ca="1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W799" s="2">
        <f t="shared" ca="1" si="86"/>
        <v>0</v>
      </c>
      <c r="X799">
        <f t="shared" ca="1" si="87"/>
        <v>0</v>
      </c>
      <c r="Z799" s="63" t="e">
        <f t="shared" ca="1" si="88"/>
        <v>#N/A</v>
      </c>
      <c r="AA799" s="63" t="e">
        <f t="shared" ca="1" si="89"/>
        <v>#N/A</v>
      </c>
      <c r="AB799" s="3" t="e">
        <f t="shared" ca="1" si="90"/>
        <v>#N/A</v>
      </c>
    </row>
    <row r="800" spans="7:28">
      <c r="G800" t="e">
        <f t="shared" ca="1" si="84"/>
        <v>#N/A</v>
      </c>
      <c r="H800" t="e">
        <f t="shared" ca="1" si="85"/>
        <v>#N/A</v>
      </c>
      <c r="I800" t="e">
        <f ca="1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W800" s="2">
        <f t="shared" ca="1" si="86"/>
        <v>0</v>
      </c>
      <c r="X800">
        <f t="shared" ca="1" si="87"/>
        <v>0</v>
      </c>
      <c r="Z800" s="63" t="e">
        <f t="shared" ca="1" si="88"/>
        <v>#N/A</v>
      </c>
      <c r="AA800" s="63" t="e">
        <f t="shared" ca="1" si="89"/>
        <v>#N/A</v>
      </c>
      <c r="AB800" s="3" t="e">
        <f t="shared" ca="1" si="90"/>
        <v>#N/A</v>
      </c>
    </row>
    <row r="801" spans="7:28">
      <c r="G801" t="e">
        <f t="shared" ca="1" si="84"/>
        <v>#N/A</v>
      </c>
      <c r="H801" t="e">
        <f t="shared" ca="1" si="85"/>
        <v>#N/A</v>
      </c>
      <c r="I801" t="e">
        <f ca="1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W801" s="2">
        <f t="shared" ca="1" si="86"/>
        <v>0</v>
      </c>
      <c r="X801">
        <f t="shared" ca="1" si="87"/>
        <v>0</v>
      </c>
      <c r="Z801" s="63" t="e">
        <f t="shared" ca="1" si="88"/>
        <v>#N/A</v>
      </c>
      <c r="AA801" s="63" t="e">
        <f t="shared" ca="1" si="89"/>
        <v>#N/A</v>
      </c>
      <c r="AB801" s="3" t="e">
        <f t="shared" ca="1" si="90"/>
        <v>#N/A</v>
      </c>
    </row>
    <row r="802" spans="7:28">
      <c r="G802" t="e">
        <f t="shared" ca="1" si="84"/>
        <v>#N/A</v>
      </c>
      <c r="H802" t="e">
        <f t="shared" ca="1" si="85"/>
        <v>#N/A</v>
      </c>
      <c r="I802" t="e">
        <f ca="1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W802" s="2">
        <f t="shared" ca="1" si="86"/>
        <v>0</v>
      </c>
      <c r="X802">
        <f t="shared" ca="1" si="87"/>
        <v>0</v>
      </c>
      <c r="Z802" s="63" t="e">
        <f t="shared" ca="1" si="88"/>
        <v>#N/A</v>
      </c>
      <c r="AA802" s="63" t="e">
        <f t="shared" ca="1" si="89"/>
        <v>#N/A</v>
      </c>
      <c r="AB802" s="3" t="e">
        <f t="shared" ca="1" si="90"/>
        <v>#N/A</v>
      </c>
    </row>
    <row r="803" spans="7:28">
      <c r="G803" t="e">
        <f t="shared" ca="1" si="84"/>
        <v>#N/A</v>
      </c>
      <c r="H803" t="e">
        <f t="shared" ca="1" si="85"/>
        <v>#N/A</v>
      </c>
      <c r="I803" t="e">
        <f ca="1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W803" s="2">
        <f t="shared" ca="1" si="86"/>
        <v>0</v>
      </c>
      <c r="X803">
        <f t="shared" ca="1" si="87"/>
        <v>0</v>
      </c>
      <c r="Z803" s="63" t="e">
        <f t="shared" ca="1" si="88"/>
        <v>#N/A</v>
      </c>
      <c r="AA803" s="63" t="e">
        <f t="shared" ca="1" si="89"/>
        <v>#N/A</v>
      </c>
      <c r="AB803" s="3" t="e">
        <f t="shared" ca="1" si="90"/>
        <v>#N/A</v>
      </c>
    </row>
    <row r="804" spans="7:28">
      <c r="G804" t="e">
        <f t="shared" ca="1" si="84"/>
        <v>#N/A</v>
      </c>
      <c r="H804" t="e">
        <f t="shared" ca="1" si="85"/>
        <v>#N/A</v>
      </c>
      <c r="I804" t="e">
        <f ca="1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W804" s="2">
        <f t="shared" ca="1" si="86"/>
        <v>0</v>
      </c>
      <c r="X804">
        <f t="shared" ca="1" si="87"/>
        <v>0</v>
      </c>
      <c r="Z804" s="63" t="e">
        <f t="shared" ca="1" si="88"/>
        <v>#N/A</v>
      </c>
      <c r="AA804" s="63" t="e">
        <f t="shared" ca="1" si="89"/>
        <v>#N/A</v>
      </c>
      <c r="AB804" s="3" t="e">
        <f t="shared" ca="1" si="90"/>
        <v>#N/A</v>
      </c>
    </row>
    <row r="805" spans="7:28">
      <c r="G805" t="e">
        <f t="shared" ca="1" si="84"/>
        <v>#N/A</v>
      </c>
      <c r="H805" t="e">
        <f t="shared" ca="1" si="85"/>
        <v>#N/A</v>
      </c>
      <c r="I805" t="e">
        <f ca="1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W805" s="2">
        <f t="shared" ca="1" si="86"/>
        <v>0</v>
      </c>
      <c r="X805">
        <f t="shared" ca="1" si="87"/>
        <v>0</v>
      </c>
      <c r="Z805" s="63" t="e">
        <f t="shared" ca="1" si="88"/>
        <v>#N/A</v>
      </c>
      <c r="AA805" s="63" t="e">
        <f t="shared" ca="1" si="89"/>
        <v>#N/A</v>
      </c>
      <c r="AB805" s="3" t="e">
        <f t="shared" ca="1" si="90"/>
        <v>#N/A</v>
      </c>
    </row>
    <row r="806" spans="7:28">
      <c r="G806" t="e">
        <f t="shared" ca="1" si="84"/>
        <v>#N/A</v>
      </c>
      <c r="H806" t="e">
        <f t="shared" ca="1" si="85"/>
        <v>#N/A</v>
      </c>
      <c r="I806" t="e">
        <f ca="1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W806" s="2">
        <f t="shared" ca="1" si="86"/>
        <v>0</v>
      </c>
      <c r="X806">
        <f t="shared" ca="1" si="87"/>
        <v>0</v>
      </c>
      <c r="Z806" s="63" t="e">
        <f t="shared" ca="1" si="88"/>
        <v>#N/A</v>
      </c>
      <c r="AA806" s="63" t="e">
        <f t="shared" ca="1" si="89"/>
        <v>#N/A</v>
      </c>
      <c r="AB806" s="3" t="e">
        <f t="shared" ca="1" si="90"/>
        <v>#N/A</v>
      </c>
    </row>
    <row r="807" spans="7:28">
      <c r="G807" t="e">
        <f t="shared" ca="1" si="84"/>
        <v>#N/A</v>
      </c>
      <c r="H807" t="e">
        <f t="shared" ca="1" si="85"/>
        <v>#N/A</v>
      </c>
      <c r="I807" t="e">
        <f ca="1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W807" s="2">
        <f t="shared" ca="1" si="86"/>
        <v>0</v>
      </c>
      <c r="X807">
        <f t="shared" ca="1" si="87"/>
        <v>0</v>
      </c>
      <c r="Z807" s="63" t="e">
        <f t="shared" ca="1" si="88"/>
        <v>#N/A</v>
      </c>
      <c r="AA807" s="63" t="e">
        <f t="shared" ca="1" si="89"/>
        <v>#N/A</v>
      </c>
      <c r="AB807" s="3" t="e">
        <f t="shared" ca="1" si="90"/>
        <v>#N/A</v>
      </c>
    </row>
    <row r="808" spans="7:28">
      <c r="G808" t="e">
        <f t="shared" ca="1" si="84"/>
        <v>#N/A</v>
      </c>
      <c r="H808" t="e">
        <f t="shared" ca="1" si="85"/>
        <v>#N/A</v>
      </c>
      <c r="I808" t="e">
        <f ca="1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W808" s="2">
        <f t="shared" ca="1" si="86"/>
        <v>0</v>
      </c>
      <c r="X808">
        <f t="shared" ca="1" si="87"/>
        <v>0</v>
      </c>
      <c r="Z808" s="63" t="e">
        <f t="shared" ca="1" si="88"/>
        <v>#N/A</v>
      </c>
      <c r="AA808" s="63" t="e">
        <f t="shared" ca="1" si="89"/>
        <v>#N/A</v>
      </c>
      <c r="AB808" s="3" t="e">
        <f t="shared" ca="1" si="90"/>
        <v>#N/A</v>
      </c>
    </row>
    <row r="809" spans="7:28">
      <c r="G809" t="e">
        <f t="shared" ca="1" si="84"/>
        <v>#N/A</v>
      </c>
      <c r="H809" t="e">
        <f t="shared" ca="1" si="85"/>
        <v>#N/A</v>
      </c>
      <c r="I809" t="e">
        <f ca="1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W809" s="2">
        <f t="shared" ca="1" si="86"/>
        <v>0</v>
      </c>
      <c r="X809">
        <f t="shared" ca="1" si="87"/>
        <v>0</v>
      </c>
      <c r="Z809" s="63" t="e">
        <f t="shared" ca="1" si="88"/>
        <v>#N/A</v>
      </c>
      <c r="AA809" s="63" t="e">
        <f t="shared" ca="1" si="89"/>
        <v>#N/A</v>
      </c>
      <c r="AB809" s="3" t="e">
        <f t="shared" ca="1" si="90"/>
        <v>#N/A</v>
      </c>
    </row>
    <row r="810" spans="7:28">
      <c r="G810" t="e">
        <f t="shared" ca="1" si="84"/>
        <v>#N/A</v>
      </c>
      <c r="H810" t="e">
        <f t="shared" ca="1" si="85"/>
        <v>#N/A</v>
      </c>
      <c r="I810" t="e">
        <f ca="1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W810" s="2">
        <f t="shared" ca="1" si="86"/>
        <v>0</v>
      </c>
      <c r="X810">
        <f t="shared" ca="1" si="87"/>
        <v>0</v>
      </c>
      <c r="Z810" s="63" t="e">
        <f t="shared" ca="1" si="88"/>
        <v>#N/A</v>
      </c>
      <c r="AA810" s="63" t="e">
        <f t="shared" ca="1" si="89"/>
        <v>#N/A</v>
      </c>
      <c r="AB810" s="3" t="e">
        <f t="shared" ca="1" si="90"/>
        <v>#N/A</v>
      </c>
    </row>
    <row r="811" spans="7:28">
      <c r="G811" t="e">
        <f t="shared" ca="1" si="84"/>
        <v>#N/A</v>
      </c>
      <c r="H811" t="e">
        <f t="shared" ca="1" si="85"/>
        <v>#N/A</v>
      </c>
      <c r="I811" t="e">
        <f ca="1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W811" s="2">
        <f t="shared" ca="1" si="86"/>
        <v>0</v>
      </c>
      <c r="X811">
        <f t="shared" ca="1" si="87"/>
        <v>0</v>
      </c>
      <c r="Z811" s="63" t="e">
        <f t="shared" ca="1" si="88"/>
        <v>#N/A</v>
      </c>
      <c r="AA811" s="63" t="e">
        <f t="shared" ca="1" si="89"/>
        <v>#N/A</v>
      </c>
      <c r="AB811" s="3" t="e">
        <f t="shared" ca="1" si="90"/>
        <v>#N/A</v>
      </c>
    </row>
    <row r="812" spans="7:28">
      <c r="G812" t="e">
        <f t="shared" ca="1" si="84"/>
        <v>#N/A</v>
      </c>
      <c r="H812" t="e">
        <f t="shared" ca="1" si="85"/>
        <v>#N/A</v>
      </c>
      <c r="I812" t="e">
        <f ca="1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W812" s="2">
        <f t="shared" ca="1" si="86"/>
        <v>0</v>
      </c>
      <c r="X812">
        <f t="shared" ca="1" si="87"/>
        <v>0</v>
      </c>
      <c r="Z812" s="63" t="e">
        <f t="shared" ca="1" si="88"/>
        <v>#N/A</v>
      </c>
      <c r="AA812" s="63" t="e">
        <f t="shared" ca="1" si="89"/>
        <v>#N/A</v>
      </c>
      <c r="AB812" s="3" t="e">
        <f t="shared" ca="1" si="90"/>
        <v>#N/A</v>
      </c>
    </row>
    <row r="813" spans="7:28">
      <c r="G813" t="e">
        <f t="shared" ca="1" si="84"/>
        <v>#N/A</v>
      </c>
      <c r="H813" t="e">
        <f t="shared" ca="1" si="85"/>
        <v>#N/A</v>
      </c>
      <c r="I813" t="e">
        <f ca="1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W813" s="2">
        <f t="shared" ca="1" si="86"/>
        <v>0</v>
      </c>
      <c r="X813">
        <f t="shared" ca="1" si="87"/>
        <v>0</v>
      </c>
      <c r="Z813" s="63" t="e">
        <f t="shared" ca="1" si="88"/>
        <v>#N/A</v>
      </c>
      <c r="AA813" s="63" t="e">
        <f t="shared" ca="1" si="89"/>
        <v>#N/A</v>
      </c>
      <c r="AB813" s="3" t="e">
        <f t="shared" ca="1" si="90"/>
        <v>#N/A</v>
      </c>
    </row>
    <row r="814" spans="7:28">
      <c r="G814" t="e">
        <f t="shared" ca="1" si="84"/>
        <v>#N/A</v>
      </c>
      <c r="H814" t="e">
        <f t="shared" ca="1" si="85"/>
        <v>#N/A</v>
      </c>
      <c r="I814" t="e">
        <f ca="1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W814" s="2">
        <f t="shared" ca="1" si="86"/>
        <v>0</v>
      </c>
      <c r="X814">
        <f t="shared" ca="1" si="87"/>
        <v>0</v>
      </c>
      <c r="Z814" s="63" t="e">
        <f t="shared" ca="1" si="88"/>
        <v>#N/A</v>
      </c>
      <c r="AA814" s="63" t="e">
        <f t="shared" ca="1" si="89"/>
        <v>#N/A</v>
      </c>
      <c r="AB814" s="3" t="e">
        <f t="shared" ca="1" si="90"/>
        <v>#N/A</v>
      </c>
    </row>
    <row r="815" spans="7:28">
      <c r="G815" t="e">
        <f t="shared" ca="1" si="84"/>
        <v>#N/A</v>
      </c>
      <c r="H815" t="e">
        <f t="shared" ca="1" si="85"/>
        <v>#N/A</v>
      </c>
      <c r="I815" t="e">
        <f ca="1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W815" s="2">
        <f t="shared" ca="1" si="86"/>
        <v>0</v>
      </c>
      <c r="X815">
        <f t="shared" ca="1" si="87"/>
        <v>0</v>
      </c>
      <c r="Z815" s="63" t="e">
        <f t="shared" ca="1" si="88"/>
        <v>#N/A</v>
      </c>
      <c r="AA815" s="63" t="e">
        <f t="shared" ca="1" si="89"/>
        <v>#N/A</v>
      </c>
      <c r="AB815" s="3" t="e">
        <f t="shared" ca="1" si="90"/>
        <v>#N/A</v>
      </c>
    </row>
    <row r="816" spans="7:28">
      <c r="G816" t="e">
        <f t="shared" ca="1" si="84"/>
        <v>#N/A</v>
      </c>
      <c r="H816" t="e">
        <f t="shared" ca="1" si="85"/>
        <v>#N/A</v>
      </c>
      <c r="I816" t="e">
        <f ca="1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W816" s="2">
        <f t="shared" ca="1" si="86"/>
        <v>0</v>
      </c>
      <c r="X816">
        <f t="shared" ca="1" si="87"/>
        <v>0</v>
      </c>
      <c r="Z816" s="63" t="e">
        <f t="shared" ca="1" si="88"/>
        <v>#N/A</v>
      </c>
      <c r="AA816" s="63" t="e">
        <f t="shared" ca="1" si="89"/>
        <v>#N/A</v>
      </c>
      <c r="AB816" s="3" t="e">
        <f t="shared" ca="1" si="90"/>
        <v>#N/A</v>
      </c>
    </row>
    <row r="817" spans="7:28">
      <c r="G817" t="e">
        <f t="shared" ref="G817:G880" ca="1" si="91">IF(I817&lt;$I$4,TRUE,FALSE)</f>
        <v>#N/A</v>
      </c>
      <c r="H817" t="e">
        <f t="shared" ref="H817:H880" ca="1" si="92">AND(IF(I817&gt;($I$3-1),TRUE,FALSE),IF(I817&lt;($I$4+1),TRUE,FALSE))</f>
        <v>#N/A</v>
      </c>
      <c r="I817" t="e">
        <f ca="1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W817" s="2">
        <f t="shared" ref="W817:W880" ca="1" si="93">IFERROR(I817,$W$5)</f>
        <v>0</v>
      </c>
      <c r="X817">
        <f t="shared" ref="X817:X880" ca="1" si="94">IFERROR(N817,0)</f>
        <v>0</v>
      </c>
      <c r="Z817" s="63" t="e">
        <f t="shared" ref="Z817:Z880" ca="1" si="95">J816+L817+M817+N817</f>
        <v>#N/A</v>
      </c>
      <c r="AA817" s="63" t="e">
        <f t="shared" ref="AA817:AA880" ca="1" si="96">J817+K817+Q817</f>
        <v>#N/A</v>
      </c>
      <c r="AB817" s="3" t="e">
        <f t="shared" ref="AB817:AB880" ca="1" si="97">AA817-Z817</f>
        <v>#N/A</v>
      </c>
    </row>
    <row r="818" spans="7:28">
      <c r="G818" t="e">
        <f t="shared" ca="1" si="91"/>
        <v>#N/A</v>
      </c>
      <c r="H818" t="e">
        <f t="shared" ca="1" si="92"/>
        <v>#N/A</v>
      </c>
      <c r="I818" t="e">
        <f ca="1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W818" s="2">
        <f t="shared" ca="1" si="93"/>
        <v>0</v>
      </c>
      <c r="X818">
        <f t="shared" ca="1" si="94"/>
        <v>0</v>
      </c>
      <c r="Z818" s="63" t="e">
        <f t="shared" ca="1" si="95"/>
        <v>#N/A</v>
      </c>
      <c r="AA818" s="63" t="e">
        <f t="shared" ca="1" si="96"/>
        <v>#N/A</v>
      </c>
      <c r="AB818" s="3" t="e">
        <f t="shared" ca="1" si="97"/>
        <v>#N/A</v>
      </c>
    </row>
    <row r="819" spans="7:28">
      <c r="G819" t="e">
        <f t="shared" ca="1" si="91"/>
        <v>#N/A</v>
      </c>
      <c r="H819" t="e">
        <f t="shared" ca="1" si="92"/>
        <v>#N/A</v>
      </c>
      <c r="I819" t="e">
        <f ca="1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W819" s="2">
        <f t="shared" ca="1" si="93"/>
        <v>0</v>
      </c>
      <c r="X819">
        <f t="shared" ca="1" si="94"/>
        <v>0</v>
      </c>
      <c r="Z819" s="63" t="e">
        <f t="shared" ca="1" si="95"/>
        <v>#N/A</v>
      </c>
      <c r="AA819" s="63" t="e">
        <f t="shared" ca="1" si="96"/>
        <v>#N/A</v>
      </c>
      <c r="AB819" s="3" t="e">
        <f t="shared" ca="1" si="97"/>
        <v>#N/A</v>
      </c>
    </row>
    <row r="820" spans="7:28">
      <c r="G820" t="e">
        <f t="shared" ca="1" si="91"/>
        <v>#N/A</v>
      </c>
      <c r="H820" t="e">
        <f t="shared" ca="1" si="92"/>
        <v>#N/A</v>
      </c>
      <c r="I820" t="e">
        <f ca="1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W820" s="2">
        <f t="shared" ca="1" si="93"/>
        <v>0</v>
      </c>
      <c r="X820">
        <f t="shared" ca="1" si="94"/>
        <v>0</v>
      </c>
      <c r="Z820" s="63" t="e">
        <f t="shared" ca="1" si="95"/>
        <v>#N/A</v>
      </c>
      <c r="AA820" s="63" t="e">
        <f t="shared" ca="1" si="96"/>
        <v>#N/A</v>
      </c>
      <c r="AB820" s="3" t="e">
        <f t="shared" ca="1" si="97"/>
        <v>#N/A</v>
      </c>
    </row>
    <row r="821" spans="7:28">
      <c r="G821" t="e">
        <f t="shared" ca="1" si="91"/>
        <v>#N/A</v>
      </c>
      <c r="H821" t="e">
        <f t="shared" ca="1" si="92"/>
        <v>#N/A</v>
      </c>
      <c r="I821" t="e">
        <f ca="1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W821" s="2">
        <f t="shared" ca="1" si="93"/>
        <v>0</v>
      </c>
      <c r="X821">
        <f t="shared" ca="1" si="94"/>
        <v>0</v>
      </c>
      <c r="Z821" s="63" t="e">
        <f t="shared" ca="1" si="95"/>
        <v>#N/A</v>
      </c>
      <c r="AA821" s="63" t="e">
        <f t="shared" ca="1" si="96"/>
        <v>#N/A</v>
      </c>
      <c r="AB821" s="3" t="e">
        <f t="shared" ca="1" si="97"/>
        <v>#N/A</v>
      </c>
    </row>
    <row r="822" spans="7:28">
      <c r="G822" t="e">
        <f t="shared" ca="1" si="91"/>
        <v>#N/A</v>
      </c>
      <c r="H822" t="e">
        <f t="shared" ca="1" si="92"/>
        <v>#N/A</v>
      </c>
      <c r="I822" t="e">
        <f ca="1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W822" s="2">
        <f t="shared" ca="1" si="93"/>
        <v>0</v>
      </c>
      <c r="X822">
        <f t="shared" ca="1" si="94"/>
        <v>0</v>
      </c>
      <c r="Z822" s="63" t="e">
        <f t="shared" ca="1" si="95"/>
        <v>#N/A</v>
      </c>
      <c r="AA822" s="63" t="e">
        <f t="shared" ca="1" si="96"/>
        <v>#N/A</v>
      </c>
      <c r="AB822" s="3" t="e">
        <f t="shared" ca="1" si="97"/>
        <v>#N/A</v>
      </c>
    </row>
    <row r="823" spans="7:28">
      <c r="G823" t="e">
        <f t="shared" ca="1" si="91"/>
        <v>#N/A</v>
      </c>
      <c r="H823" t="e">
        <f t="shared" ca="1" si="92"/>
        <v>#N/A</v>
      </c>
      <c r="I823" t="e">
        <f ca="1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W823" s="2">
        <f t="shared" ca="1" si="93"/>
        <v>0</v>
      </c>
      <c r="X823">
        <f t="shared" ca="1" si="94"/>
        <v>0</v>
      </c>
      <c r="Z823" s="63" t="e">
        <f t="shared" ca="1" si="95"/>
        <v>#N/A</v>
      </c>
      <c r="AA823" s="63" t="e">
        <f t="shared" ca="1" si="96"/>
        <v>#N/A</v>
      </c>
      <c r="AB823" s="3" t="e">
        <f t="shared" ca="1" si="97"/>
        <v>#N/A</v>
      </c>
    </row>
    <row r="824" spans="7:28">
      <c r="G824" t="e">
        <f t="shared" ca="1" si="91"/>
        <v>#N/A</v>
      </c>
      <c r="H824" t="e">
        <f t="shared" ca="1" si="92"/>
        <v>#N/A</v>
      </c>
      <c r="I824" t="e">
        <f ca="1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W824" s="2">
        <f t="shared" ca="1" si="93"/>
        <v>0</v>
      </c>
      <c r="X824">
        <f t="shared" ca="1" si="94"/>
        <v>0</v>
      </c>
      <c r="Z824" s="63" t="e">
        <f t="shared" ca="1" si="95"/>
        <v>#N/A</v>
      </c>
      <c r="AA824" s="63" t="e">
        <f t="shared" ca="1" si="96"/>
        <v>#N/A</v>
      </c>
      <c r="AB824" s="3" t="e">
        <f t="shared" ca="1" si="97"/>
        <v>#N/A</v>
      </c>
    </row>
    <row r="825" spans="7:28">
      <c r="G825" t="e">
        <f t="shared" ca="1" si="91"/>
        <v>#N/A</v>
      </c>
      <c r="H825" t="e">
        <f t="shared" ca="1" si="92"/>
        <v>#N/A</v>
      </c>
      <c r="I825" t="e">
        <f ca="1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W825" s="2">
        <f t="shared" ca="1" si="93"/>
        <v>0</v>
      </c>
      <c r="X825">
        <f t="shared" ca="1" si="94"/>
        <v>0</v>
      </c>
      <c r="Z825" s="63" t="e">
        <f t="shared" ca="1" si="95"/>
        <v>#N/A</v>
      </c>
      <c r="AA825" s="63" t="e">
        <f t="shared" ca="1" si="96"/>
        <v>#N/A</v>
      </c>
      <c r="AB825" s="3" t="e">
        <f t="shared" ca="1" si="97"/>
        <v>#N/A</v>
      </c>
    </row>
    <row r="826" spans="7:28">
      <c r="G826" t="e">
        <f t="shared" ca="1" si="91"/>
        <v>#N/A</v>
      </c>
      <c r="H826" t="e">
        <f t="shared" ca="1" si="92"/>
        <v>#N/A</v>
      </c>
      <c r="I826" t="e">
        <f ca="1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W826" s="2">
        <f t="shared" ca="1" si="93"/>
        <v>0</v>
      </c>
      <c r="X826">
        <f t="shared" ca="1" si="94"/>
        <v>0</v>
      </c>
      <c r="Z826" s="63" t="e">
        <f t="shared" ca="1" si="95"/>
        <v>#N/A</v>
      </c>
      <c r="AA826" s="63" t="e">
        <f t="shared" ca="1" si="96"/>
        <v>#N/A</v>
      </c>
      <c r="AB826" s="3" t="e">
        <f t="shared" ca="1" si="97"/>
        <v>#N/A</v>
      </c>
    </row>
    <row r="827" spans="7:28">
      <c r="G827" t="e">
        <f t="shared" ca="1" si="91"/>
        <v>#N/A</v>
      </c>
      <c r="H827" t="e">
        <f t="shared" ca="1" si="92"/>
        <v>#N/A</v>
      </c>
      <c r="I827" t="e">
        <f ca="1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W827" s="2">
        <f t="shared" ca="1" si="93"/>
        <v>0</v>
      </c>
      <c r="X827">
        <f t="shared" ca="1" si="94"/>
        <v>0</v>
      </c>
      <c r="Z827" s="63" t="e">
        <f t="shared" ca="1" si="95"/>
        <v>#N/A</v>
      </c>
      <c r="AA827" s="63" t="e">
        <f t="shared" ca="1" si="96"/>
        <v>#N/A</v>
      </c>
      <c r="AB827" s="3" t="e">
        <f t="shared" ca="1" si="97"/>
        <v>#N/A</v>
      </c>
    </row>
    <row r="828" spans="7:28">
      <c r="G828" t="e">
        <f t="shared" ca="1" si="91"/>
        <v>#N/A</v>
      </c>
      <c r="H828" t="e">
        <f t="shared" ca="1" si="92"/>
        <v>#N/A</v>
      </c>
      <c r="I828" t="e">
        <f ca="1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W828" s="2">
        <f t="shared" ca="1" si="93"/>
        <v>0</v>
      </c>
      <c r="X828">
        <f t="shared" ca="1" si="94"/>
        <v>0</v>
      </c>
      <c r="Z828" s="63" t="e">
        <f t="shared" ca="1" si="95"/>
        <v>#N/A</v>
      </c>
      <c r="AA828" s="63" t="e">
        <f t="shared" ca="1" si="96"/>
        <v>#N/A</v>
      </c>
      <c r="AB828" s="3" t="e">
        <f t="shared" ca="1" si="97"/>
        <v>#N/A</v>
      </c>
    </row>
    <row r="829" spans="7:28">
      <c r="G829" t="e">
        <f t="shared" ca="1" si="91"/>
        <v>#N/A</v>
      </c>
      <c r="H829" t="e">
        <f t="shared" ca="1" si="92"/>
        <v>#N/A</v>
      </c>
      <c r="I829" t="e">
        <f ca="1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W829" s="2">
        <f t="shared" ca="1" si="93"/>
        <v>0</v>
      </c>
      <c r="X829">
        <f t="shared" ca="1" si="94"/>
        <v>0</v>
      </c>
      <c r="Z829" s="63" t="e">
        <f t="shared" ca="1" si="95"/>
        <v>#N/A</v>
      </c>
      <c r="AA829" s="63" t="e">
        <f t="shared" ca="1" si="96"/>
        <v>#N/A</v>
      </c>
      <c r="AB829" s="3" t="e">
        <f t="shared" ca="1" si="97"/>
        <v>#N/A</v>
      </c>
    </row>
    <row r="830" spans="7:28">
      <c r="G830" t="e">
        <f t="shared" ca="1" si="91"/>
        <v>#N/A</v>
      </c>
      <c r="H830" t="e">
        <f t="shared" ca="1" si="92"/>
        <v>#N/A</v>
      </c>
      <c r="I830" t="e">
        <f ca="1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W830" s="2">
        <f t="shared" ca="1" si="93"/>
        <v>0</v>
      </c>
      <c r="X830">
        <f t="shared" ca="1" si="94"/>
        <v>0</v>
      </c>
      <c r="Z830" s="63" t="e">
        <f t="shared" ca="1" si="95"/>
        <v>#N/A</v>
      </c>
      <c r="AA830" s="63" t="e">
        <f t="shared" ca="1" si="96"/>
        <v>#N/A</v>
      </c>
      <c r="AB830" s="3" t="e">
        <f t="shared" ca="1" si="97"/>
        <v>#N/A</v>
      </c>
    </row>
    <row r="831" spans="7:28">
      <c r="G831" t="e">
        <f t="shared" ca="1" si="91"/>
        <v>#N/A</v>
      </c>
      <c r="H831" t="e">
        <f t="shared" ca="1" si="92"/>
        <v>#N/A</v>
      </c>
      <c r="I831" t="e">
        <f ca="1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W831" s="2">
        <f t="shared" ca="1" si="93"/>
        <v>0</v>
      </c>
      <c r="X831">
        <f t="shared" ca="1" si="94"/>
        <v>0</v>
      </c>
      <c r="Z831" s="63" t="e">
        <f t="shared" ca="1" si="95"/>
        <v>#N/A</v>
      </c>
      <c r="AA831" s="63" t="e">
        <f t="shared" ca="1" si="96"/>
        <v>#N/A</v>
      </c>
      <c r="AB831" s="3" t="e">
        <f t="shared" ca="1" si="97"/>
        <v>#N/A</v>
      </c>
    </row>
    <row r="832" spans="7:28">
      <c r="G832" t="e">
        <f t="shared" ca="1" si="91"/>
        <v>#N/A</v>
      </c>
      <c r="H832" t="e">
        <f t="shared" ca="1" si="92"/>
        <v>#N/A</v>
      </c>
      <c r="I832" t="e">
        <f ca="1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W832" s="2">
        <f t="shared" ca="1" si="93"/>
        <v>0</v>
      </c>
      <c r="X832">
        <f t="shared" ca="1" si="94"/>
        <v>0</v>
      </c>
      <c r="Z832" s="63" t="e">
        <f t="shared" ca="1" si="95"/>
        <v>#N/A</v>
      </c>
      <c r="AA832" s="63" t="e">
        <f t="shared" ca="1" si="96"/>
        <v>#N/A</v>
      </c>
      <c r="AB832" s="3" t="e">
        <f t="shared" ca="1" si="97"/>
        <v>#N/A</v>
      </c>
    </row>
    <row r="833" spans="7:28">
      <c r="G833" t="e">
        <f t="shared" ca="1" si="91"/>
        <v>#N/A</v>
      </c>
      <c r="H833" t="e">
        <f t="shared" ca="1" si="92"/>
        <v>#N/A</v>
      </c>
      <c r="I833" t="e">
        <f ca="1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W833" s="2">
        <f t="shared" ca="1" si="93"/>
        <v>0</v>
      </c>
      <c r="X833">
        <f t="shared" ca="1" si="94"/>
        <v>0</v>
      </c>
      <c r="Z833" s="63" t="e">
        <f t="shared" ca="1" si="95"/>
        <v>#N/A</v>
      </c>
      <c r="AA833" s="63" t="e">
        <f t="shared" ca="1" si="96"/>
        <v>#N/A</v>
      </c>
      <c r="AB833" s="3" t="e">
        <f t="shared" ca="1" si="97"/>
        <v>#N/A</v>
      </c>
    </row>
    <row r="834" spans="7:28">
      <c r="G834" t="e">
        <f t="shared" ca="1" si="91"/>
        <v>#N/A</v>
      </c>
      <c r="H834" t="e">
        <f t="shared" ca="1" si="92"/>
        <v>#N/A</v>
      </c>
      <c r="I834" t="e">
        <f ca="1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W834" s="2">
        <f t="shared" ca="1" si="93"/>
        <v>0</v>
      </c>
      <c r="X834">
        <f t="shared" ca="1" si="94"/>
        <v>0</v>
      </c>
      <c r="Z834" s="63" t="e">
        <f t="shared" ca="1" si="95"/>
        <v>#N/A</v>
      </c>
      <c r="AA834" s="63" t="e">
        <f t="shared" ca="1" si="96"/>
        <v>#N/A</v>
      </c>
      <c r="AB834" s="3" t="e">
        <f t="shared" ca="1" si="97"/>
        <v>#N/A</v>
      </c>
    </row>
    <row r="835" spans="7:28">
      <c r="G835" t="e">
        <f t="shared" ca="1" si="91"/>
        <v>#N/A</v>
      </c>
      <c r="H835" t="e">
        <f t="shared" ca="1" si="92"/>
        <v>#N/A</v>
      </c>
      <c r="I835" t="e">
        <f ca="1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W835" s="2">
        <f t="shared" ca="1" si="93"/>
        <v>0</v>
      </c>
      <c r="X835">
        <f t="shared" ca="1" si="94"/>
        <v>0</v>
      </c>
      <c r="Z835" s="63" t="e">
        <f t="shared" ca="1" si="95"/>
        <v>#N/A</v>
      </c>
      <c r="AA835" s="63" t="e">
        <f t="shared" ca="1" si="96"/>
        <v>#N/A</v>
      </c>
      <c r="AB835" s="3" t="e">
        <f t="shared" ca="1" si="97"/>
        <v>#N/A</v>
      </c>
    </row>
    <row r="836" spans="7:28">
      <c r="G836" t="e">
        <f t="shared" ca="1" si="91"/>
        <v>#N/A</v>
      </c>
      <c r="H836" t="e">
        <f t="shared" ca="1" si="92"/>
        <v>#N/A</v>
      </c>
      <c r="I836" t="e">
        <f ca="1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W836" s="2">
        <f t="shared" ca="1" si="93"/>
        <v>0</v>
      </c>
      <c r="X836">
        <f t="shared" ca="1" si="94"/>
        <v>0</v>
      </c>
      <c r="Z836" s="63" t="e">
        <f t="shared" ca="1" si="95"/>
        <v>#N/A</v>
      </c>
      <c r="AA836" s="63" t="e">
        <f t="shared" ca="1" si="96"/>
        <v>#N/A</v>
      </c>
      <c r="AB836" s="3" t="e">
        <f t="shared" ca="1" si="97"/>
        <v>#N/A</v>
      </c>
    </row>
    <row r="837" spans="7:28">
      <c r="G837" t="e">
        <f t="shared" ca="1" si="91"/>
        <v>#N/A</v>
      </c>
      <c r="H837" t="e">
        <f t="shared" ca="1" si="92"/>
        <v>#N/A</v>
      </c>
      <c r="I837" t="e">
        <f ca="1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W837" s="2">
        <f t="shared" ca="1" si="93"/>
        <v>0</v>
      </c>
      <c r="X837">
        <f t="shared" ca="1" si="94"/>
        <v>0</v>
      </c>
      <c r="Z837" s="63" t="e">
        <f t="shared" ca="1" si="95"/>
        <v>#N/A</v>
      </c>
      <c r="AA837" s="63" t="e">
        <f t="shared" ca="1" si="96"/>
        <v>#N/A</v>
      </c>
      <c r="AB837" s="3" t="e">
        <f t="shared" ca="1" si="97"/>
        <v>#N/A</v>
      </c>
    </row>
    <row r="838" spans="7:28">
      <c r="G838" t="e">
        <f t="shared" ca="1" si="91"/>
        <v>#N/A</v>
      </c>
      <c r="H838" t="e">
        <f t="shared" ca="1" si="92"/>
        <v>#N/A</v>
      </c>
      <c r="I838" t="e">
        <f ca="1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W838" s="2">
        <f t="shared" ca="1" si="93"/>
        <v>0</v>
      </c>
      <c r="X838">
        <f t="shared" ca="1" si="94"/>
        <v>0</v>
      </c>
      <c r="Z838" s="63" t="e">
        <f t="shared" ca="1" si="95"/>
        <v>#N/A</v>
      </c>
      <c r="AA838" s="63" t="e">
        <f t="shared" ca="1" si="96"/>
        <v>#N/A</v>
      </c>
      <c r="AB838" s="3" t="e">
        <f t="shared" ca="1" si="97"/>
        <v>#N/A</v>
      </c>
    </row>
    <row r="839" spans="7:28">
      <c r="G839" t="e">
        <f t="shared" ca="1" si="91"/>
        <v>#N/A</v>
      </c>
      <c r="H839" t="e">
        <f t="shared" ca="1" si="92"/>
        <v>#N/A</v>
      </c>
      <c r="I839" t="e">
        <f ca="1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W839" s="2">
        <f t="shared" ca="1" si="93"/>
        <v>0</v>
      </c>
      <c r="X839">
        <f t="shared" ca="1" si="94"/>
        <v>0</v>
      </c>
      <c r="Z839" s="63" t="e">
        <f t="shared" ca="1" si="95"/>
        <v>#N/A</v>
      </c>
      <c r="AA839" s="63" t="e">
        <f t="shared" ca="1" si="96"/>
        <v>#N/A</v>
      </c>
      <c r="AB839" s="3" t="e">
        <f t="shared" ca="1" si="97"/>
        <v>#N/A</v>
      </c>
    </row>
    <row r="840" spans="7:28">
      <c r="G840" t="e">
        <f t="shared" ca="1" si="91"/>
        <v>#N/A</v>
      </c>
      <c r="H840" t="e">
        <f t="shared" ca="1" si="92"/>
        <v>#N/A</v>
      </c>
      <c r="I840" t="e">
        <f ca="1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W840" s="2">
        <f t="shared" ca="1" si="93"/>
        <v>0</v>
      </c>
      <c r="X840">
        <f t="shared" ca="1" si="94"/>
        <v>0</v>
      </c>
      <c r="Z840" s="63" t="e">
        <f t="shared" ca="1" si="95"/>
        <v>#N/A</v>
      </c>
      <c r="AA840" s="63" t="e">
        <f t="shared" ca="1" si="96"/>
        <v>#N/A</v>
      </c>
      <c r="AB840" s="3" t="e">
        <f t="shared" ca="1" si="97"/>
        <v>#N/A</v>
      </c>
    </row>
    <row r="841" spans="7:28">
      <c r="G841" t="e">
        <f t="shared" ca="1" si="91"/>
        <v>#N/A</v>
      </c>
      <c r="H841" t="e">
        <f t="shared" ca="1" si="92"/>
        <v>#N/A</v>
      </c>
      <c r="I841" t="e">
        <f ca="1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W841" s="2">
        <f t="shared" ca="1" si="93"/>
        <v>0</v>
      </c>
      <c r="X841">
        <f t="shared" ca="1" si="94"/>
        <v>0</v>
      </c>
      <c r="Z841" s="63" t="e">
        <f t="shared" ca="1" si="95"/>
        <v>#N/A</v>
      </c>
      <c r="AA841" s="63" t="e">
        <f t="shared" ca="1" si="96"/>
        <v>#N/A</v>
      </c>
      <c r="AB841" s="3" t="e">
        <f t="shared" ca="1" si="97"/>
        <v>#N/A</v>
      </c>
    </row>
    <row r="842" spans="7:28">
      <c r="G842" t="e">
        <f t="shared" ca="1" si="91"/>
        <v>#N/A</v>
      </c>
      <c r="H842" t="e">
        <f t="shared" ca="1" si="92"/>
        <v>#N/A</v>
      </c>
      <c r="I842" t="e">
        <f ca="1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W842" s="2">
        <f t="shared" ca="1" si="93"/>
        <v>0</v>
      </c>
      <c r="X842">
        <f t="shared" ca="1" si="94"/>
        <v>0</v>
      </c>
      <c r="Z842" s="63" t="e">
        <f t="shared" ca="1" si="95"/>
        <v>#N/A</v>
      </c>
      <c r="AA842" s="63" t="e">
        <f t="shared" ca="1" si="96"/>
        <v>#N/A</v>
      </c>
      <c r="AB842" s="3" t="e">
        <f t="shared" ca="1" si="97"/>
        <v>#N/A</v>
      </c>
    </row>
    <row r="843" spans="7:28">
      <c r="G843" t="e">
        <f t="shared" ca="1" si="91"/>
        <v>#N/A</v>
      </c>
      <c r="H843" t="e">
        <f t="shared" ca="1" si="92"/>
        <v>#N/A</v>
      </c>
      <c r="I843" t="e">
        <f ca="1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W843" s="2">
        <f t="shared" ca="1" si="93"/>
        <v>0</v>
      </c>
      <c r="X843">
        <f t="shared" ca="1" si="94"/>
        <v>0</v>
      </c>
      <c r="Z843" s="63" t="e">
        <f t="shared" ca="1" si="95"/>
        <v>#N/A</v>
      </c>
      <c r="AA843" s="63" t="e">
        <f t="shared" ca="1" si="96"/>
        <v>#N/A</v>
      </c>
      <c r="AB843" s="3" t="e">
        <f t="shared" ca="1" si="97"/>
        <v>#N/A</v>
      </c>
    </row>
    <row r="844" spans="7:28">
      <c r="G844" t="e">
        <f t="shared" ca="1" si="91"/>
        <v>#N/A</v>
      </c>
      <c r="H844" t="e">
        <f t="shared" ca="1" si="92"/>
        <v>#N/A</v>
      </c>
      <c r="I844" t="e">
        <f ca="1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W844" s="2">
        <f t="shared" ca="1" si="93"/>
        <v>0</v>
      </c>
      <c r="X844">
        <f t="shared" ca="1" si="94"/>
        <v>0</v>
      </c>
      <c r="Z844" s="63" t="e">
        <f t="shared" ca="1" si="95"/>
        <v>#N/A</v>
      </c>
      <c r="AA844" s="63" t="e">
        <f t="shared" ca="1" si="96"/>
        <v>#N/A</v>
      </c>
      <c r="AB844" s="3" t="e">
        <f t="shared" ca="1" si="97"/>
        <v>#N/A</v>
      </c>
    </row>
    <row r="845" spans="7:28">
      <c r="G845" t="e">
        <f t="shared" ca="1" si="91"/>
        <v>#N/A</v>
      </c>
      <c r="H845" t="e">
        <f t="shared" ca="1" si="92"/>
        <v>#N/A</v>
      </c>
      <c r="I845" t="e">
        <f ca="1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W845" s="2">
        <f t="shared" ca="1" si="93"/>
        <v>0</v>
      </c>
      <c r="X845">
        <f t="shared" ca="1" si="94"/>
        <v>0</v>
      </c>
      <c r="Z845" s="63" t="e">
        <f t="shared" ca="1" si="95"/>
        <v>#N/A</v>
      </c>
      <c r="AA845" s="63" t="e">
        <f t="shared" ca="1" si="96"/>
        <v>#N/A</v>
      </c>
      <c r="AB845" s="3" t="e">
        <f t="shared" ca="1" si="97"/>
        <v>#N/A</v>
      </c>
    </row>
    <row r="846" spans="7:28">
      <c r="G846" t="e">
        <f t="shared" ca="1" si="91"/>
        <v>#N/A</v>
      </c>
      <c r="H846" t="e">
        <f t="shared" ca="1" si="92"/>
        <v>#N/A</v>
      </c>
      <c r="I846" t="e">
        <f ca="1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W846" s="2">
        <f t="shared" ca="1" si="93"/>
        <v>0</v>
      </c>
      <c r="X846">
        <f t="shared" ca="1" si="94"/>
        <v>0</v>
      </c>
      <c r="Z846" s="63" t="e">
        <f t="shared" ca="1" si="95"/>
        <v>#N/A</v>
      </c>
      <c r="AA846" s="63" t="e">
        <f t="shared" ca="1" si="96"/>
        <v>#N/A</v>
      </c>
      <c r="AB846" s="3" t="e">
        <f t="shared" ca="1" si="97"/>
        <v>#N/A</v>
      </c>
    </row>
    <row r="847" spans="7:28">
      <c r="G847" t="e">
        <f t="shared" ca="1" si="91"/>
        <v>#N/A</v>
      </c>
      <c r="H847" t="e">
        <f t="shared" ca="1" si="92"/>
        <v>#N/A</v>
      </c>
      <c r="I847" t="e">
        <f ca="1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W847" s="2">
        <f t="shared" ca="1" si="93"/>
        <v>0</v>
      </c>
      <c r="X847">
        <f t="shared" ca="1" si="94"/>
        <v>0</v>
      </c>
      <c r="Z847" s="63" t="e">
        <f t="shared" ca="1" si="95"/>
        <v>#N/A</v>
      </c>
      <c r="AA847" s="63" t="e">
        <f t="shared" ca="1" si="96"/>
        <v>#N/A</v>
      </c>
      <c r="AB847" s="3" t="e">
        <f t="shared" ca="1" si="97"/>
        <v>#N/A</v>
      </c>
    </row>
    <row r="848" spans="7:28">
      <c r="G848" t="e">
        <f t="shared" ca="1" si="91"/>
        <v>#N/A</v>
      </c>
      <c r="H848" t="e">
        <f t="shared" ca="1" si="92"/>
        <v>#N/A</v>
      </c>
      <c r="I848" t="e">
        <f ca="1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W848" s="2">
        <f t="shared" ca="1" si="93"/>
        <v>0</v>
      </c>
      <c r="X848">
        <f t="shared" ca="1" si="94"/>
        <v>0</v>
      </c>
      <c r="Z848" s="63" t="e">
        <f t="shared" ca="1" si="95"/>
        <v>#N/A</v>
      </c>
      <c r="AA848" s="63" t="e">
        <f t="shared" ca="1" si="96"/>
        <v>#N/A</v>
      </c>
      <c r="AB848" s="3" t="e">
        <f t="shared" ca="1" si="97"/>
        <v>#N/A</v>
      </c>
    </row>
    <row r="849" spans="7:28">
      <c r="G849" t="e">
        <f t="shared" ca="1" si="91"/>
        <v>#N/A</v>
      </c>
      <c r="H849" t="e">
        <f t="shared" ca="1" si="92"/>
        <v>#N/A</v>
      </c>
      <c r="I849" t="e">
        <f ca="1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W849" s="2">
        <f t="shared" ca="1" si="93"/>
        <v>0</v>
      </c>
      <c r="X849">
        <f t="shared" ca="1" si="94"/>
        <v>0</v>
      </c>
      <c r="Z849" s="63" t="e">
        <f t="shared" ca="1" si="95"/>
        <v>#N/A</v>
      </c>
      <c r="AA849" s="63" t="e">
        <f t="shared" ca="1" si="96"/>
        <v>#N/A</v>
      </c>
      <c r="AB849" s="3" t="e">
        <f t="shared" ca="1" si="97"/>
        <v>#N/A</v>
      </c>
    </row>
    <row r="850" spans="7:28">
      <c r="G850" t="e">
        <f t="shared" ca="1" si="91"/>
        <v>#N/A</v>
      </c>
      <c r="H850" t="e">
        <f t="shared" ca="1" si="92"/>
        <v>#N/A</v>
      </c>
      <c r="I850" t="e">
        <f ca="1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W850" s="2">
        <f t="shared" ca="1" si="93"/>
        <v>0</v>
      </c>
      <c r="X850">
        <f t="shared" ca="1" si="94"/>
        <v>0</v>
      </c>
      <c r="Z850" s="63" t="e">
        <f t="shared" ca="1" si="95"/>
        <v>#N/A</v>
      </c>
      <c r="AA850" s="63" t="e">
        <f t="shared" ca="1" si="96"/>
        <v>#N/A</v>
      </c>
      <c r="AB850" s="3" t="e">
        <f t="shared" ca="1" si="97"/>
        <v>#N/A</v>
      </c>
    </row>
    <row r="851" spans="7:28">
      <c r="G851" t="e">
        <f t="shared" ca="1" si="91"/>
        <v>#N/A</v>
      </c>
      <c r="H851" t="e">
        <f t="shared" ca="1" si="92"/>
        <v>#N/A</v>
      </c>
      <c r="I851" t="e">
        <f ca="1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W851" s="2">
        <f t="shared" ca="1" si="93"/>
        <v>0</v>
      </c>
      <c r="X851">
        <f t="shared" ca="1" si="94"/>
        <v>0</v>
      </c>
      <c r="Z851" s="63" t="e">
        <f t="shared" ca="1" si="95"/>
        <v>#N/A</v>
      </c>
      <c r="AA851" s="63" t="e">
        <f t="shared" ca="1" si="96"/>
        <v>#N/A</v>
      </c>
      <c r="AB851" s="3" t="e">
        <f t="shared" ca="1" si="97"/>
        <v>#N/A</v>
      </c>
    </row>
    <row r="852" spans="7:28">
      <c r="G852" t="e">
        <f t="shared" ca="1" si="91"/>
        <v>#N/A</v>
      </c>
      <c r="H852" t="e">
        <f t="shared" ca="1" si="92"/>
        <v>#N/A</v>
      </c>
      <c r="I852" t="e">
        <f ca="1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W852" s="2">
        <f t="shared" ca="1" si="93"/>
        <v>0</v>
      </c>
      <c r="X852">
        <f t="shared" ca="1" si="94"/>
        <v>0</v>
      </c>
      <c r="Z852" s="63" t="e">
        <f t="shared" ca="1" si="95"/>
        <v>#N/A</v>
      </c>
      <c r="AA852" s="63" t="e">
        <f t="shared" ca="1" si="96"/>
        <v>#N/A</v>
      </c>
      <c r="AB852" s="3" t="e">
        <f t="shared" ca="1" si="97"/>
        <v>#N/A</v>
      </c>
    </row>
    <row r="853" spans="7:28">
      <c r="G853" t="e">
        <f t="shared" ca="1" si="91"/>
        <v>#N/A</v>
      </c>
      <c r="H853" t="e">
        <f t="shared" ca="1" si="92"/>
        <v>#N/A</v>
      </c>
      <c r="I853" t="e">
        <f ca="1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W853" s="2">
        <f t="shared" ca="1" si="93"/>
        <v>0</v>
      </c>
      <c r="X853">
        <f t="shared" ca="1" si="94"/>
        <v>0</v>
      </c>
      <c r="Z853" s="63" t="e">
        <f t="shared" ca="1" si="95"/>
        <v>#N/A</v>
      </c>
      <c r="AA853" s="63" t="e">
        <f t="shared" ca="1" si="96"/>
        <v>#N/A</v>
      </c>
      <c r="AB853" s="3" t="e">
        <f t="shared" ca="1" si="97"/>
        <v>#N/A</v>
      </c>
    </row>
    <row r="854" spans="7:28">
      <c r="G854" t="e">
        <f t="shared" ca="1" si="91"/>
        <v>#N/A</v>
      </c>
      <c r="H854" t="e">
        <f t="shared" ca="1" si="92"/>
        <v>#N/A</v>
      </c>
      <c r="I854" t="e">
        <f ca="1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W854" s="2">
        <f t="shared" ca="1" si="93"/>
        <v>0</v>
      </c>
      <c r="X854">
        <f t="shared" ca="1" si="94"/>
        <v>0</v>
      </c>
      <c r="Z854" s="63" t="e">
        <f t="shared" ca="1" si="95"/>
        <v>#N/A</v>
      </c>
      <c r="AA854" s="63" t="e">
        <f t="shared" ca="1" si="96"/>
        <v>#N/A</v>
      </c>
      <c r="AB854" s="3" t="e">
        <f t="shared" ca="1" si="97"/>
        <v>#N/A</v>
      </c>
    </row>
    <row r="855" spans="7:28">
      <c r="G855" t="e">
        <f t="shared" ca="1" si="91"/>
        <v>#N/A</v>
      </c>
      <c r="H855" t="e">
        <f t="shared" ca="1" si="92"/>
        <v>#N/A</v>
      </c>
      <c r="I855" t="e">
        <f ca="1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W855" s="2">
        <f t="shared" ca="1" si="93"/>
        <v>0</v>
      </c>
      <c r="X855">
        <f t="shared" ca="1" si="94"/>
        <v>0</v>
      </c>
      <c r="Z855" s="63" t="e">
        <f t="shared" ca="1" si="95"/>
        <v>#N/A</v>
      </c>
      <c r="AA855" s="63" t="e">
        <f t="shared" ca="1" si="96"/>
        <v>#N/A</v>
      </c>
      <c r="AB855" s="3" t="e">
        <f t="shared" ca="1" si="97"/>
        <v>#N/A</v>
      </c>
    </row>
    <row r="856" spans="7:28">
      <c r="G856" t="e">
        <f t="shared" ca="1" si="91"/>
        <v>#N/A</v>
      </c>
      <c r="H856" t="e">
        <f t="shared" ca="1" si="92"/>
        <v>#N/A</v>
      </c>
      <c r="I856" t="e">
        <f ca="1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W856" s="2">
        <f t="shared" ca="1" si="93"/>
        <v>0</v>
      </c>
      <c r="X856">
        <f t="shared" ca="1" si="94"/>
        <v>0</v>
      </c>
      <c r="Z856" s="63" t="e">
        <f t="shared" ca="1" si="95"/>
        <v>#N/A</v>
      </c>
      <c r="AA856" s="63" t="e">
        <f t="shared" ca="1" si="96"/>
        <v>#N/A</v>
      </c>
      <c r="AB856" s="3" t="e">
        <f t="shared" ca="1" si="97"/>
        <v>#N/A</v>
      </c>
    </row>
    <row r="857" spans="7:28">
      <c r="G857" t="e">
        <f t="shared" ca="1" si="91"/>
        <v>#N/A</v>
      </c>
      <c r="H857" t="e">
        <f t="shared" ca="1" si="92"/>
        <v>#N/A</v>
      </c>
      <c r="I857" t="e">
        <f ca="1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W857" s="2">
        <f t="shared" ca="1" si="93"/>
        <v>0</v>
      </c>
      <c r="X857">
        <f t="shared" ca="1" si="94"/>
        <v>0</v>
      </c>
      <c r="Z857" s="63" t="e">
        <f t="shared" ca="1" si="95"/>
        <v>#N/A</v>
      </c>
      <c r="AA857" s="63" t="e">
        <f t="shared" ca="1" si="96"/>
        <v>#N/A</v>
      </c>
      <c r="AB857" s="3" t="e">
        <f t="shared" ca="1" si="97"/>
        <v>#N/A</v>
      </c>
    </row>
    <row r="858" spans="7:28">
      <c r="G858" t="e">
        <f t="shared" ca="1" si="91"/>
        <v>#N/A</v>
      </c>
      <c r="H858" t="e">
        <f t="shared" ca="1" si="92"/>
        <v>#N/A</v>
      </c>
      <c r="I858" t="e">
        <f ca="1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W858" s="2">
        <f t="shared" ca="1" si="93"/>
        <v>0</v>
      </c>
      <c r="X858">
        <f t="shared" ca="1" si="94"/>
        <v>0</v>
      </c>
      <c r="Z858" s="63" t="e">
        <f t="shared" ca="1" si="95"/>
        <v>#N/A</v>
      </c>
      <c r="AA858" s="63" t="e">
        <f t="shared" ca="1" si="96"/>
        <v>#N/A</v>
      </c>
      <c r="AB858" s="3" t="e">
        <f t="shared" ca="1" si="97"/>
        <v>#N/A</v>
      </c>
    </row>
    <row r="859" spans="7:28">
      <c r="G859" t="e">
        <f t="shared" ca="1" si="91"/>
        <v>#N/A</v>
      </c>
      <c r="H859" t="e">
        <f t="shared" ca="1" si="92"/>
        <v>#N/A</v>
      </c>
      <c r="I859" t="e">
        <f ca="1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W859" s="2">
        <f t="shared" ca="1" si="93"/>
        <v>0</v>
      </c>
      <c r="X859">
        <f t="shared" ca="1" si="94"/>
        <v>0</v>
      </c>
      <c r="Z859" s="63" t="e">
        <f t="shared" ca="1" si="95"/>
        <v>#N/A</v>
      </c>
      <c r="AA859" s="63" t="e">
        <f t="shared" ca="1" si="96"/>
        <v>#N/A</v>
      </c>
      <c r="AB859" s="3" t="e">
        <f t="shared" ca="1" si="97"/>
        <v>#N/A</v>
      </c>
    </row>
    <row r="860" spans="7:28">
      <c r="G860" t="e">
        <f t="shared" ca="1" si="91"/>
        <v>#N/A</v>
      </c>
      <c r="H860" t="e">
        <f t="shared" ca="1" si="92"/>
        <v>#N/A</v>
      </c>
      <c r="I860" t="e">
        <f ca="1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W860" s="2">
        <f t="shared" ca="1" si="93"/>
        <v>0</v>
      </c>
      <c r="X860">
        <f t="shared" ca="1" si="94"/>
        <v>0</v>
      </c>
      <c r="Z860" s="63" t="e">
        <f t="shared" ca="1" si="95"/>
        <v>#N/A</v>
      </c>
      <c r="AA860" s="63" t="e">
        <f t="shared" ca="1" si="96"/>
        <v>#N/A</v>
      </c>
      <c r="AB860" s="3" t="e">
        <f t="shared" ca="1" si="97"/>
        <v>#N/A</v>
      </c>
    </row>
    <row r="861" spans="7:28">
      <c r="G861" t="e">
        <f t="shared" ca="1" si="91"/>
        <v>#N/A</v>
      </c>
      <c r="H861" t="e">
        <f t="shared" ca="1" si="92"/>
        <v>#N/A</v>
      </c>
      <c r="I861" t="e">
        <f ca="1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W861" s="2">
        <f t="shared" ca="1" si="93"/>
        <v>0</v>
      </c>
      <c r="X861">
        <f t="shared" ca="1" si="94"/>
        <v>0</v>
      </c>
      <c r="Z861" s="63" t="e">
        <f t="shared" ca="1" si="95"/>
        <v>#N/A</v>
      </c>
      <c r="AA861" s="63" t="e">
        <f t="shared" ca="1" si="96"/>
        <v>#N/A</v>
      </c>
      <c r="AB861" s="3" t="e">
        <f t="shared" ca="1" si="97"/>
        <v>#N/A</v>
      </c>
    </row>
    <row r="862" spans="7:28">
      <c r="G862" t="e">
        <f t="shared" ca="1" si="91"/>
        <v>#N/A</v>
      </c>
      <c r="H862" t="e">
        <f t="shared" ca="1" si="92"/>
        <v>#N/A</v>
      </c>
      <c r="I862" t="e">
        <f ca="1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W862" s="2">
        <f t="shared" ca="1" si="93"/>
        <v>0</v>
      </c>
      <c r="X862">
        <f t="shared" ca="1" si="94"/>
        <v>0</v>
      </c>
      <c r="Z862" s="63" t="e">
        <f t="shared" ca="1" si="95"/>
        <v>#N/A</v>
      </c>
      <c r="AA862" s="63" t="e">
        <f t="shared" ca="1" si="96"/>
        <v>#N/A</v>
      </c>
      <c r="AB862" s="3" t="e">
        <f t="shared" ca="1" si="97"/>
        <v>#N/A</v>
      </c>
    </row>
    <row r="863" spans="7:28">
      <c r="G863" t="e">
        <f t="shared" ca="1" si="91"/>
        <v>#N/A</v>
      </c>
      <c r="H863" t="e">
        <f t="shared" ca="1" si="92"/>
        <v>#N/A</v>
      </c>
      <c r="I863" t="e">
        <f ca="1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W863" s="2">
        <f t="shared" ca="1" si="93"/>
        <v>0</v>
      </c>
      <c r="X863">
        <f t="shared" ca="1" si="94"/>
        <v>0</v>
      </c>
      <c r="Z863" s="63" t="e">
        <f t="shared" ca="1" si="95"/>
        <v>#N/A</v>
      </c>
      <c r="AA863" s="63" t="e">
        <f t="shared" ca="1" si="96"/>
        <v>#N/A</v>
      </c>
      <c r="AB863" s="3" t="e">
        <f t="shared" ca="1" si="97"/>
        <v>#N/A</v>
      </c>
    </row>
    <row r="864" spans="7:28">
      <c r="G864" t="e">
        <f t="shared" ca="1" si="91"/>
        <v>#N/A</v>
      </c>
      <c r="H864" t="e">
        <f t="shared" ca="1" si="92"/>
        <v>#N/A</v>
      </c>
      <c r="I864" t="e">
        <f ca="1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W864" s="2">
        <f t="shared" ca="1" si="93"/>
        <v>0</v>
      </c>
      <c r="X864">
        <f t="shared" ca="1" si="94"/>
        <v>0</v>
      </c>
      <c r="Z864" s="63" t="e">
        <f t="shared" ca="1" si="95"/>
        <v>#N/A</v>
      </c>
      <c r="AA864" s="63" t="e">
        <f t="shared" ca="1" si="96"/>
        <v>#N/A</v>
      </c>
      <c r="AB864" s="3" t="e">
        <f t="shared" ca="1" si="97"/>
        <v>#N/A</v>
      </c>
    </row>
    <row r="865" spans="7:28">
      <c r="G865" t="e">
        <f t="shared" ca="1" si="91"/>
        <v>#N/A</v>
      </c>
      <c r="H865" t="e">
        <f t="shared" ca="1" si="92"/>
        <v>#N/A</v>
      </c>
      <c r="I865" t="e">
        <f ca="1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W865" s="2">
        <f t="shared" ca="1" si="93"/>
        <v>0</v>
      </c>
      <c r="X865">
        <f t="shared" ca="1" si="94"/>
        <v>0</v>
      </c>
      <c r="Z865" s="63" t="e">
        <f t="shared" ca="1" si="95"/>
        <v>#N/A</v>
      </c>
      <c r="AA865" s="63" t="e">
        <f t="shared" ca="1" si="96"/>
        <v>#N/A</v>
      </c>
      <c r="AB865" s="3" t="e">
        <f t="shared" ca="1" si="97"/>
        <v>#N/A</v>
      </c>
    </row>
    <row r="866" spans="7:28">
      <c r="G866" t="e">
        <f t="shared" ca="1" si="91"/>
        <v>#N/A</v>
      </c>
      <c r="H866" t="e">
        <f t="shared" ca="1" si="92"/>
        <v>#N/A</v>
      </c>
      <c r="I866" t="e">
        <f ca="1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W866" s="2">
        <f t="shared" ca="1" si="93"/>
        <v>0</v>
      </c>
      <c r="X866">
        <f t="shared" ca="1" si="94"/>
        <v>0</v>
      </c>
      <c r="Z866" s="63" t="e">
        <f t="shared" ca="1" si="95"/>
        <v>#N/A</v>
      </c>
      <c r="AA866" s="63" t="e">
        <f t="shared" ca="1" si="96"/>
        <v>#N/A</v>
      </c>
      <c r="AB866" s="3" t="e">
        <f t="shared" ca="1" si="97"/>
        <v>#N/A</v>
      </c>
    </row>
    <row r="867" spans="7:28">
      <c r="G867" t="e">
        <f t="shared" ca="1" si="91"/>
        <v>#N/A</v>
      </c>
      <c r="H867" t="e">
        <f t="shared" ca="1" si="92"/>
        <v>#N/A</v>
      </c>
      <c r="I867" t="e">
        <f ca="1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W867" s="2">
        <f t="shared" ca="1" si="93"/>
        <v>0</v>
      </c>
      <c r="X867">
        <f t="shared" ca="1" si="94"/>
        <v>0</v>
      </c>
      <c r="Z867" s="63" t="e">
        <f t="shared" ca="1" si="95"/>
        <v>#N/A</v>
      </c>
      <c r="AA867" s="63" t="e">
        <f t="shared" ca="1" si="96"/>
        <v>#N/A</v>
      </c>
      <c r="AB867" s="3" t="e">
        <f t="shared" ca="1" si="97"/>
        <v>#N/A</v>
      </c>
    </row>
    <row r="868" spans="7:28">
      <c r="G868" t="e">
        <f t="shared" ca="1" si="91"/>
        <v>#N/A</v>
      </c>
      <c r="H868" t="e">
        <f t="shared" ca="1" si="92"/>
        <v>#N/A</v>
      </c>
      <c r="I868" t="e">
        <f ca="1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W868" s="2">
        <f t="shared" ca="1" si="93"/>
        <v>0</v>
      </c>
      <c r="X868">
        <f t="shared" ca="1" si="94"/>
        <v>0</v>
      </c>
      <c r="Z868" s="63" t="e">
        <f t="shared" ca="1" si="95"/>
        <v>#N/A</v>
      </c>
      <c r="AA868" s="63" t="e">
        <f t="shared" ca="1" si="96"/>
        <v>#N/A</v>
      </c>
      <c r="AB868" s="3" t="e">
        <f t="shared" ca="1" si="97"/>
        <v>#N/A</v>
      </c>
    </row>
    <row r="869" spans="7:28">
      <c r="G869" t="e">
        <f t="shared" ca="1" si="91"/>
        <v>#N/A</v>
      </c>
      <c r="H869" t="e">
        <f t="shared" ca="1" si="92"/>
        <v>#N/A</v>
      </c>
      <c r="I869" t="e">
        <f ca="1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W869" s="2">
        <f t="shared" ca="1" si="93"/>
        <v>0</v>
      </c>
      <c r="X869">
        <f t="shared" ca="1" si="94"/>
        <v>0</v>
      </c>
      <c r="Z869" s="63" t="e">
        <f t="shared" ca="1" si="95"/>
        <v>#N/A</v>
      </c>
      <c r="AA869" s="63" t="e">
        <f t="shared" ca="1" si="96"/>
        <v>#N/A</v>
      </c>
      <c r="AB869" s="3" t="e">
        <f t="shared" ca="1" si="97"/>
        <v>#N/A</v>
      </c>
    </row>
    <row r="870" spans="7:28">
      <c r="G870" t="e">
        <f t="shared" ca="1" si="91"/>
        <v>#N/A</v>
      </c>
      <c r="H870" t="e">
        <f t="shared" ca="1" si="92"/>
        <v>#N/A</v>
      </c>
      <c r="I870" t="e">
        <f ca="1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W870" s="2">
        <f t="shared" ca="1" si="93"/>
        <v>0</v>
      </c>
      <c r="X870">
        <f t="shared" ca="1" si="94"/>
        <v>0</v>
      </c>
      <c r="Z870" s="63" t="e">
        <f t="shared" ca="1" si="95"/>
        <v>#N/A</v>
      </c>
      <c r="AA870" s="63" t="e">
        <f t="shared" ca="1" si="96"/>
        <v>#N/A</v>
      </c>
      <c r="AB870" s="3" t="e">
        <f t="shared" ca="1" si="97"/>
        <v>#N/A</v>
      </c>
    </row>
    <row r="871" spans="7:28">
      <c r="G871" t="e">
        <f t="shared" ca="1" si="91"/>
        <v>#N/A</v>
      </c>
      <c r="H871" t="e">
        <f t="shared" ca="1" si="92"/>
        <v>#N/A</v>
      </c>
      <c r="I871" t="e">
        <f ca="1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W871" s="2">
        <f t="shared" ca="1" si="93"/>
        <v>0</v>
      </c>
      <c r="X871">
        <f t="shared" ca="1" si="94"/>
        <v>0</v>
      </c>
      <c r="Z871" s="63" t="e">
        <f t="shared" ca="1" si="95"/>
        <v>#N/A</v>
      </c>
      <c r="AA871" s="63" t="e">
        <f t="shared" ca="1" si="96"/>
        <v>#N/A</v>
      </c>
      <c r="AB871" s="3" t="e">
        <f t="shared" ca="1" si="97"/>
        <v>#N/A</v>
      </c>
    </row>
    <row r="872" spans="7:28">
      <c r="G872" t="e">
        <f t="shared" ca="1" si="91"/>
        <v>#N/A</v>
      </c>
      <c r="H872" t="e">
        <f t="shared" ca="1" si="92"/>
        <v>#N/A</v>
      </c>
      <c r="I872" t="e">
        <f ca="1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W872" s="2">
        <f t="shared" ca="1" si="93"/>
        <v>0</v>
      </c>
      <c r="X872">
        <f t="shared" ca="1" si="94"/>
        <v>0</v>
      </c>
      <c r="Z872" s="63" t="e">
        <f t="shared" ca="1" si="95"/>
        <v>#N/A</v>
      </c>
      <c r="AA872" s="63" t="e">
        <f t="shared" ca="1" si="96"/>
        <v>#N/A</v>
      </c>
      <c r="AB872" s="3" t="e">
        <f t="shared" ca="1" si="97"/>
        <v>#N/A</v>
      </c>
    </row>
    <row r="873" spans="7:28">
      <c r="G873" t="e">
        <f t="shared" ca="1" si="91"/>
        <v>#N/A</v>
      </c>
      <c r="H873" t="e">
        <f t="shared" ca="1" si="92"/>
        <v>#N/A</v>
      </c>
      <c r="I873" t="e">
        <f ca="1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W873" s="2">
        <f t="shared" ca="1" si="93"/>
        <v>0</v>
      </c>
      <c r="X873">
        <f t="shared" ca="1" si="94"/>
        <v>0</v>
      </c>
      <c r="Z873" s="63" t="e">
        <f t="shared" ca="1" si="95"/>
        <v>#N/A</v>
      </c>
      <c r="AA873" s="63" t="e">
        <f t="shared" ca="1" si="96"/>
        <v>#N/A</v>
      </c>
      <c r="AB873" s="3" t="e">
        <f t="shared" ca="1" si="97"/>
        <v>#N/A</v>
      </c>
    </row>
    <row r="874" spans="7:28">
      <c r="G874" t="e">
        <f t="shared" ca="1" si="91"/>
        <v>#N/A</v>
      </c>
      <c r="H874" t="e">
        <f t="shared" ca="1" si="92"/>
        <v>#N/A</v>
      </c>
      <c r="I874" t="e">
        <f ca="1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W874" s="2">
        <f t="shared" ca="1" si="93"/>
        <v>0</v>
      </c>
      <c r="X874">
        <f t="shared" ca="1" si="94"/>
        <v>0</v>
      </c>
      <c r="Z874" s="63" t="e">
        <f t="shared" ca="1" si="95"/>
        <v>#N/A</v>
      </c>
      <c r="AA874" s="63" t="e">
        <f t="shared" ca="1" si="96"/>
        <v>#N/A</v>
      </c>
      <c r="AB874" s="3" t="e">
        <f t="shared" ca="1" si="97"/>
        <v>#N/A</v>
      </c>
    </row>
    <row r="875" spans="7:28">
      <c r="G875" t="e">
        <f t="shared" ca="1" si="91"/>
        <v>#N/A</v>
      </c>
      <c r="H875" t="e">
        <f t="shared" ca="1" si="92"/>
        <v>#N/A</v>
      </c>
      <c r="I875" t="e">
        <f ca="1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W875" s="2">
        <f t="shared" ca="1" si="93"/>
        <v>0</v>
      </c>
      <c r="X875">
        <f t="shared" ca="1" si="94"/>
        <v>0</v>
      </c>
      <c r="Z875" s="63" t="e">
        <f t="shared" ca="1" si="95"/>
        <v>#N/A</v>
      </c>
      <c r="AA875" s="63" t="e">
        <f t="shared" ca="1" si="96"/>
        <v>#N/A</v>
      </c>
      <c r="AB875" s="3" t="e">
        <f t="shared" ca="1" si="97"/>
        <v>#N/A</v>
      </c>
    </row>
    <row r="876" spans="7:28">
      <c r="G876" t="e">
        <f t="shared" ca="1" si="91"/>
        <v>#N/A</v>
      </c>
      <c r="H876" t="e">
        <f t="shared" ca="1" si="92"/>
        <v>#N/A</v>
      </c>
      <c r="I876" t="e">
        <f ca="1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W876" s="2">
        <f t="shared" ca="1" si="93"/>
        <v>0</v>
      </c>
      <c r="X876">
        <f t="shared" ca="1" si="94"/>
        <v>0</v>
      </c>
      <c r="Z876" s="63" t="e">
        <f t="shared" ca="1" si="95"/>
        <v>#N/A</v>
      </c>
      <c r="AA876" s="63" t="e">
        <f t="shared" ca="1" si="96"/>
        <v>#N/A</v>
      </c>
      <c r="AB876" s="3" t="e">
        <f t="shared" ca="1" si="97"/>
        <v>#N/A</v>
      </c>
    </row>
    <row r="877" spans="7:28">
      <c r="G877" t="e">
        <f t="shared" ca="1" si="91"/>
        <v>#N/A</v>
      </c>
      <c r="H877" t="e">
        <f t="shared" ca="1" si="92"/>
        <v>#N/A</v>
      </c>
      <c r="I877" t="e">
        <f ca="1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W877" s="2">
        <f t="shared" ca="1" si="93"/>
        <v>0</v>
      </c>
      <c r="X877">
        <f t="shared" ca="1" si="94"/>
        <v>0</v>
      </c>
      <c r="Z877" s="63" t="e">
        <f t="shared" ca="1" si="95"/>
        <v>#N/A</v>
      </c>
      <c r="AA877" s="63" t="e">
        <f t="shared" ca="1" si="96"/>
        <v>#N/A</v>
      </c>
      <c r="AB877" s="3" t="e">
        <f t="shared" ca="1" si="97"/>
        <v>#N/A</v>
      </c>
    </row>
    <row r="878" spans="7:28">
      <c r="G878" t="e">
        <f t="shared" ca="1" si="91"/>
        <v>#N/A</v>
      </c>
      <c r="H878" t="e">
        <f t="shared" ca="1" si="92"/>
        <v>#N/A</v>
      </c>
      <c r="I878" t="e">
        <f ca="1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W878" s="2">
        <f t="shared" ca="1" si="93"/>
        <v>0</v>
      </c>
      <c r="X878">
        <f t="shared" ca="1" si="94"/>
        <v>0</v>
      </c>
      <c r="Z878" s="63" t="e">
        <f t="shared" ca="1" si="95"/>
        <v>#N/A</v>
      </c>
      <c r="AA878" s="63" t="e">
        <f t="shared" ca="1" si="96"/>
        <v>#N/A</v>
      </c>
      <c r="AB878" s="3" t="e">
        <f t="shared" ca="1" si="97"/>
        <v>#N/A</v>
      </c>
    </row>
    <row r="879" spans="7:28">
      <c r="G879" t="e">
        <f t="shared" ca="1" si="91"/>
        <v>#N/A</v>
      </c>
      <c r="H879" t="e">
        <f t="shared" ca="1" si="92"/>
        <v>#N/A</v>
      </c>
      <c r="I879" t="e">
        <f ca="1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W879" s="2">
        <f t="shared" ca="1" si="93"/>
        <v>0</v>
      </c>
      <c r="X879">
        <f t="shared" ca="1" si="94"/>
        <v>0</v>
      </c>
      <c r="Z879" s="63" t="e">
        <f t="shared" ca="1" si="95"/>
        <v>#N/A</v>
      </c>
      <c r="AA879" s="63" t="e">
        <f t="shared" ca="1" si="96"/>
        <v>#N/A</v>
      </c>
      <c r="AB879" s="3" t="e">
        <f t="shared" ca="1" si="97"/>
        <v>#N/A</v>
      </c>
    </row>
    <row r="880" spans="7:28">
      <c r="G880" t="e">
        <f t="shared" ca="1" si="91"/>
        <v>#N/A</v>
      </c>
      <c r="H880" t="e">
        <f t="shared" ca="1" si="92"/>
        <v>#N/A</v>
      </c>
      <c r="I880" t="e">
        <f ca="1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W880" s="2">
        <f t="shared" ca="1" si="93"/>
        <v>0</v>
      </c>
      <c r="X880">
        <f t="shared" ca="1" si="94"/>
        <v>0</v>
      </c>
      <c r="Z880" s="63" t="e">
        <f t="shared" ca="1" si="95"/>
        <v>#N/A</v>
      </c>
      <c r="AA880" s="63" t="e">
        <f t="shared" ca="1" si="96"/>
        <v>#N/A</v>
      </c>
      <c r="AB880" s="3" t="e">
        <f t="shared" ca="1" si="97"/>
        <v>#N/A</v>
      </c>
    </row>
    <row r="881" spans="7:28">
      <c r="G881" t="e">
        <f t="shared" ref="G881:G944" ca="1" si="98">IF(I881&lt;$I$4,TRUE,FALSE)</f>
        <v>#N/A</v>
      </c>
      <c r="H881" t="e">
        <f t="shared" ref="H881:H944" ca="1" si="99">AND(IF(I881&gt;($I$3-1),TRUE,FALSE),IF(I881&lt;($I$4+1),TRUE,FALSE))</f>
        <v>#N/A</v>
      </c>
      <c r="I881" t="e">
        <f ca="1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W881" s="2">
        <f t="shared" ref="W881:W944" ca="1" si="100">IFERROR(I881,$W$5)</f>
        <v>0</v>
      </c>
      <c r="X881">
        <f t="shared" ref="X881:X944" ca="1" si="101">IFERROR(N881,0)</f>
        <v>0</v>
      </c>
      <c r="Z881" s="63" t="e">
        <f t="shared" ref="Z881:Z944" ca="1" si="102">J880+L881+M881+N881</f>
        <v>#N/A</v>
      </c>
      <c r="AA881" s="63" t="e">
        <f t="shared" ref="AA881:AA944" ca="1" si="103">J881+K881+Q881</f>
        <v>#N/A</v>
      </c>
      <c r="AB881" s="3" t="e">
        <f t="shared" ref="AB881:AB944" ca="1" si="104">AA881-Z881</f>
        <v>#N/A</v>
      </c>
    </row>
    <row r="882" spans="7:28">
      <c r="G882" t="e">
        <f t="shared" ca="1" si="98"/>
        <v>#N/A</v>
      </c>
      <c r="H882" t="e">
        <f t="shared" ca="1" si="99"/>
        <v>#N/A</v>
      </c>
      <c r="I882" t="e">
        <f ca="1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W882" s="2">
        <f t="shared" ca="1" si="100"/>
        <v>0</v>
      </c>
      <c r="X882">
        <f t="shared" ca="1" si="101"/>
        <v>0</v>
      </c>
      <c r="Z882" s="63" t="e">
        <f t="shared" ca="1" si="102"/>
        <v>#N/A</v>
      </c>
      <c r="AA882" s="63" t="e">
        <f t="shared" ca="1" si="103"/>
        <v>#N/A</v>
      </c>
      <c r="AB882" s="3" t="e">
        <f t="shared" ca="1" si="104"/>
        <v>#N/A</v>
      </c>
    </row>
    <row r="883" spans="7:28">
      <c r="G883" t="e">
        <f t="shared" ca="1" si="98"/>
        <v>#N/A</v>
      </c>
      <c r="H883" t="e">
        <f t="shared" ca="1" si="99"/>
        <v>#N/A</v>
      </c>
      <c r="I883" t="e">
        <f ca="1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W883" s="2">
        <f t="shared" ca="1" si="100"/>
        <v>0</v>
      </c>
      <c r="X883">
        <f t="shared" ca="1" si="101"/>
        <v>0</v>
      </c>
      <c r="Z883" s="63" t="e">
        <f t="shared" ca="1" si="102"/>
        <v>#N/A</v>
      </c>
      <c r="AA883" s="63" t="e">
        <f t="shared" ca="1" si="103"/>
        <v>#N/A</v>
      </c>
      <c r="AB883" s="3" t="e">
        <f t="shared" ca="1" si="104"/>
        <v>#N/A</v>
      </c>
    </row>
    <row r="884" spans="7:28">
      <c r="G884" t="e">
        <f t="shared" ca="1" si="98"/>
        <v>#N/A</v>
      </c>
      <c r="H884" t="e">
        <f t="shared" ca="1" si="99"/>
        <v>#N/A</v>
      </c>
      <c r="I884" t="e">
        <f ca="1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W884" s="2">
        <f t="shared" ca="1" si="100"/>
        <v>0</v>
      </c>
      <c r="X884">
        <f t="shared" ca="1" si="101"/>
        <v>0</v>
      </c>
      <c r="Z884" s="63" t="e">
        <f t="shared" ca="1" si="102"/>
        <v>#N/A</v>
      </c>
      <c r="AA884" s="63" t="e">
        <f t="shared" ca="1" si="103"/>
        <v>#N/A</v>
      </c>
      <c r="AB884" s="3" t="e">
        <f t="shared" ca="1" si="104"/>
        <v>#N/A</v>
      </c>
    </row>
    <row r="885" spans="7:28">
      <c r="G885" t="e">
        <f t="shared" ca="1" si="98"/>
        <v>#N/A</v>
      </c>
      <c r="H885" t="e">
        <f t="shared" ca="1" si="99"/>
        <v>#N/A</v>
      </c>
      <c r="I885" t="e">
        <f ca="1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W885" s="2">
        <f t="shared" ca="1" si="100"/>
        <v>0</v>
      </c>
      <c r="X885">
        <f t="shared" ca="1" si="101"/>
        <v>0</v>
      </c>
      <c r="Z885" s="63" t="e">
        <f t="shared" ca="1" si="102"/>
        <v>#N/A</v>
      </c>
      <c r="AA885" s="63" t="e">
        <f t="shared" ca="1" si="103"/>
        <v>#N/A</v>
      </c>
      <c r="AB885" s="3" t="e">
        <f t="shared" ca="1" si="104"/>
        <v>#N/A</v>
      </c>
    </row>
    <row r="886" spans="7:28">
      <c r="G886" t="e">
        <f t="shared" ca="1" si="98"/>
        <v>#N/A</v>
      </c>
      <c r="H886" t="e">
        <f t="shared" ca="1" si="99"/>
        <v>#N/A</v>
      </c>
      <c r="I886" t="e">
        <f ca="1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W886" s="2">
        <f t="shared" ca="1" si="100"/>
        <v>0</v>
      </c>
      <c r="X886">
        <f t="shared" ca="1" si="101"/>
        <v>0</v>
      </c>
      <c r="Z886" s="63" t="e">
        <f t="shared" ca="1" si="102"/>
        <v>#N/A</v>
      </c>
      <c r="AA886" s="63" t="e">
        <f t="shared" ca="1" si="103"/>
        <v>#N/A</v>
      </c>
      <c r="AB886" s="3" t="e">
        <f t="shared" ca="1" si="104"/>
        <v>#N/A</v>
      </c>
    </row>
    <row r="887" spans="7:28">
      <c r="G887" t="e">
        <f t="shared" ca="1" si="98"/>
        <v>#N/A</v>
      </c>
      <c r="H887" t="e">
        <f t="shared" ca="1" si="99"/>
        <v>#N/A</v>
      </c>
      <c r="I887" t="e">
        <f ca="1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W887" s="2">
        <f t="shared" ca="1" si="100"/>
        <v>0</v>
      </c>
      <c r="X887">
        <f t="shared" ca="1" si="101"/>
        <v>0</v>
      </c>
      <c r="Z887" s="63" t="e">
        <f t="shared" ca="1" si="102"/>
        <v>#N/A</v>
      </c>
      <c r="AA887" s="63" t="e">
        <f t="shared" ca="1" si="103"/>
        <v>#N/A</v>
      </c>
      <c r="AB887" s="3" t="e">
        <f t="shared" ca="1" si="104"/>
        <v>#N/A</v>
      </c>
    </row>
    <row r="888" spans="7:28">
      <c r="G888" t="e">
        <f t="shared" ca="1" si="98"/>
        <v>#N/A</v>
      </c>
      <c r="H888" t="e">
        <f t="shared" ca="1" si="99"/>
        <v>#N/A</v>
      </c>
      <c r="I888" t="e">
        <f ca="1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W888" s="2">
        <f t="shared" ca="1" si="100"/>
        <v>0</v>
      </c>
      <c r="X888">
        <f t="shared" ca="1" si="101"/>
        <v>0</v>
      </c>
      <c r="Z888" s="63" t="e">
        <f t="shared" ca="1" si="102"/>
        <v>#N/A</v>
      </c>
      <c r="AA888" s="63" t="e">
        <f t="shared" ca="1" si="103"/>
        <v>#N/A</v>
      </c>
      <c r="AB888" s="3" t="e">
        <f t="shared" ca="1" si="104"/>
        <v>#N/A</v>
      </c>
    </row>
    <row r="889" spans="7:28">
      <c r="G889" t="e">
        <f t="shared" ca="1" si="98"/>
        <v>#N/A</v>
      </c>
      <c r="H889" t="e">
        <f t="shared" ca="1" si="99"/>
        <v>#N/A</v>
      </c>
      <c r="I889" t="e">
        <f ca="1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W889" s="2">
        <f t="shared" ca="1" si="100"/>
        <v>0</v>
      </c>
      <c r="X889">
        <f t="shared" ca="1" si="101"/>
        <v>0</v>
      </c>
      <c r="Z889" s="63" t="e">
        <f t="shared" ca="1" si="102"/>
        <v>#N/A</v>
      </c>
      <c r="AA889" s="63" t="e">
        <f t="shared" ca="1" si="103"/>
        <v>#N/A</v>
      </c>
      <c r="AB889" s="3" t="e">
        <f t="shared" ca="1" si="104"/>
        <v>#N/A</v>
      </c>
    </row>
    <row r="890" spans="7:28">
      <c r="G890" t="e">
        <f t="shared" ca="1" si="98"/>
        <v>#N/A</v>
      </c>
      <c r="H890" t="e">
        <f t="shared" ca="1" si="99"/>
        <v>#N/A</v>
      </c>
      <c r="I890" t="e">
        <f ca="1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W890" s="2">
        <f t="shared" ca="1" si="100"/>
        <v>0</v>
      </c>
      <c r="X890">
        <f t="shared" ca="1" si="101"/>
        <v>0</v>
      </c>
      <c r="Z890" s="63" t="e">
        <f t="shared" ca="1" si="102"/>
        <v>#N/A</v>
      </c>
      <c r="AA890" s="63" t="e">
        <f t="shared" ca="1" si="103"/>
        <v>#N/A</v>
      </c>
      <c r="AB890" s="3" t="e">
        <f t="shared" ca="1" si="104"/>
        <v>#N/A</v>
      </c>
    </row>
    <row r="891" spans="7:28">
      <c r="G891" t="e">
        <f t="shared" ca="1" si="98"/>
        <v>#N/A</v>
      </c>
      <c r="H891" t="e">
        <f t="shared" ca="1" si="99"/>
        <v>#N/A</v>
      </c>
      <c r="I891" t="e">
        <f ca="1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W891" s="2">
        <f t="shared" ca="1" si="100"/>
        <v>0</v>
      </c>
      <c r="X891">
        <f t="shared" ca="1" si="101"/>
        <v>0</v>
      </c>
      <c r="Z891" s="63" t="e">
        <f t="shared" ca="1" si="102"/>
        <v>#N/A</v>
      </c>
      <c r="AA891" s="63" t="e">
        <f t="shared" ca="1" si="103"/>
        <v>#N/A</v>
      </c>
      <c r="AB891" s="3" t="e">
        <f t="shared" ca="1" si="104"/>
        <v>#N/A</v>
      </c>
    </row>
    <row r="892" spans="7:28">
      <c r="G892" t="e">
        <f t="shared" ca="1" si="98"/>
        <v>#N/A</v>
      </c>
      <c r="H892" t="e">
        <f t="shared" ca="1" si="99"/>
        <v>#N/A</v>
      </c>
      <c r="I892" t="e">
        <f ca="1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W892" s="2">
        <f t="shared" ca="1" si="100"/>
        <v>0</v>
      </c>
      <c r="X892">
        <f t="shared" ca="1" si="101"/>
        <v>0</v>
      </c>
      <c r="Z892" s="63" t="e">
        <f t="shared" ca="1" si="102"/>
        <v>#N/A</v>
      </c>
      <c r="AA892" s="63" t="e">
        <f t="shared" ca="1" si="103"/>
        <v>#N/A</v>
      </c>
      <c r="AB892" s="3" t="e">
        <f t="shared" ca="1" si="104"/>
        <v>#N/A</v>
      </c>
    </row>
    <row r="893" spans="7:28">
      <c r="G893" t="e">
        <f t="shared" ca="1" si="98"/>
        <v>#N/A</v>
      </c>
      <c r="H893" t="e">
        <f t="shared" ca="1" si="99"/>
        <v>#N/A</v>
      </c>
      <c r="I893" t="e">
        <f ca="1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W893" s="2">
        <f t="shared" ca="1" si="100"/>
        <v>0</v>
      </c>
      <c r="X893">
        <f t="shared" ca="1" si="101"/>
        <v>0</v>
      </c>
      <c r="Z893" s="63" t="e">
        <f t="shared" ca="1" si="102"/>
        <v>#N/A</v>
      </c>
      <c r="AA893" s="63" t="e">
        <f t="shared" ca="1" si="103"/>
        <v>#N/A</v>
      </c>
      <c r="AB893" s="3" t="e">
        <f t="shared" ca="1" si="104"/>
        <v>#N/A</v>
      </c>
    </row>
    <row r="894" spans="7:28">
      <c r="G894" t="e">
        <f t="shared" ca="1" si="98"/>
        <v>#N/A</v>
      </c>
      <c r="H894" t="e">
        <f t="shared" ca="1" si="99"/>
        <v>#N/A</v>
      </c>
      <c r="I894" t="e">
        <f ca="1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W894" s="2">
        <f t="shared" ca="1" si="100"/>
        <v>0</v>
      </c>
      <c r="X894">
        <f t="shared" ca="1" si="101"/>
        <v>0</v>
      </c>
      <c r="Z894" s="63" t="e">
        <f t="shared" ca="1" si="102"/>
        <v>#N/A</v>
      </c>
      <c r="AA894" s="63" t="e">
        <f t="shared" ca="1" si="103"/>
        <v>#N/A</v>
      </c>
      <c r="AB894" s="3" t="e">
        <f t="shared" ca="1" si="104"/>
        <v>#N/A</v>
      </c>
    </row>
    <row r="895" spans="7:28">
      <c r="G895" t="e">
        <f t="shared" ca="1" si="98"/>
        <v>#N/A</v>
      </c>
      <c r="H895" t="e">
        <f t="shared" ca="1" si="99"/>
        <v>#N/A</v>
      </c>
      <c r="I895" t="e">
        <f ca="1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W895" s="2">
        <f t="shared" ca="1" si="100"/>
        <v>0</v>
      </c>
      <c r="X895">
        <f t="shared" ca="1" si="101"/>
        <v>0</v>
      </c>
      <c r="Z895" s="63" t="e">
        <f t="shared" ca="1" si="102"/>
        <v>#N/A</v>
      </c>
      <c r="AA895" s="63" t="e">
        <f t="shared" ca="1" si="103"/>
        <v>#N/A</v>
      </c>
      <c r="AB895" s="3" t="e">
        <f t="shared" ca="1" si="104"/>
        <v>#N/A</v>
      </c>
    </row>
    <row r="896" spans="7:28">
      <c r="G896" t="e">
        <f t="shared" ca="1" si="98"/>
        <v>#N/A</v>
      </c>
      <c r="H896" t="e">
        <f t="shared" ca="1" si="99"/>
        <v>#N/A</v>
      </c>
      <c r="I896" t="e">
        <f ca="1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W896" s="2">
        <f t="shared" ca="1" si="100"/>
        <v>0</v>
      </c>
      <c r="X896">
        <f t="shared" ca="1" si="101"/>
        <v>0</v>
      </c>
      <c r="Z896" s="63" t="e">
        <f t="shared" ca="1" si="102"/>
        <v>#N/A</v>
      </c>
      <c r="AA896" s="63" t="e">
        <f t="shared" ca="1" si="103"/>
        <v>#N/A</v>
      </c>
      <c r="AB896" s="3" t="e">
        <f t="shared" ca="1" si="104"/>
        <v>#N/A</v>
      </c>
    </row>
    <row r="897" spans="7:28">
      <c r="G897" t="e">
        <f t="shared" ca="1" si="98"/>
        <v>#N/A</v>
      </c>
      <c r="H897" t="e">
        <f t="shared" ca="1" si="99"/>
        <v>#N/A</v>
      </c>
      <c r="I897" t="e">
        <f ca="1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W897" s="2">
        <f t="shared" ca="1" si="100"/>
        <v>0</v>
      </c>
      <c r="X897">
        <f t="shared" ca="1" si="101"/>
        <v>0</v>
      </c>
      <c r="Z897" s="63" t="e">
        <f t="shared" ca="1" si="102"/>
        <v>#N/A</v>
      </c>
      <c r="AA897" s="63" t="e">
        <f t="shared" ca="1" si="103"/>
        <v>#N/A</v>
      </c>
      <c r="AB897" s="3" t="e">
        <f t="shared" ca="1" si="104"/>
        <v>#N/A</v>
      </c>
    </row>
    <row r="898" spans="7:28">
      <c r="G898" t="e">
        <f t="shared" ca="1" si="98"/>
        <v>#N/A</v>
      </c>
      <c r="H898" t="e">
        <f t="shared" ca="1" si="99"/>
        <v>#N/A</v>
      </c>
      <c r="I898" t="e">
        <f ca="1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W898" s="2">
        <f t="shared" ca="1" si="100"/>
        <v>0</v>
      </c>
      <c r="X898">
        <f t="shared" ca="1" si="101"/>
        <v>0</v>
      </c>
      <c r="Z898" s="63" t="e">
        <f t="shared" ca="1" si="102"/>
        <v>#N/A</v>
      </c>
      <c r="AA898" s="63" t="e">
        <f t="shared" ca="1" si="103"/>
        <v>#N/A</v>
      </c>
      <c r="AB898" s="3" t="e">
        <f t="shared" ca="1" si="104"/>
        <v>#N/A</v>
      </c>
    </row>
    <row r="899" spans="7:28">
      <c r="G899" t="e">
        <f t="shared" ca="1" si="98"/>
        <v>#N/A</v>
      </c>
      <c r="H899" t="e">
        <f t="shared" ca="1" si="99"/>
        <v>#N/A</v>
      </c>
      <c r="I899" t="e">
        <f ca="1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W899" s="2">
        <f t="shared" ca="1" si="100"/>
        <v>0</v>
      </c>
      <c r="X899">
        <f t="shared" ca="1" si="101"/>
        <v>0</v>
      </c>
      <c r="Z899" s="63" t="e">
        <f t="shared" ca="1" si="102"/>
        <v>#N/A</v>
      </c>
      <c r="AA899" s="63" t="e">
        <f t="shared" ca="1" si="103"/>
        <v>#N/A</v>
      </c>
      <c r="AB899" s="3" t="e">
        <f t="shared" ca="1" si="104"/>
        <v>#N/A</v>
      </c>
    </row>
    <row r="900" spans="7:28">
      <c r="G900" t="e">
        <f t="shared" ca="1" si="98"/>
        <v>#N/A</v>
      </c>
      <c r="H900" t="e">
        <f t="shared" ca="1" si="99"/>
        <v>#N/A</v>
      </c>
      <c r="I900" t="e">
        <f ca="1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W900" s="2">
        <f t="shared" ca="1" si="100"/>
        <v>0</v>
      </c>
      <c r="X900">
        <f t="shared" ca="1" si="101"/>
        <v>0</v>
      </c>
      <c r="Z900" s="63" t="e">
        <f t="shared" ca="1" si="102"/>
        <v>#N/A</v>
      </c>
      <c r="AA900" s="63" t="e">
        <f t="shared" ca="1" si="103"/>
        <v>#N/A</v>
      </c>
      <c r="AB900" s="3" t="e">
        <f t="shared" ca="1" si="104"/>
        <v>#N/A</v>
      </c>
    </row>
    <row r="901" spans="7:28">
      <c r="G901" t="e">
        <f t="shared" ca="1" si="98"/>
        <v>#N/A</v>
      </c>
      <c r="H901" t="e">
        <f t="shared" ca="1" si="99"/>
        <v>#N/A</v>
      </c>
      <c r="I901" t="e">
        <f ca="1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W901" s="2">
        <f t="shared" ca="1" si="100"/>
        <v>0</v>
      </c>
      <c r="X901">
        <f t="shared" ca="1" si="101"/>
        <v>0</v>
      </c>
      <c r="Z901" s="63" t="e">
        <f t="shared" ca="1" si="102"/>
        <v>#N/A</v>
      </c>
      <c r="AA901" s="63" t="e">
        <f t="shared" ca="1" si="103"/>
        <v>#N/A</v>
      </c>
      <c r="AB901" s="3" t="e">
        <f t="shared" ca="1" si="104"/>
        <v>#N/A</v>
      </c>
    </row>
    <row r="902" spans="7:28">
      <c r="G902" t="e">
        <f t="shared" ca="1" si="98"/>
        <v>#N/A</v>
      </c>
      <c r="H902" t="e">
        <f t="shared" ca="1" si="99"/>
        <v>#N/A</v>
      </c>
      <c r="I902" t="e">
        <f ca="1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W902" s="2">
        <f t="shared" ca="1" si="100"/>
        <v>0</v>
      </c>
      <c r="X902">
        <f t="shared" ca="1" si="101"/>
        <v>0</v>
      </c>
      <c r="Z902" s="63" t="e">
        <f t="shared" ca="1" si="102"/>
        <v>#N/A</v>
      </c>
      <c r="AA902" s="63" t="e">
        <f t="shared" ca="1" si="103"/>
        <v>#N/A</v>
      </c>
      <c r="AB902" s="3" t="e">
        <f t="shared" ca="1" si="104"/>
        <v>#N/A</v>
      </c>
    </row>
    <row r="903" spans="7:28">
      <c r="G903" t="e">
        <f t="shared" ca="1" si="98"/>
        <v>#N/A</v>
      </c>
      <c r="H903" t="e">
        <f t="shared" ca="1" si="99"/>
        <v>#N/A</v>
      </c>
      <c r="I903" t="e">
        <f ca="1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W903" s="2">
        <f t="shared" ca="1" si="100"/>
        <v>0</v>
      </c>
      <c r="X903">
        <f t="shared" ca="1" si="101"/>
        <v>0</v>
      </c>
      <c r="Z903" s="63" t="e">
        <f t="shared" ca="1" si="102"/>
        <v>#N/A</v>
      </c>
      <c r="AA903" s="63" t="e">
        <f t="shared" ca="1" si="103"/>
        <v>#N/A</v>
      </c>
      <c r="AB903" s="3" t="e">
        <f t="shared" ca="1" si="104"/>
        <v>#N/A</v>
      </c>
    </row>
    <row r="904" spans="7:28">
      <c r="G904" t="e">
        <f t="shared" ca="1" si="98"/>
        <v>#N/A</v>
      </c>
      <c r="H904" t="e">
        <f t="shared" ca="1" si="99"/>
        <v>#N/A</v>
      </c>
      <c r="I904" t="e">
        <f ca="1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W904" s="2">
        <f t="shared" ca="1" si="100"/>
        <v>0</v>
      </c>
      <c r="X904">
        <f t="shared" ca="1" si="101"/>
        <v>0</v>
      </c>
      <c r="Z904" s="63" t="e">
        <f t="shared" ca="1" si="102"/>
        <v>#N/A</v>
      </c>
      <c r="AA904" s="63" t="e">
        <f t="shared" ca="1" si="103"/>
        <v>#N/A</v>
      </c>
      <c r="AB904" s="3" t="e">
        <f t="shared" ca="1" si="104"/>
        <v>#N/A</v>
      </c>
    </row>
    <row r="905" spans="7:28">
      <c r="G905" t="e">
        <f t="shared" ca="1" si="98"/>
        <v>#N/A</v>
      </c>
      <c r="H905" t="e">
        <f t="shared" ca="1" si="99"/>
        <v>#N/A</v>
      </c>
      <c r="I905" t="e">
        <f ca="1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W905" s="2">
        <f t="shared" ca="1" si="100"/>
        <v>0</v>
      </c>
      <c r="X905">
        <f t="shared" ca="1" si="101"/>
        <v>0</v>
      </c>
      <c r="Z905" s="63" t="e">
        <f t="shared" ca="1" si="102"/>
        <v>#N/A</v>
      </c>
      <c r="AA905" s="63" t="e">
        <f t="shared" ca="1" si="103"/>
        <v>#N/A</v>
      </c>
      <c r="AB905" s="3" t="e">
        <f t="shared" ca="1" si="104"/>
        <v>#N/A</v>
      </c>
    </row>
    <row r="906" spans="7:28">
      <c r="G906" t="e">
        <f t="shared" ca="1" si="98"/>
        <v>#N/A</v>
      </c>
      <c r="H906" t="e">
        <f t="shared" ca="1" si="99"/>
        <v>#N/A</v>
      </c>
      <c r="I906" t="e">
        <f ca="1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W906" s="2">
        <f t="shared" ca="1" si="100"/>
        <v>0</v>
      </c>
      <c r="X906">
        <f t="shared" ca="1" si="101"/>
        <v>0</v>
      </c>
      <c r="Z906" s="63" t="e">
        <f t="shared" ca="1" si="102"/>
        <v>#N/A</v>
      </c>
      <c r="AA906" s="63" t="e">
        <f t="shared" ca="1" si="103"/>
        <v>#N/A</v>
      </c>
      <c r="AB906" s="3" t="e">
        <f t="shared" ca="1" si="104"/>
        <v>#N/A</v>
      </c>
    </row>
    <row r="907" spans="7:28">
      <c r="G907" t="e">
        <f t="shared" ca="1" si="98"/>
        <v>#N/A</v>
      </c>
      <c r="H907" t="e">
        <f t="shared" ca="1" si="99"/>
        <v>#N/A</v>
      </c>
      <c r="I907" t="e">
        <f ca="1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W907" s="2">
        <f t="shared" ca="1" si="100"/>
        <v>0</v>
      </c>
      <c r="X907">
        <f t="shared" ca="1" si="101"/>
        <v>0</v>
      </c>
      <c r="Z907" s="63" t="e">
        <f t="shared" ca="1" si="102"/>
        <v>#N/A</v>
      </c>
      <c r="AA907" s="63" t="e">
        <f t="shared" ca="1" si="103"/>
        <v>#N/A</v>
      </c>
      <c r="AB907" s="3" t="e">
        <f t="shared" ca="1" si="104"/>
        <v>#N/A</v>
      </c>
    </row>
    <row r="908" spans="7:28">
      <c r="G908" t="e">
        <f t="shared" ca="1" si="98"/>
        <v>#N/A</v>
      </c>
      <c r="H908" t="e">
        <f t="shared" ca="1" si="99"/>
        <v>#N/A</v>
      </c>
      <c r="I908" t="e">
        <f ca="1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W908" s="2">
        <f t="shared" ca="1" si="100"/>
        <v>0</v>
      </c>
      <c r="X908">
        <f t="shared" ca="1" si="101"/>
        <v>0</v>
      </c>
      <c r="Z908" s="63" t="e">
        <f t="shared" ca="1" si="102"/>
        <v>#N/A</v>
      </c>
      <c r="AA908" s="63" t="e">
        <f t="shared" ca="1" si="103"/>
        <v>#N/A</v>
      </c>
      <c r="AB908" s="3" t="e">
        <f t="shared" ca="1" si="104"/>
        <v>#N/A</v>
      </c>
    </row>
    <row r="909" spans="7:28">
      <c r="G909" t="e">
        <f t="shared" ca="1" si="98"/>
        <v>#N/A</v>
      </c>
      <c r="H909" t="e">
        <f t="shared" ca="1" si="99"/>
        <v>#N/A</v>
      </c>
      <c r="I909" t="e">
        <f ca="1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W909" s="2">
        <f t="shared" ca="1" si="100"/>
        <v>0</v>
      </c>
      <c r="X909">
        <f t="shared" ca="1" si="101"/>
        <v>0</v>
      </c>
      <c r="Z909" s="63" t="e">
        <f t="shared" ca="1" si="102"/>
        <v>#N/A</v>
      </c>
      <c r="AA909" s="63" t="e">
        <f t="shared" ca="1" si="103"/>
        <v>#N/A</v>
      </c>
      <c r="AB909" s="3" t="e">
        <f t="shared" ca="1" si="104"/>
        <v>#N/A</v>
      </c>
    </row>
    <row r="910" spans="7:28">
      <c r="G910" t="e">
        <f t="shared" ca="1" si="98"/>
        <v>#N/A</v>
      </c>
      <c r="H910" t="e">
        <f t="shared" ca="1" si="99"/>
        <v>#N/A</v>
      </c>
      <c r="I910" t="e">
        <f ca="1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W910" s="2">
        <f t="shared" ca="1" si="100"/>
        <v>0</v>
      </c>
      <c r="X910">
        <f t="shared" ca="1" si="101"/>
        <v>0</v>
      </c>
      <c r="Z910" s="63" t="e">
        <f t="shared" ca="1" si="102"/>
        <v>#N/A</v>
      </c>
      <c r="AA910" s="63" t="e">
        <f t="shared" ca="1" si="103"/>
        <v>#N/A</v>
      </c>
      <c r="AB910" s="3" t="e">
        <f t="shared" ca="1" si="104"/>
        <v>#N/A</v>
      </c>
    </row>
    <row r="911" spans="7:28">
      <c r="G911" t="e">
        <f t="shared" ca="1" si="98"/>
        <v>#N/A</v>
      </c>
      <c r="H911" t="e">
        <f t="shared" ca="1" si="99"/>
        <v>#N/A</v>
      </c>
      <c r="I911" t="e">
        <f ca="1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W911" s="2">
        <f t="shared" ca="1" si="100"/>
        <v>0</v>
      </c>
      <c r="X911">
        <f t="shared" ca="1" si="101"/>
        <v>0</v>
      </c>
      <c r="Z911" s="63" t="e">
        <f t="shared" ca="1" si="102"/>
        <v>#N/A</v>
      </c>
      <c r="AA911" s="63" t="e">
        <f t="shared" ca="1" si="103"/>
        <v>#N/A</v>
      </c>
      <c r="AB911" s="3" t="e">
        <f t="shared" ca="1" si="104"/>
        <v>#N/A</v>
      </c>
    </row>
    <row r="912" spans="7:28">
      <c r="G912" t="e">
        <f t="shared" ca="1" si="98"/>
        <v>#N/A</v>
      </c>
      <c r="H912" t="e">
        <f t="shared" ca="1" si="99"/>
        <v>#N/A</v>
      </c>
      <c r="I912" t="e">
        <f ca="1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W912" s="2">
        <f t="shared" ca="1" si="100"/>
        <v>0</v>
      </c>
      <c r="X912">
        <f t="shared" ca="1" si="101"/>
        <v>0</v>
      </c>
      <c r="Z912" s="63" t="e">
        <f t="shared" ca="1" si="102"/>
        <v>#N/A</v>
      </c>
      <c r="AA912" s="63" t="e">
        <f t="shared" ca="1" si="103"/>
        <v>#N/A</v>
      </c>
      <c r="AB912" s="3" t="e">
        <f t="shared" ca="1" si="104"/>
        <v>#N/A</v>
      </c>
    </row>
    <row r="913" spans="7:28">
      <c r="G913" t="e">
        <f t="shared" ca="1" si="98"/>
        <v>#N/A</v>
      </c>
      <c r="H913" t="e">
        <f t="shared" ca="1" si="99"/>
        <v>#N/A</v>
      </c>
      <c r="I913" t="e">
        <f ca="1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W913" s="2">
        <f t="shared" ca="1" si="100"/>
        <v>0</v>
      </c>
      <c r="X913">
        <f t="shared" ca="1" si="101"/>
        <v>0</v>
      </c>
      <c r="Z913" s="63" t="e">
        <f t="shared" ca="1" si="102"/>
        <v>#N/A</v>
      </c>
      <c r="AA913" s="63" t="e">
        <f t="shared" ca="1" si="103"/>
        <v>#N/A</v>
      </c>
      <c r="AB913" s="3" t="e">
        <f t="shared" ca="1" si="104"/>
        <v>#N/A</v>
      </c>
    </row>
    <row r="914" spans="7:28">
      <c r="G914" t="e">
        <f t="shared" ca="1" si="98"/>
        <v>#N/A</v>
      </c>
      <c r="H914" t="e">
        <f t="shared" ca="1" si="99"/>
        <v>#N/A</v>
      </c>
      <c r="I914" t="e">
        <f ca="1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W914" s="2">
        <f t="shared" ca="1" si="100"/>
        <v>0</v>
      </c>
      <c r="X914">
        <f t="shared" ca="1" si="101"/>
        <v>0</v>
      </c>
      <c r="Z914" s="63" t="e">
        <f t="shared" ca="1" si="102"/>
        <v>#N/A</v>
      </c>
      <c r="AA914" s="63" t="e">
        <f t="shared" ca="1" si="103"/>
        <v>#N/A</v>
      </c>
      <c r="AB914" s="3" t="e">
        <f t="shared" ca="1" si="104"/>
        <v>#N/A</v>
      </c>
    </row>
    <row r="915" spans="7:28">
      <c r="G915" t="e">
        <f t="shared" ca="1" si="98"/>
        <v>#N/A</v>
      </c>
      <c r="H915" t="e">
        <f t="shared" ca="1" si="99"/>
        <v>#N/A</v>
      </c>
      <c r="I915" t="e">
        <f ca="1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W915" s="2">
        <f t="shared" ca="1" si="100"/>
        <v>0</v>
      </c>
      <c r="X915">
        <f t="shared" ca="1" si="101"/>
        <v>0</v>
      </c>
      <c r="Z915" s="63" t="e">
        <f t="shared" ca="1" si="102"/>
        <v>#N/A</v>
      </c>
      <c r="AA915" s="63" t="e">
        <f t="shared" ca="1" si="103"/>
        <v>#N/A</v>
      </c>
      <c r="AB915" s="3" t="e">
        <f t="shared" ca="1" si="104"/>
        <v>#N/A</v>
      </c>
    </row>
    <row r="916" spans="7:28">
      <c r="G916" t="e">
        <f t="shared" ca="1" si="98"/>
        <v>#N/A</v>
      </c>
      <c r="H916" t="e">
        <f t="shared" ca="1" si="99"/>
        <v>#N/A</v>
      </c>
      <c r="I916" t="e">
        <f ca="1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W916" s="2">
        <f t="shared" ca="1" si="100"/>
        <v>0</v>
      </c>
      <c r="X916">
        <f t="shared" ca="1" si="101"/>
        <v>0</v>
      </c>
      <c r="Z916" s="63" t="e">
        <f t="shared" ca="1" si="102"/>
        <v>#N/A</v>
      </c>
      <c r="AA916" s="63" t="e">
        <f t="shared" ca="1" si="103"/>
        <v>#N/A</v>
      </c>
      <c r="AB916" s="3" t="e">
        <f t="shared" ca="1" si="104"/>
        <v>#N/A</v>
      </c>
    </row>
    <row r="917" spans="7:28">
      <c r="G917" t="e">
        <f t="shared" ca="1" si="98"/>
        <v>#N/A</v>
      </c>
      <c r="H917" t="e">
        <f t="shared" ca="1" si="99"/>
        <v>#N/A</v>
      </c>
      <c r="I917" t="e">
        <f ca="1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W917" s="2">
        <f t="shared" ca="1" si="100"/>
        <v>0</v>
      </c>
      <c r="X917">
        <f t="shared" ca="1" si="101"/>
        <v>0</v>
      </c>
      <c r="Z917" s="63" t="e">
        <f t="shared" ca="1" si="102"/>
        <v>#N/A</v>
      </c>
      <c r="AA917" s="63" t="e">
        <f t="shared" ca="1" si="103"/>
        <v>#N/A</v>
      </c>
      <c r="AB917" s="3" t="e">
        <f t="shared" ca="1" si="104"/>
        <v>#N/A</v>
      </c>
    </row>
    <row r="918" spans="7:28">
      <c r="G918" t="e">
        <f t="shared" ca="1" si="98"/>
        <v>#N/A</v>
      </c>
      <c r="H918" t="e">
        <f t="shared" ca="1" si="99"/>
        <v>#N/A</v>
      </c>
      <c r="I918" t="e">
        <f ca="1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W918" s="2">
        <f t="shared" ca="1" si="100"/>
        <v>0</v>
      </c>
      <c r="X918">
        <f t="shared" ca="1" si="101"/>
        <v>0</v>
      </c>
      <c r="Z918" s="63" t="e">
        <f t="shared" ca="1" si="102"/>
        <v>#N/A</v>
      </c>
      <c r="AA918" s="63" t="e">
        <f t="shared" ca="1" si="103"/>
        <v>#N/A</v>
      </c>
      <c r="AB918" s="3" t="e">
        <f t="shared" ca="1" si="104"/>
        <v>#N/A</v>
      </c>
    </row>
    <row r="919" spans="7:28">
      <c r="G919" t="e">
        <f t="shared" ca="1" si="98"/>
        <v>#N/A</v>
      </c>
      <c r="H919" t="e">
        <f t="shared" ca="1" si="99"/>
        <v>#N/A</v>
      </c>
      <c r="I919" t="e">
        <f ca="1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W919" s="2">
        <f t="shared" ca="1" si="100"/>
        <v>0</v>
      </c>
      <c r="X919">
        <f t="shared" ca="1" si="101"/>
        <v>0</v>
      </c>
      <c r="Z919" s="63" t="e">
        <f t="shared" ca="1" si="102"/>
        <v>#N/A</v>
      </c>
      <c r="AA919" s="63" t="e">
        <f t="shared" ca="1" si="103"/>
        <v>#N/A</v>
      </c>
      <c r="AB919" s="3" t="e">
        <f t="shared" ca="1" si="104"/>
        <v>#N/A</v>
      </c>
    </row>
    <row r="920" spans="7:28">
      <c r="G920" t="e">
        <f t="shared" ca="1" si="98"/>
        <v>#N/A</v>
      </c>
      <c r="H920" t="e">
        <f t="shared" ca="1" si="99"/>
        <v>#N/A</v>
      </c>
      <c r="I920" t="e">
        <f ca="1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W920" s="2">
        <f t="shared" ca="1" si="100"/>
        <v>0</v>
      </c>
      <c r="X920">
        <f t="shared" ca="1" si="101"/>
        <v>0</v>
      </c>
      <c r="Z920" s="63" t="e">
        <f t="shared" ca="1" si="102"/>
        <v>#N/A</v>
      </c>
      <c r="AA920" s="63" t="e">
        <f t="shared" ca="1" si="103"/>
        <v>#N/A</v>
      </c>
      <c r="AB920" s="3" t="e">
        <f t="shared" ca="1" si="104"/>
        <v>#N/A</v>
      </c>
    </row>
    <row r="921" spans="7:28">
      <c r="G921" t="e">
        <f t="shared" ca="1" si="98"/>
        <v>#N/A</v>
      </c>
      <c r="H921" t="e">
        <f t="shared" ca="1" si="99"/>
        <v>#N/A</v>
      </c>
      <c r="I921" t="e">
        <f ca="1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W921" s="2">
        <f t="shared" ca="1" si="100"/>
        <v>0</v>
      </c>
      <c r="X921">
        <f t="shared" ca="1" si="101"/>
        <v>0</v>
      </c>
      <c r="Z921" s="63" t="e">
        <f t="shared" ca="1" si="102"/>
        <v>#N/A</v>
      </c>
      <c r="AA921" s="63" t="e">
        <f t="shared" ca="1" si="103"/>
        <v>#N/A</v>
      </c>
      <c r="AB921" s="3" t="e">
        <f t="shared" ca="1" si="104"/>
        <v>#N/A</v>
      </c>
    </row>
    <row r="922" spans="7:28">
      <c r="G922" t="e">
        <f t="shared" ca="1" si="98"/>
        <v>#N/A</v>
      </c>
      <c r="H922" t="e">
        <f t="shared" ca="1" si="99"/>
        <v>#N/A</v>
      </c>
      <c r="I922" t="e">
        <f ca="1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W922" s="2">
        <f t="shared" ca="1" si="100"/>
        <v>0</v>
      </c>
      <c r="X922">
        <f t="shared" ca="1" si="101"/>
        <v>0</v>
      </c>
      <c r="Z922" s="63" t="e">
        <f t="shared" ca="1" si="102"/>
        <v>#N/A</v>
      </c>
      <c r="AA922" s="63" t="e">
        <f t="shared" ca="1" si="103"/>
        <v>#N/A</v>
      </c>
      <c r="AB922" s="3" t="e">
        <f t="shared" ca="1" si="104"/>
        <v>#N/A</v>
      </c>
    </row>
    <row r="923" spans="7:28">
      <c r="G923" t="e">
        <f t="shared" ca="1" si="98"/>
        <v>#N/A</v>
      </c>
      <c r="H923" t="e">
        <f t="shared" ca="1" si="99"/>
        <v>#N/A</v>
      </c>
      <c r="I923" t="e">
        <f ca="1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W923" s="2">
        <f t="shared" ca="1" si="100"/>
        <v>0</v>
      </c>
      <c r="X923">
        <f t="shared" ca="1" si="101"/>
        <v>0</v>
      </c>
      <c r="Z923" s="63" t="e">
        <f t="shared" ca="1" si="102"/>
        <v>#N/A</v>
      </c>
      <c r="AA923" s="63" t="e">
        <f t="shared" ca="1" si="103"/>
        <v>#N/A</v>
      </c>
      <c r="AB923" s="3" t="e">
        <f t="shared" ca="1" si="104"/>
        <v>#N/A</v>
      </c>
    </row>
    <row r="924" spans="7:28">
      <c r="G924" t="e">
        <f t="shared" ca="1" si="98"/>
        <v>#N/A</v>
      </c>
      <c r="H924" t="e">
        <f t="shared" ca="1" si="99"/>
        <v>#N/A</v>
      </c>
      <c r="I924" t="e">
        <f ca="1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W924" s="2">
        <f t="shared" ca="1" si="100"/>
        <v>0</v>
      </c>
      <c r="X924">
        <f t="shared" ca="1" si="101"/>
        <v>0</v>
      </c>
      <c r="Z924" s="63" t="e">
        <f t="shared" ca="1" si="102"/>
        <v>#N/A</v>
      </c>
      <c r="AA924" s="63" t="e">
        <f t="shared" ca="1" si="103"/>
        <v>#N/A</v>
      </c>
      <c r="AB924" s="3" t="e">
        <f t="shared" ca="1" si="104"/>
        <v>#N/A</v>
      </c>
    </row>
    <row r="925" spans="7:28">
      <c r="G925" t="e">
        <f t="shared" ca="1" si="98"/>
        <v>#N/A</v>
      </c>
      <c r="H925" t="e">
        <f t="shared" ca="1" si="99"/>
        <v>#N/A</v>
      </c>
      <c r="I925" t="e">
        <f ca="1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W925" s="2">
        <f t="shared" ca="1" si="100"/>
        <v>0</v>
      </c>
      <c r="X925">
        <f t="shared" ca="1" si="101"/>
        <v>0</v>
      </c>
      <c r="Z925" s="63" t="e">
        <f t="shared" ca="1" si="102"/>
        <v>#N/A</v>
      </c>
      <c r="AA925" s="63" t="e">
        <f t="shared" ca="1" si="103"/>
        <v>#N/A</v>
      </c>
      <c r="AB925" s="3" t="e">
        <f t="shared" ca="1" si="104"/>
        <v>#N/A</v>
      </c>
    </row>
    <row r="926" spans="7:28">
      <c r="G926" t="e">
        <f t="shared" ca="1" si="98"/>
        <v>#N/A</v>
      </c>
      <c r="H926" t="e">
        <f t="shared" ca="1" si="99"/>
        <v>#N/A</v>
      </c>
      <c r="I926" t="e">
        <f ca="1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W926" s="2">
        <f t="shared" ca="1" si="100"/>
        <v>0</v>
      </c>
      <c r="X926">
        <f t="shared" ca="1" si="101"/>
        <v>0</v>
      </c>
      <c r="Z926" s="63" t="e">
        <f t="shared" ca="1" si="102"/>
        <v>#N/A</v>
      </c>
      <c r="AA926" s="63" t="e">
        <f t="shared" ca="1" si="103"/>
        <v>#N/A</v>
      </c>
      <c r="AB926" s="3" t="e">
        <f t="shared" ca="1" si="104"/>
        <v>#N/A</v>
      </c>
    </row>
    <row r="927" spans="7:28">
      <c r="G927" t="e">
        <f t="shared" ca="1" si="98"/>
        <v>#N/A</v>
      </c>
      <c r="H927" t="e">
        <f t="shared" ca="1" si="99"/>
        <v>#N/A</v>
      </c>
      <c r="I927" t="e">
        <f ca="1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W927" s="2">
        <f t="shared" ca="1" si="100"/>
        <v>0</v>
      </c>
      <c r="X927">
        <f t="shared" ca="1" si="101"/>
        <v>0</v>
      </c>
      <c r="Z927" s="63" t="e">
        <f t="shared" ca="1" si="102"/>
        <v>#N/A</v>
      </c>
      <c r="AA927" s="63" t="e">
        <f t="shared" ca="1" si="103"/>
        <v>#N/A</v>
      </c>
      <c r="AB927" s="3" t="e">
        <f t="shared" ca="1" si="104"/>
        <v>#N/A</v>
      </c>
    </row>
    <row r="928" spans="7:28">
      <c r="G928" t="e">
        <f t="shared" ca="1" si="98"/>
        <v>#N/A</v>
      </c>
      <c r="H928" t="e">
        <f t="shared" ca="1" si="99"/>
        <v>#N/A</v>
      </c>
      <c r="I928" t="e">
        <f ca="1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W928" s="2">
        <f t="shared" ca="1" si="100"/>
        <v>0</v>
      </c>
      <c r="X928">
        <f t="shared" ca="1" si="101"/>
        <v>0</v>
      </c>
      <c r="Z928" s="63" t="e">
        <f t="shared" ca="1" si="102"/>
        <v>#N/A</v>
      </c>
      <c r="AA928" s="63" t="e">
        <f t="shared" ca="1" si="103"/>
        <v>#N/A</v>
      </c>
      <c r="AB928" s="3" t="e">
        <f t="shared" ca="1" si="104"/>
        <v>#N/A</v>
      </c>
    </row>
    <row r="929" spans="7:28">
      <c r="G929" t="e">
        <f t="shared" ca="1" si="98"/>
        <v>#N/A</v>
      </c>
      <c r="H929" t="e">
        <f t="shared" ca="1" si="99"/>
        <v>#N/A</v>
      </c>
      <c r="I929" t="e">
        <f ca="1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W929" s="2">
        <f t="shared" ca="1" si="100"/>
        <v>0</v>
      </c>
      <c r="X929">
        <f t="shared" ca="1" si="101"/>
        <v>0</v>
      </c>
      <c r="Z929" s="63" t="e">
        <f t="shared" ca="1" si="102"/>
        <v>#N/A</v>
      </c>
      <c r="AA929" s="63" t="e">
        <f t="shared" ca="1" si="103"/>
        <v>#N/A</v>
      </c>
      <c r="AB929" s="3" t="e">
        <f t="shared" ca="1" si="104"/>
        <v>#N/A</v>
      </c>
    </row>
    <row r="930" spans="7:28">
      <c r="G930" t="e">
        <f t="shared" ca="1" si="98"/>
        <v>#N/A</v>
      </c>
      <c r="H930" t="e">
        <f t="shared" ca="1" si="99"/>
        <v>#N/A</v>
      </c>
      <c r="I930" t="e">
        <f ca="1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W930" s="2">
        <f t="shared" ca="1" si="100"/>
        <v>0</v>
      </c>
      <c r="X930">
        <f t="shared" ca="1" si="101"/>
        <v>0</v>
      </c>
      <c r="Z930" s="63" t="e">
        <f t="shared" ca="1" si="102"/>
        <v>#N/A</v>
      </c>
      <c r="AA930" s="63" t="e">
        <f t="shared" ca="1" si="103"/>
        <v>#N/A</v>
      </c>
      <c r="AB930" s="3" t="e">
        <f t="shared" ca="1" si="104"/>
        <v>#N/A</v>
      </c>
    </row>
    <row r="931" spans="7:28">
      <c r="G931" t="e">
        <f t="shared" ca="1" si="98"/>
        <v>#N/A</v>
      </c>
      <c r="H931" t="e">
        <f t="shared" ca="1" si="99"/>
        <v>#N/A</v>
      </c>
      <c r="I931" t="e">
        <f ca="1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W931" s="2">
        <f t="shared" ca="1" si="100"/>
        <v>0</v>
      </c>
      <c r="X931">
        <f t="shared" ca="1" si="101"/>
        <v>0</v>
      </c>
      <c r="Z931" s="63" t="e">
        <f t="shared" ca="1" si="102"/>
        <v>#N/A</v>
      </c>
      <c r="AA931" s="63" t="e">
        <f t="shared" ca="1" si="103"/>
        <v>#N/A</v>
      </c>
      <c r="AB931" s="3" t="e">
        <f t="shared" ca="1" si="104"/>
        <v>#N/A</v>
      </c>
    </row>
    <row r="932" spans="7:28">
      <c r="G932" t="e">
        <f t="shared" ca="1" si="98"/>
        <v>#N/A</v>
      </c>
      <c r="H932" t="e">
        <f t="shared" ca="1" si="99"/>
        <v>#N/A</v>
      </c>
      <c r="I932" t="e">
        <f ca="1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W932" s="2">
        <f t="shared" ca="1" si="100"/>
        <v>0</v>
      </c>
      <c r="X932">
        <f t="shared" ca="1" si="101"/>
        <v>0</v>
      </c>
      <c r="Z932" s="63" t="e">
        <f t="shared" ca="1" si="102"/>
        <v>#N/A</v>
      </c>
      <c r="AA932" s="63" t="e">
        <f t="shared" ca="1" si="103"/>
        <v>#N/A</v>
      </c>
      <c r="AB932" s="3" t="e">
        <f t="shared" ca="1" si="104"/>
        <v>#N/A</v>
      </c>
    </row>
    <row r="933" spans="7:28">
      <c r="G933" t="e">
        <f t="shared" ca="1" si="98"/>
        <v>#N/A</v>
      </c>
      <c r="H933" t="e">
        <f t="shared" ca="1" si="99"/>
        <v>#N/A</v>
      </c>
      <c r="I933" t="e">
        <f ca="1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W933" s="2">
        <f t="shared" ca="1" si="100"/>
        <v>0</v>
      </c>
      <c r="X933">
        <f t="shared" ca="1" si="101"/>
        <v>0</v>
      </c>
      <c r="Z933" s="63" t="e">
        <f t="shared" ca="1" si="102"/>
        <v>#N/A</v>
      </c>
      <c r="AA933" s="63" t="e">
        <f t="shared" ca="1" si="103"/>
        <v>#N/A</v>
      </c>
      <c r="AB933" s="3" t="e">
        <f t="shared" ca="1" si="104"/>
        <v>#N/A</v>
      </c>
    </row>
    <row r="934" spans="7:28">
      <c r="G934" t="e">
        <f t="shared" ca="1" si="98"/>
        <v>#N/A</v>
      </c>
      <c r="H934" t="e">
        <f t="shared" ca="1" si="99"/>
        <v>#N/A</v>
      </c>
      <c r="I934" t="e">
        <f ca="1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W934" s="2">
        <f t="shared" ca="1" si="100"/>
        <v>0</v>
      </c>
      <c r="X934">
        <f t="shared" ca="1" si="101"/>
        <v>0</v>
      </c>
      <c r="Z934" s="63" t="e">
        <f t="shared" ca="1" si="102"/>
        <v>#N/A</v>
      </c>
      <c r="AA934" s="63" t="e">
        <f t="shared" ca="1" si="103"/>
        <v>#N/A</v>
      </c>
      <c r="AB934" s="3" t="e">
        <f t="shared" ca="1" si="104"/>
        <v>#N/A</v>
      </c>
    </row>
    <row r="935" spans="7:28">
      <c r="G935" t="e">
        <f t="shared" ca="1" si="98"/>
        <v>#N/A</v>
      </c>
      <c r="H935" t="e">
        <f t="shared" ca="1" si="99"/>
        <v>#N/A</v>
      </c>
      <c r="I935" t="e">
        <f ca="1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W935" s="2">
        <f t="shared" ca="1" si="100"/>
        <v>0</v>
      </c>
      <c r="X935">
        <f t="shared" ca="1" si="101"/>
        <v>0</v>
      </c>
      <c r="Z935" s="63" t="e">
        <f t="shared" ca="1" si="102"/>
        <v>#N/A</v>
      </c>
      <c r="AA935" s="63" t="e">
        <f t="shared" ca="1" si="103"/>
        <v>#N/A</v>
      </c>
      <c r="AB935" s="3" t="e">
        <f t="shared" ca="1" si="104"/>
        <v>#N/A</v>
      </c>
    </row>
    <row r="936" spans="7:28">
      <c r="G936" t="e">
        <f t="shared" ca="1" si="98"/>
        <v>#N/A</v>
      </c>
      <c r="H936" t="e">
        <f t="shared" ca="1" si="99"/>
        <v>#N/A</v>
      </c>
      <c r="I936" t="e">
        <f ca="1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W936" s="2">
        <f t="shared" ca="1" si="100"/>
        <v>0</v>
      </c>
      <c r="X936">
        <f t="shared" ca="1" si="101"/>
        <v>0</v>
      </c>
      <c r="Z936" s="63" t="e">
        <f t="shared" ca="1" si="102"/>
        <v>#N/A</v>
      </c>
      <c r="AA936" s="63" t="e">
        <f t="shared" ca="1" si="103"/>
        <v>#N/A</v>
      </c>
      <c r="AB936" s="3" t="e">
        <f t="shared" ca="1" si="104"/>
        <v>#N/A</v>
      </c>
    </row>
    <row r="937" spans="7:28">
      <c r="G937" t="e">
        <f t="shared" ca="1" si="98"/>
        <v>#N/A</v>
      </c>
      <c r="H937" t="e">
        <f t="shared" ca="1" si="99"/>
        <v>#N/A</v>
      </c>
      <c r="I937" t="e">
        <f ca="1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W937" s="2">
        <f t="shared" ca="1" si="100"/>
        <v>0</v>
      </c>
      <c r="X937">
        <f t="shared" ca="1" si="101"/>
        <v>0</v>
      </c>
      <c r="Z937" s="63" t="e">
        <f t="shared" ca="1" si="102"/>
        <v>#N/A</v>
      </c>
      <c r="AA937" s="63" t="e">
        <f t="shared" ca="1" si="103"/>
        <v>#N/A</v>
      </c>
      <c r="AB937" s="3" t="e">
        <f t="shared" ca="1" si="104"/>
        <v>#N/A</v>
      </c>
    </row>
    <row r="938" spans="7:28">
      <c r="G938" t="e">
        <f t="shared" ca="1" si="98"/>
        <v>#N/A</v>
      </c>
      <c r="H938" t="e">
        <f t="shared" ca="1" si="99"/>
        <v>#N/A</v>
      </c>
      <c r="I938" t="e">
        <f ca="1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W938" s="2">
        <f t="shared" ca="1" si="100"/>
        <v>0</v>
      </c>
      <c r="X938">
        <f t="shared" ca="1" si="101"/>
        <v>0</v>
      </c>
      <c r="Z938" s="63" t="e">
        <f t="shared" ca="1" si="102"/>
        <v>#N/A</v>
      </c>
      <c r="AA938" s="63" t="e">
        <f t="shared" ca="1" si="103"/>
        <v>#N/A</v>
      </c>
      <c r="AB938" s="3" t="e">
        <f t="shared" ca="1" si="104"/>
        <v>#N/A</v>
      </c>
    </row>
    <row r="939" spans="7:28">
      <c r="G939" t="e">
        <f t="shared" ca="1" si="98"/>
        <v>#N/A</v>
      </c>
      <c r="H939" t="e">
        <f t="shared" ca="1" si="99"/>
        <v>#N/A</v>
      </c>
      <c r="I939" t="e">
        <f ca="1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W939" s="2">
        <f t="shared" ca="1" si="100"/>
        <v>0</v>
      </c>
      <c r="X939">
        <f t="shared" ca="1" si="101"/>
        <v>0</v>
      </c>
      <c r="Z939" s="63" t="e">
        <f t="shared" ca="1" si="102"/>
        <v>#N/A</v>
      </c>
      <c r="AA939" s="63" t="e">
        <f t="shared" ca="1" si="103"/>
        <v>#N/A</v>
      </c>
      <c r="AB939" s="3" t="e">
        <f t="shared" ca="1" si="104"/>
        <v>#N/A</v>
      </c>
    </row>
    <row r="940" spans="7:28">
      <c r="G940" t="e">
        <f t="shared" ca="1" si="98"/>
        <v>#N/A</v>
      </c>
      <c r="H940" t="e">
        <f t="shared" ca="1" si="99"/>
        <v>#N/A</v>
      </c>
      <c r="I940" t="e">
        <f ca="1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W940" s="2">
        <f t="shared" ca="1" si="100"/>
        <v>0</v>
      </c>
      <c r="X940">
        <f t="shared" ca="1" si="101"/>
        <v>0</v>
      </c>
      <c r="Z940" s="63" t="e">
        <f t="shared" ca="1" si="102"/>
        <v>#N/A</v>
      </c>
      <c r="AA940" s="63" t="e">
        <f t="shared" ca="1" si="103"/>
        <v>#N/A</v>
      </c>
      <c r="AB940" s="3" t="e">
        <f t="shared" ca="1" si="104"/>
        <v>#N/A</v>
      </c>
    </row>
    <row r="941" spans="7:28">
      <c r="G941" t="e">
        <f t="shared" ca="1" si="98"/>
        <v>#N/A</v>
      </c>
      <c r="H941" t="e">
        <f t="shared" ca="1" si="99"/>
        <v>#N/A</v>
      </c>
      <c r="I941" t="e">
        <f ca="1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W941" s="2">
        <f t="shared" ca="1" si="100"/>
        <v>0</v>
      </c>
      <c r="X941">
        <f t="shared" ca="1" si="101"/>
        <v>0</v>
      </c>
      <c r="Z941" s="63" t="e">
        <f t="shared" ca="1" si="102"/>
        <v>#N/A</v>
      </c>
      <c r="AA941" s="63" t="e">
        <f t="shared" ca="1" si="103"/>
        <v>#N/A</v>
      </c>
      <c r="AB941" s="3" t="e">
        <f t="shared" ca="1" si="104"/>
        <v>#N/A</v>
      </c>
    </row>
    <row r="942" spans="7:28">
      <c r="G942" t="e">
        <f t="shared" ca="1" si="98"/>
        <v>#N/A</v>
      </c>
      <c r="H942" t="e">
        <f t="shared" ca="1" si="99"/>
        <v>#N/A</v>
      </c>
      <c r="I942" t="e">
        <f ca="1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W942" s="2">
        <f t="shared" ca="1" si="100"/>
        <v>0</v>
      </c>
      <c r="X942">
        <f t="shared" ca="1" si="101"/>
        <v>0</v>
      </c>
      <c r="Z942" s="63" t="e">
        <f t="shared" ca="1" si="102"/>
        <v>#N/A</v>
      </c>
      <c r="AA942" s="63" t="e">
        <f t="shared" ca="1" si="103"/>
        <v>#N/A</v>
      </c>
      <c r="AB942" s="3" t="e">
        <f t="shared" ca="1" si="104"/>
        <v>#N/A</v>
      </c>
    </row>
    <row r="943" spans="7:28">
      <c r="G943" t="e">
        <f t="shared" ca="1" si="98"/>
        <v>#N/A</v>
      </c>
      <c r="H943" t="e">
        <f t="shared" ca="1" si="99"/>
        <v>#N/A</v>
      </c>
      <c r="I943" t="e">
        <f ca="1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W943" s="2">
        <f t="shared" ca="1" si="100"/>
        <v>0</v>
      </c>
      <c r="X943">
        <f t="shared" ca="1" si="101"/>
        <v>0</v>
      </c>
      <c r="Z943" s="63" t="e">
        <f t="shared" ca="1" si="102"/>
        <v>#N/A</v>
      </c>
      <c r="AA943" s="63" t="e">
        <f t="shared" ca="1" si="103"/>
        <v>#N/A</v>
      </c>
      <c r="AB943" s="3" t="e">
        <f t="shared" ca="1" si="104"/>
        <v>#N/A</v>
      </c>
    </row>
    <row r="944" spans="7:28">
      <c r="G944" t="e">
        <f t="shared" ca="1" si="98"/>
        <v>#N/A</v>
      </c>
      <c r="H944" t="e">
        <f t="shared" ca="1" si="99"/>
        <v>#N/A</v>
      </c>
      <c r="I944" t="e">
        <f ca="1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W944" s="2">
        <f t="shared" ca="1" si="100"/>
        <v>0</v>
      </c>
      <c r="X944">
        <f t="shared" ca="1" si="101"/>
        <v>0</v>
      </c>
      <c r="Z944" s="63" t="e">
        <f t="shared" ca="1" si="102"/>
        <v>#N/A</v>
      </c>
      <c r="AA944" s="63" t="e">
        <f t="shared" ca="1" si="103"/>
        <v>#N/A</v>
      </c>
      <c r="AB944" s="3" t="e">
        <f t="shared" ca="1" si="104"/>
        <v>#N/A</v>
      </c>
    </row>
    <row r="945" spans="7:28">
      <c r="G945" t="e">
        <f t="shared" ref="G945:G1000" ca="1" si="105">IF(I945&lt;$I$4,TRUE,FALSE)</f>
        <v>#N/A</v>
      </c>
      <c r="H945" t="e">
        <f t="shared" ref="H945:H1000" ca="1" si="106">AND(IF(I945&gt;($I$3-1),TRUE,FALSE),IF(I945&lt;($I$4+1),TRUE,FALSE))</f>
        <v>#N/A</v>
      </c>
      <c r="I945" t="e">
        <f ca="1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W945" s="2">
        <f t="shared" ref="W945:W1000" ca="1" si="107">IFERROR(I945,$W$5)</f>
        <v>0</v>
      </c>
      <c r="X945">
        <f t="shared" ref="X945:X1000" ca="1" si="108">IFERROR(N945,0)</f>
        <v>0</v>
      </c>
      <c r="Z945" s="63" t="e">
        <f t="shared" ref="Z945:Z1000" ca="1" si="109">J944+L945+M945+N945</f>
        <v>#N/A</v>
      </c>
      <c r="AA945" s="63" t="e">
        <f t="shared" ref="AA945:AA1000" ca="1" si="110">J945+K945+Q945</f>
        <v>#N/A</v>
      </c>
      <c r="AB945" s="3" t="e">
        <f t="shared" ref="AB945:AB1000" ca="1" si="111">AA945-Z945</f>
        <v>#N/A</v>
      </c>
    </row>
    <row r="946" spans="7:28">
      <c r="G946" t="e">
        <f t="shared" ca="1" si="105"/>
        <v>#N/A</v>
      </c>
      <c r="H946" t="e">
        <f t="shared" ca="1" si="106"/>
        <v>#N/A</v>
      </c>
      <c r="I946" t="e">
        <f ca="1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W946" s="2">
        <f t="shared" ca="1" si="107"/>
        <v>0</v>
      </c>
      <c r="X946">
        <f t="shared" ca="1" si="108"/>
        <v>0</v>
      </c>
      <c r="Z946" s="63" t="e">
        <f t="shared" ca="1" si="109"/>
        <v>#N/A</v>
      </c>
      <c r="AA946" s="63" t="e">
        <f t="shared" ca="1" si="110"/>
        <v>#N/A</v>
      </c>
      <c r="AB946" s="3" t="e">
        <f t="shared" ca="1" si="111"/>
        <v>#N/A</v>
      </c>
    </row>
    <row r="947" spans="7:28">
      <c r="G947" t="e">
        <f t="shared" ca="1" si="105"/>
        <v>#N/A</v>
      </c>
      <c r="H947" t="e">
        <f t="shared" ca="1" si="106"/>
        <v>#N/A</v>
      </c>
      <c r="I947" t="e">
        <f ca="1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W947" s="2">
        <f t="shared" ca="1" si="107"/>
        <v>0</v>
      </c>
      <c r="X947">
        <f t="shared" ca="1" si="108"/>
        <v>0</v>
      </c>
      <c r="Z947" s="63" t="e">
        <f t="shared" ca="1" si="109"/>
        <v>#N/A</v>
      </c>
      <c r="AA947" s="63" t="e">
        <f t="shared" ca="1" si="110"/>
        <v>#N/A</v>
      </c>
      <c r="AB947" s="3" t="e">
        <f t="shared" ca="1" si="111"/>
        <v>#N/A</v>
      </c>
    </row>
    <row r="948" spans="7:28">
      <c r="G948" t="e">
        <f t="shared" ca="1" si="105"/>
        <v>#N/A</v>
      </c>
      <c r="H948" t="e">
        <f t="shared" ca="1" si="106"/>
        <v>#N/A</v>
      </c>
      <c r="I948" t="e">
        <f ca="1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W948" s="2">
        <f t="shared" ca="1" si="107"/>
        <v>0</v>
      </c>
      <c r="X948">
        <f t="shared" ca="1" si="108"/>
        <v>0</v>
      </c>
      <c r="Z948" s="63" t="e">
        <f t="shared" ca="1" si="109"/>
        <v>#N/A</v>
      </c>
      <c r="AA948" s="63" t="e">
        <f t="shared" ca="1" si="110"/>
        <v>#N/A</v>
      </c>
      <c r="AB948" s="3" t="e">
        <f t="shared" ca="1" si="111"/>
        <v>#N/A</v>
      </c>
    </row>
    <row r="949" spans="7:28">
      <c r="G949" t="e">
        <f t="shared" ca="1" si="105"/>
        <v>#N/A</v>
      </c>
      <c r="H949" t="e">
        <f t="shared" ca="1" si="106"/>
        <v>#N/A</v>
      </c>
      <c r="I949" t="e">
        <f ca="1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W949" s="2">
        <f t="shared" ca="1" si="107"/>
        <v>0</v>
      </c>
      <c r="X949">
        <f t="shared" ca="1" si="108"/>
        <v>0</v>
      </c>
      <c r="Z949" s="63" t="e">
        <f t="shared" ca="1" si="109"/>
        <v>#N/A</v>
      </c>
      <c r="AA949" s="63" t="e">
        <f t="shared" ca="1" si="110"/>
        <v>#N/A</v>
      </c>
      <c r="AB949" s="3" t="e">
        <f t="shared" ca="1" si="111"/>
        <v>#N/A</v>
      </c>
    </row>
    <row r="950" spans="7:28">
      <c r="G950" t="e">
        <f t="shared" ca="1" si="105"/>
        <v>#N/A</v>
      </c>
      <c r="H950" t="e">
        <f t="shared" ca="1" si="106"/>
        <v>#N/A</v>
      </c>
      <c r="I950" t="e">
        <f ca="1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W950" s="2">
        <f t="shared" ca="1" si="107"/>
        <v>0</v>
      </c>
      <c r="X950">
        <f t="shared" ca="1" si="108"/>
        <v>0</v>
      </c>
      <c r="Z950" s="63" t="e">
        <f t="shared" ca="1" si="109"/>
        <v>#N/A</v>
      </c>
      <c r="AA950" s="63" t="e">
        <f t="shared" ca="1" si="110"/>
        <v>#N/A</v>
      </c>
      <c r="AB950" s="3" t="e">
        <f t="shared" ca="1" si="111"/>
        <v>#N/A</v>
      </c>
    </row>
    <row r="951" spans="7:28">
      <c r="G951" t="e">
        <f t="shared" ca="1" si="105"/>
        <v>#N/A</v>
      </c>
      <c r="H951" t="e">
        <f t="shared" ca="1" si="106"/>
        <v>#N/A</v>
      </c>
      <c r="I951" t="e">
        <f ca="1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W951" s="2">
        <f t="shared" ca="1" si="107"/>
        <v>0</v>
      </c>
      <c r="X951">
        <f t="shared" ca="1" si="108"/>
        <v>0</v>
      </c>
      <c r="Z951" s="63" t="e">
        <f t="shared" ca="1" si="109"/>
        <v>#N/A</v>
      </c>
      <c r="AA951" s="63" t="e">
        <f t="shared" ca="1" si="110"/>
        <v>#N/A</v>
      </c>
      <c r="AB951" s="3" t="e">
        <f t="shared" ca="1" si="111"/>
        <v>#N/A</v>
      </c>
    </row>
    <row r="952" spans="7:28">
      <c r="G952" t="e">
        <f t="shared" ca="1" si="105"/>
        <v>#N/A</v>
      </c>
      <c r="H952" t="e">
        <f t="shared" ca="1" si="106"/>
        <v>#N/A</v>
      </c>
      <c r="I952" t="e">
        <f ca="1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W952" s="2">
        <f t="shared" ca="1" si="107"/>
        <v>0</v>
      </c>
      <c r="X952">
        <f t="shared" ca="1" si="108"/>
        <v>0</v>
      </c>
      <c r="Z952" s="63" t="e">
        <f t="shared" ca="1" si="109"/>
        <v>#N/A</v>
      </c>
      <c r="AA952" s="63" t="e">
        <f t="shared" ca="1" si="110"/>
        <v>#N/A</v>
      </c>
      <c r="AB952" s="3" t="e">
        <f t="shared" ca="1" si="111"/>
        <v>#N/A</v>
      </c>
    </row>
    <row r="953" spans="7:28">
      <c r="G953" t="e">
        <f t="shared" ca="1" si="105"/>
        <v>#N/A</v>
      </c>
      <c r="H953" t="e">
        <f t="shared" ca="1" si="106"/>
        <v>#N/A</v>
      </c>
      <c r="I953" t="e">
        <f ca="1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W953" s="2">
        <f t="shared" ca="1" si="107"/>
        <v>0</v>
      </c>
      <c r="X953">
        <f t="shared" ca="1" si="108"/>
        <v>0</v>
      </c>
      <c r="Z953" s="63" t="e">
        <f t="shared" ca="1" si="109"/>
        <v>#N/A</v>
      </c>
      <c r="AA953" s="63" t="e">
        <f t="shared" ca="1" si="110"/>
        <v>#N/A</v>
      </c>
      <c r="AB953" s="3" t="e">
        <f t="shared" ca="1" si="111"/>
        <v>#N/A</v>
      </c>
    </row>
    <row r="954" spans="7:28">
      <c r="G954" t="e">
        <f t="shared" ca="1" si="105"/>
        <v>#N/A</v>
      </c>
      <c r="H954" t="e">
        <f t="shared" ca="1" si="106"/>
        <v>#N/A</v>
      </c>
      <c r="I954" t="e">
        <f ca="1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W954" s="2">
        <f t="shared" ca="1" si="107"/>
        <v>0</v>
      </c>
      <c r="X954">
        <f t="shared" ca="1" si="108"/>
        <v>0</v>
      </c>
      <c r="Z954" s="63" t="e">
        <f t="shared" ca="1" si="109"/>
        <v>#N/A</v>
      </c>
      <c r="AA954" s="63" t="e">
        <f t="shared" ca="1" si="110"/>
        <v>#N/A</v>
      </c>
      <c r="AB954" s="3" t="e">
        <f t="shared" ca="1" si="111"/>
        <v>#N/A</v>
      </c>
    </row>
    <row r="955" spans="7:28">
      <c r="G955" t="e">
        <f t="shared" ca="1" si="105"/>
        <v>#N/A</v>
      </c>
      <c r="H955" t="e">
        <f t="shared" ca="1" si="106"/>
        <v>#N/A</v>
      </c>
      <c r="I955" t="e">
        <f ca="1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W955" s="2">
        <f t="shared" ca="1" si="107"/>
        <v>0</v>
      </c>
      <c r="X955">
        <f t="shared" ca="1" si="108"/>
        <v>0</v>
      </c>
      <c r="Z955" s="63" t="e">
        <f t="shared" ca="1" si="109"/>
        <v>#N/A</v>
      </c>
      <c r="AA955" s="63" t="e">
        <f t="shared" ca="1" si="110"/>
        <v>#N/A</v>
      </c>
      <c r="AB955" s="3" t="e">
        <f t="shared" ca="1" si="111"/>
        <v>#N/A</v>
      </c>
    </row>
    <row r="956" spans="7:28">
      <c r="G956" t="e">
        <f t="shared" ca="1" si="105"/>
        <v>#N/A</v>
      </c>
      <c r="H956" t="e">
        <f t="shared" ca="1" si="106"/>
        <v>#N/A</v>
      </c>
      <c r="I956" t="e">
        <f ca="1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W956" s="2">
        <f t="shared" ca="1" si="107"/>
        <v>0</v>
      </c>
      <c r="X956">
        <f t="shared" ca="1" si="108"/>
        <v>0</v>
      </c>
      <c r="Z956" s="63" t="e">
        <f t="shared" ca="1" si="109"/>
        <v>#N/A</v>
      </c>
      <c r="AA956" s="63" t="e">
        <f t="shared" ca="1" si="110"/>
        <v>#N/A</v>
      </c>
      <c r="AB956" s="3" t="e">
        <f t="shared" ca="1" si="111"/>
        <v>#N/A</v>
      </c>
    </row>
    <row r="957" spans="7:28">
      <c r="G957" t="e">
        <f t="shared" ca="1" si="105"/>
        <v>#N/A</v>
      </c>
      <c r="H957" t="e">
        <f t="shared" ca="1" si="106"/>
        <v>#N/A</v>
      </c>
      <c r="I957" t="e">
        <f ca="1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W957" s="2">
        <f t="shared" ca="1" si="107"/>
        <v>0</v>
      </c>
      <c r="X957">
        <f t="shared" ca="1" si="108"/>
        <v>0</v>
      </c>
      <c r="Z957" s="63" t="e">
        <f t="shared" ca="1" si="109"/>
        <v>#N/A</v>
      </c>
      <c r="AA957" s="63" t="e">
        <f t="shared" ca="1" si="110"/>
        <v>#N/A</v>
      </c>
      <c r="AB957" s="3" t="e">
        <f t="shared" ca="1" si="111"/>
        <v>#N/A</v>
      </c>
    </row>
    <row r="958" spans="7:28">
      <c r="G958" t="e">
        <f t="shared" ca="1" si="105"/>
        <v>#N/A</v>
      </c>
      <c r="H958" t="e">
        <f t="shared" ca="1" si="106"/>
        <v>#N/A</v>
      </c>
      <c r="I958" t="e">
        <f ca="1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W958" s="2">
        <f t="shared" ca="1" si="107"/>
        <v>0</v>
      </c>
      <c r="X958">
        <f t="shared" ca="1" si="108"/>
        <v>0</v>
      </c>
      <c r="Z958" s="63" t="e">
        <f t="shared" ca="1" si="109"/>
        <v>#N/A</v>
      </c>
      <c r="AA958" s="63" t="e">
        <f t="shared" ca="1" si="110"/>
        <v>#N/A</v>
      </c>
      <c r="AB958" s="3" t="e">
        <f t="shared" ca="1" si="111"/>
        <v>#N/A</v>
      </c>
    </row>
    <row r="959" spans="7:28">
      <c r="G959" t="e">
        <f t="shared" ca="1" si="105"/>
        <v>#N/A</v>
      </c>
      <c r="H959" t="e">
        <f t="shared" ca="1" si="106"/>
        <v>#N/A</v>
      </c>
      <c r="I959" t="e">
        <f ca="1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W959" s="2">
        <f t="shared" ca="1" si="107"/>
        <v>0</v>
      </c>
      <c r="X959">
        <f t="shared" ca="1" si="108"/>
        <v>0</v>
      </c>
      <c r="Z959" s="63" t="e">
        <f t="shared" ca="1" si="109"/>
        <v>#N/A</v>
      </c>
      <c r="AA959" s="63" t="e">
        <f t="shared" ca="1" si="110"/>
        <v>#N/A</v>
      </c>
      <c r="AB959" s="3" t="e">
        <f t="shared" ca="1" si="111"/>
        <v>#N/A</v>
      </c>
    </row>
    <row r="960" spans="7:28">
      <c r="G960" t="e">
        <f t="shared" ca="1" si="105"/>
        <v>#N/A</v>
      </c>
      <c r="H960" t="e">
        <f t="shared" ca="1" si="106"/>
        <v>#N/A</v>
      </c>
      <c r="I960" t="e">
        <f ca="1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W960" s="2">
        <f t="shared" ca="1" si="107"/>
        <v>0</v>
      </c>
      <c r="X960">
        <f t="shared" ca="1" si="108"/>
        <v>0</v>
      </c>
      <c r="Z960" s="63" t="e">
        <f t="shared" ca="1" si="109"/>
        <v>#N/A</v>
      </c>
      <c r="AA960" s="63" t="e">
        <f t="shared" ca="1" si="110"/>
        <v>#N/A</v>
      </c>
      <c r="AB960" s="3" t="e">
        <f t="shared" ca="1" si="111"/>
        <v>#N/A</v>
      </c>
    </row>
    <row r="961" spans="7:28">
      <c r="G961" t="e">
        <f t="shared" ca="1" si="105"/>
        <v>#N/A</v>
      </c>
      <c r="H961" t="e">
        <f t="shared" ca="1" si="106"/>
        <v>#N/A</v>
      </c>
      <c r="I961" t="e">
        <f ca="1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W961" s="2">
        <f t="shared" ca="1" si="107"/>
        <v>0</v>
      </c>
      <c r="X961">
        <f t="shared" ca="1" si="108"/>
        <v>0</v>
      </c>
      <c r="Z961" s="63" t="e">
        <f t="shared" ca="1" si="109"/>
        <v>#N/A</v>
      </c>
      <c r="AA961" s="63" t="e">
        <f t="shared" ca="1" si="110"/>
        <v>#N/A</v>
      </c>
      <c r="AB961" s="3" t="e">
        <f t="shared" ca="1" si="111"/>
        <v>#N/A</v>
      </c>
    </row>
    <row r="962" spans="7:28">
      <c r="G962" t="e">
        <f t="shared" ca="1" si="105"/>
        <v>#N/A</v>
      </c>
      <c r="H962" t="e">
        <f t="shared" ca="1" si="106"/>
        <v>#N/A</v>
      </c>
      <c r="I962" t="e">
        <f ca="1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W962" s="2">
        <f t="shared" ca="1" si="107"/>
        <v>0</v>
      </c>
      <c r="X962">
        <f t="shared" ca="1" si="108"/>
        <v>0</v>
      </c>
      <c r="Z962" s="63" t="e">
        <f t="shared" ca="1" si="109"/>
        <v>#N/A</v>
      </c>
      <c r="AA962" s="63" t="e">
        <f t="shared" ca="1" si="110"/>
        <v>#N/A</v>
      </c>
      <c r="AB962" s="3" t="e">
        <f t="shared" ca="1" si="111"/>
        <v>#N/A</v>
      </c>
    </row>
    <row r="963" spans="7:28">
      <c r="G963" t="e">
        <f t="shared" ca="1" si="105"/>
        <v>#N/A</v>
      </c>
      <c r="H963" t="e">
        <f t="shared" ca="1" si="106"/>
        <v>#N/A</v>
      </c>
      <c r="I963" t="e">
        <f ca="1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W963" s="2">
        <f t="shared" ca="1" si="107"/>
        <v>0</v>
      </c>
      <c r="X963">
        <f t="shared" ca="1" si="108"/>
        <v>0</v>
      </c>
      <c r="Z963" s="63" t="e">
        <f t="shared" ca="1" si="109"/>
        <v>#N/A</v>
      </c>
      <c r="AA963" s="63" t="e">
        <f t="shared" ca="1" si="110"/>
        <v>#N/A</v>
      </c>
      <c r="AB963" s="3" t="e">
        <f t="shared" ca="1" si="111"/>
        <v>#N/A</v>
      </c>
    </row>
    <row r="964" spans="7:28">
      <c r="G964" t="e">
        <f t="shared" ca="1" si="105"/>
        <v>#N/A</v>
      </c>
      <c r="H964" t="e">
        <f t="shared" ca="1" si="106"/>
        <v>#N/A</v>
      </c>
      <c r="I964" t="e">
        <f ca="1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W964" s="2">
        <f t="shared" ca="1" si="107"/>
        <v>0</v>
      </c>
      <c r="X964">
        <f t="shared" ca="1" si="108"/>
        <v>0</v>
      </c>
      <c r="Z964" s="63" t="e">
        <f t="shared" ca="1" si="109"/>
        <v>#N/A</v>
      </c>
      <c r="AA964" s="63" t="e">
        <f t="shared" ca="1" si="110"/>
        <v>#N/A</v>
      </c>
      <c r="AB964" s="3" t="e">
        <f t="shared" ca="1" si="111"/>
        <v>#N/A</v>
      </c>
    </row>
    <row r="965" spans="7:28">
      <c r="G965" t="e">
        <f t="shared" ca="1" si="105"/>
        <v>#N/A</v>
      </c>
      <c r="H965" t="e">
        <f t="shared" ca="1" si="106"/>
        <v>#N/A</v>
      </c>
      <c r="I965" t="e">
        <f ca="1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W965" s="2">
        <f t="shared" ca="1" si="107"/>
        <v>0</v>
      </c>
      <c r="X965">
        <f t="shared" ca="1" si="108"/>
        <v>0</v>
      </c>
      <c r="Z965" s="63" t="e">
        <f t="shared" ca="1" si="109"/>
        <v>#N/A</v>
      </c>
      <c r="AA965" s="63" t="e">
        <f t="shared" ca="1" si="110"/>
        <v>#N/A</v>
      </c>
      <c r="AB965" s="3" t="e">
        <f t="shared" ca="1" si="111"/>
        <v>#N/A</v>
      </c>
    </row>
    <row r="966" spans="7:28">
      <c r="G966" t="e">
        <f t="shared" ca="1" si="105"/>
        <v>#N/A</v>
      </c>
      <c r="H966" t="e">
        <f t="shared" ca="1" si="106"/>
        <v>#N/A</v>
      </c>
      <c r="I966" t="e">
        <f ca="1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W966" s="2">
        <f t="shared" ca="1" si="107"/>
        <v>0</v>
      </c>
      <c r="X966">
        <f t="shared" ca="1" si="108"/>
        <v>0</v>
      </c>
      <c r="Z966" s="63" t="e">
        <f t="shared" ca="1" si="109"/>
        <v>#N/A</v>
      </c>
      <c r="AA966" s="63" t="e">
        <f t="shared" ca="1" si="110"/>
        <v>#N/A</v>
      </c>
      <c r="AB966" s="3" t="e">
        <f t="shared" ca="1" si="111"/>
        <v>#N/A</v>
      </c>
    </row>
    <row r="967" spans="7:28">
      <c r="G967" t="e">
        <f t="shared" ca="1" si="105"/>
        <v>#N/A</v>
      </c>
      <c r="H967" t="e">
        <f t="shared" ca="1" si="106"/>
        <v>#N/A</v>
      </c>
      <c r="I967" t="e">
        <f ca="1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W967" s="2">
        <f t="shared" ca="1" si="107"/>
        <v>0</v>
      </c>
      <c r="X967">
        <f t="shared" ca="1" si="108"/>
        <v>0</v>
      </c>
      <c r="Z967" s="63" t="e">
        <f t="shared" ca="1" si="109"/>
        <v>#N/A</v>
      </c>
      <c r="AA967" s="63" t="e">
        <f t="shared" ca="1" si="110"/>
        <v>#N/A</v>
      </c>
      <c r="AB967" s="3" t="e">
        <f t="shared" ca="1" si="111"/>
        <v>#N/A</v>
      </c>
    </row>
    <row r="968" spans="7:28">
      <c r="G968" t="e">
        <f t="shared" ca="1" si="105"/>
        <v>#N/A</v>
      </c>
      <c r="H968" t="e">
        <f t="shared" ca="1" si="106"/>
        <v>#N/A</v>
      </c>
      <c r="I968" t="e">
        <f ca="1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W968" s="2">
        <f t="shared" ca="1" si="107"/>
        <v>0</v>
      </c>
      <c r="X968">
        <f t="shared" ca="1" si="108"/>
        <v>0</v>
      </c>
      <c r="Z968" s="63" t="e">
        <f t="shared" ca="1" si="109"/>
        <v>#N/A</v>
      </c>
      <c r="AA968" s="63" t="e">
        <f t="shared" ca="1" si="110"/>
        <v>#N/A</v>
      </c>
      <c r="AB968" s="3" t="e">
        <f t="shared" ca="1" si="111"/>
        <v>#N/A</v>
      </c>
    </row>
    <row r="969" spans="7:28">
      <c r="G969" t="e">
        <f t="shared" ca="1" si="105"/>
        <v>#N/A</v>
      </c>
      <c r="H969" t="e">
        <f t="shared" ca="1" si="106"/>
        <v>#N/A</v>
      </c>
      <c r="I969" t="e">
        <f ca="1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W969" s="2">
        <f t="shared" ca="1" si="107"/>
        <v>0</v>
      </c>
      <c r="X969">
        <f t="shared" ca="1" si="108"/>
        <v>0</v>
      </c>
      <c r="Z969" s="63" t="e">
        <f t="shared" ca="1" si="109"/>
        <v>#N/A</v>
      </c>
      <c r="AA969" s="63" t="e">
        <f t="shared" ca="1" si="110"/>
        <v>#N/A</v>
      </c>
      <c r="AB969" s="3" t="e">
        <f t="shared" ca="1" si="111"/>
        <v>#N/A</v>
      </c>
    </row>
    <row r="970" spans="7:28">
      <c r="G970" t="e">
        <f t="shared" ca="1" si="105"/>
        <v>#N/A</v>
      </c>
      <c r="H970" t="e">
        <f t="shared" ca="1" si="106"/>
        <v>#N/A</v>
      </c>
      <c r="I970" t="e">
        <f ca="1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W970" s="2">
        <f t="shared" ca="1" si="107"/>
        <v>0</v>
      </c>
      <c r="X970">
        <f t="shared" ca="1" si="108"/>
        <v>0</v>
      </c>
      <c r="Z970" s="63" t="e">
        <f t="shared" ca="1" si="109"/>
        <v>#N/A</v>
      </c>
      <c r="AA970" s="63" t="e">
        <f t="shared" ca="1" si="110"/>
        <v>#N/A</v>
      </c>
      <c r="AB970" s="3" t="e">
        <f t="shared" ca="1" si="111"/>
        <v>#N/A</v>
      </c>
    </row>
    <row r="971" spans="7:28">
      <c r="G971" t="e">
        <f t="shared" ca="1" si="105"/>
        <v>#N/A</v>
      </c>
      <c r="H971" t="e">
        <f t="shared" ca="1" si="106"/>
        <v>#N/A</v>
      </c>
      <c r="I971" t="e">
        <f ca="1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W971" s="2">
        <f t="shared" ca="1" si="107"/>
        <v>0</v>
      </c>
      <c r="X971">
        <f t="shared" ca="1" si="108"/>
        <v>0</v>
      </c>
      <c r="Z971" s="63" t="e">
        <f t="shared" ca="1" si="109"/>
        <v>#N/A</v>
      </c>
      <c r="AA971" s="63" t="e">
        <f t="shared" ca="1" si="110"/>
        <v>#N/A</v>
      </c>
      <c r="AB971" s="3" t="e">
        <f t="shared" ca="1" si="111"/>
        <v>#N/A</v>
      </c>
    </row>
    <row r="972" spans="7:28">
      <c r="G972" t="e">
        <f t="shared" ca="1" si="105"/>
        <v>#N/A</v>
      </c>
      <c r="H972" t="e">
        <f t="shared" ca="1" si="106"/>
        <v>#N/A</v>
      </c>
      <c r="I972" t="e">
        <f ca="1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W972" s="2">
        <f t="shared" ca="1" si="107"/>
        <v>0</v>
      </c>
      <c r="X972">
        <f t="shared" ca="1" si="108"/>
        <v>0</v>
      </c>
      <c r="Z972" s="63" t="e">
        <f t="shared" ca="1" si="109"/>
        <v>#N/A</v>
      </c>
      <c r="AA972" s="63" t="e">
        <f t="shared" ca="1" si="110"/>
        <v>#N/A</v>
      </c>
      <c r="AB972" s="3" t="e">
        <f t="shared" ca="1" si="111"/>
        <v>#N/A</v>
      </c>
    </row>
    <row r="973" spans="7:28">
      <c r="G973" t="e">
        <f t="shared" ca="1" si="105"/>
        <v>#N/A</v>
      </c>
      <c r="H973" t="e">
        <f t="shared" ca="1" si="106"/>
        <v>#N/A</v>
      </c>
      <c r="I973" t="e">
        <f ca="1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W973" s="2">
        <f t="shared" ca="1" si="107"/>
        <v>0</v>
      </c>
      <c r="X973">
        <f t="shared" ca="1" si="108"/>
        <v>0</v>
      </c>
      <c r="Z973" s="63" t="e">
        <f t="shared" ca="1" si="109"/>
        <v>#N/A</v>
      </c>
      <c r="AA973" s="63" t="e">
        <f t="shared" ca="1" si="110"/>
        <v>#N/A</v>
      </c>
      <c r="AB973" s="3" t="e">
        <f t="shared" ca="1" si="111"/>
        <v>#N/A</v>
      </c>
    </row>
    <row r="974" spans="7:28">
      <c r="G974" t="e">
        <f t="shared" ca="1" si="105"/>
        <v>#N/A</v>
      </c>
      <c r="H974" t="e">
        <f t="shared" ca="1" si="106"/>
        <v>#N/A</v>
      </c>
      <c r="I974" t="e">
        <f ca="1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W974" s="2">
        <f t="shared" ca="1" si="107"/>
        <v>0</v>
      </c>
      <c r="X974">
        <f t="shared" ca="1" si="108"/>
        <v>0</v>
      </c>
      <c r="Z974" s="63" t="e">
        <f t="shared" ca="1" si="109"/>
        <v>#N/A</v>
      </c>
      <c r="AA974" s="63" t="e">
        <f t="shared" ca="1" si="110"/>
        <v>#N/A</v>
      </c>
      <c r="AB974" s="3" t="e">
        <f t="shared" ca="1" si="111"/>
        <v>#N/A</v>
      </c>
    </row>
    <row r="975" spans="7:28">
      <c r="G975" t="e">
        <f t="shared" ca="1" si="105"/>
        <v>#N/A</v>
      </c>
      <c r="H975" t="e">
        <f t="shared" ca="1" si="106"/>
        <v>#N/A</v>
      </c>
      <c r="I975" t="e">
        <f ca="1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W975" s="2">
        <f t="shared" ca="1" si="107"/>
        <v>0</v>
      </c>
      <c r="X975">
        <f t="shared" ca="1" si="108"/>
        <v>0</v>
      </c>
      <c r="Z975" s="63" t="e">
        <f t="shared" ca="1" si="109"/>
        <v>#N/A</v>
      </c>
      <c r="AA975" s="63" t="e">
        <f t="shared" ca="1" si="110"/>
        <v>#N/A</v>
      </c>
      <c r="AB975" s="3" t="e">
        <f t="shared" ca="1" si="111"/>
        <v>#N/A</v>
      </c>
    </row>
    <row r="976" spans="7:28">
      <c r="G976" t="e">
        <f t="shared" ca="1" si="105"/>
        <v>#N/A</v>
      </c>
      <c r="H976" t="e">
        <f t="shared" ca="1" si="106"/>
        <v>#N/A</v>
      </c>
      <c r="I976" t="e">
        <f ca="1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W976" s="2">
        <f t="shared" ca="1" si="107"/>
        <v>0</v>
      </c>
      <c r="X976">
        <f t="shared" ca="1" si="108"/>
        <v>0</v>
      </c>
      <c r="Z976" s="63" t="e">
        <f t="shared" ca="1" si="109"/>
        <v>#N/A</v>
      </c>
      <c r="AA976" s="63" t="e">
        <f t="shared" ca="1" si="110"/>
        <v>#N/A</v>
      </c>
      <c r="AB976" s="3" t="e">
        <f t="shared" ca="1" si="111"/>
        <v>#N/A</v>
      </c>
    </row>
    <row r="977" spans="7:28">
      <c r="G977" t="e">
        <f t="shared" ca="1" si="105"/>
        <v>#N/A</v>
      </c>
      <c r="H977" t="e">
        <f t="shared" ca="1" si="106"/>
        <v>#N/A</v>
      </c>
      <c r="I977" t="e">
        <f ca="1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W977" s="2">
        <f t="shared" ca="1" si="107"/>
        <v>0</v>
      </c>
      <c r="X977">
        <f t="shared" ca="1" si="108"/>
        <v>0</v>
      </c>
      <c r="Z977" s="63" t="e">
        <f t="shared" ca="1" si="109"/>
        <v>#N/A</v>
      </c>
      <c r="AA977" s="63" t="e">
        <f t="shared" ca="1" si="110"/>
        <v>#N/A</v>
      </c>
      <c r="AB977" s="3" t="e">
        <f t="shared" ca="1" si="111"/>
        <v>#N/A</v>
      </c>
    </row>
    <row r="978" spans="7:28">
      <c r="G978" t="e">
        <f t="shared" ca="1" si="105"/>
        <v>#N/A</v>
      </c>
      <c r="H978" t="e">
        <f t="shared" ca="1" si="106"/>
        <v>#N/A</v>
      </c>
      <c r="I978" t="e">
        <f ca="1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W978" s="2">
        <f t="shared" ca="1" si="107"/>
        <v>0</v>
      </c>
      <c r="X978">
        <f t="shared" ca="1" si="108"/>
        <v>0</v>
      </c>
      <c r="Z978" s="63" t="e">
        <f t="shared" ca="1" si="109"/>
        <v>#N/A</v>
      </c>
      <c r="AA978" s="63" t="e">
        <f t="shared" ca="1" si="110"/>
        <v>#N/A</v>
      </c>
      <c r="AB978" s="3" t="e">
        <f t="shared" ca="1" si="111"/>
        <v>#N/A</v>
      </c>
    </row>
    <row r="979" spans="7:28">
      <c r="G979" t="e">
        <f t="shared" ca="1" si="105"/>
        <v>#N/A</v>
      </c>
      <c r="H979" t="e">
        <f t="shared" ca="1" si="106"/>
        <v>#N/A</v>
      </c>
      <c r="I979" t="e">
        <f ca="1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W979" s="2">
        <f t="shared" ca="1" si="107"/>
        <v>0</v>
      </c>
      <c r="X979">
        <f t="shared" ca="1" si="108"/>
        <v>0</v>
      </c>
      <c r="Z979" s="63" t="e">
        <f t="shared" ca="1" si="109"/>
        <v>#N/A</v>
      </c>
      <c r="AA979" s="63" t="e">
        <f t="shared" ca="1" si="110"/>
        <v>#N/A</v>
      </c>
      <c r="AB979" s="3" t="e">
        <f t="shared" ca="1" si="111"/>
        <v>#N/A</v>
      </c>
    </row>
    <row r="980" spans="7:28">
      <c r="G980" t="e">
        <f t="shared" ca="1" si="105"/>
        <v>#N/A</v>
      </c>
      <c r="H980" t="e">
        <f t="shared" ca="1" si="106"/>
        <v>#N/A</v>
      </c>
      <c r="I980" t="e">
        <f ca="1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W980" s="2">
        <f t="shared" ca="1" si="107"/>
        <v>0</v>
      </c>
      <c r="X980">
        <f t="shared" ca="1" si="108"/>
        <v>0</v>
      </c>
      <c r="Z980" s="63" t="e">
        <f t="shared" ca="1" si="109"/>
        <v>#N/A</v>
      </c>
      <c r="AA980" s="63" t="e">
        <f t="shared" ca="1" si="110"/>
        <v>#N/A</v>
      </c>
      <c r="AB980" s="3" t="e">
        <f t="shared" ca="1" si="111"/>
        <v>#N/A</v>
      </c>
    </row>
    <row r="981" spans="7:28">
      <c r="G981" t="e">
        <f t="shared" ca="1" si="105"/>
        <v>#N/A</v>
      </c>
      <c r="H981" t="e">
        <f t="shared" ca="1" si="106"/>
        <v>#N/A</v>
      </c>
      <c r="I981" t="e">
        <f ca="1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W981" s="2">
        <f t="shared" ca="1" si="107"/>
        <v>0</v>
      </c>
      <c r="X981">
        <f t="shared" ca="1" si="108"/>
        <v>0</v>
      </c>
      <c r="Z981" s="63" t="e">
        <f t="shared" ca="1" si="109"/>
        <v>#N/A</v>
      </c>
      <c r="AA981" s="63" t="e">
        <f t="shared" ca="1" si="110"/>
        <v>#N/A</v>
      </c>
      <c r="AB981" s="3" t="e">
        <f t="shared" ca="1" si="111"/>
        <v>#N/A</v>
      </c>
    </row>
    <row r="982" spans="7:28">
      <c r="G982" t="e">
        <f t="shared" ca="1" si="105"/>
        <v>#N/A</v>
      </c>
      <c r="H982" t="e">
        <f t="shared" ca="1" si="106"/>
        <v>#N/A</v>
      </c>
      <c r="I982" t="e">
        <f ca="1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W982" s="2">
        <f t="shared" ca="1" si="107"/>
        <v>0</v>
      </c>
      <c r="X982">
        <f t="shared" ca="1" si="108"/>
        <v>0</v>
      </c>
      <c r="Z982" s="63" t="e">
        <f t="shared" ca="1" si="109"/>
        <v>#N/A</v>
      </c>
      <c r="AA982" s="63" t="e">
        <f t="shared" ca="1" si="110"/>
        <v>#N/A</v>
      </c>
      <c r="AB982" s="3" t="e">
        <f t="shared" ca="1" si="111"/>
        <v>#N/A</v>
      </c>
    </row>
    <row r="983" spans="7:28">
      <c r="G983" t="e">
        <f t="shared" ca="1" si="105"/>
        <v>#N/A</v>
      </c>
      <c r="H983" t="e">
        <f t="shared" ca="1" si="106"/>
        <v>#N/A</v>
      </c>
      <c r="I983" t="e">
        <f ca="1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W983" s="2">
        <f t="shared" ca="1" si="107"/>
        <v>0</v>
      </c>
      <c r="X983">
        <f t="shared" ca="1" si="108"/>
        <v>0</v>
      </c>
      <c r="Z983" s="63" t="e">
        <f t="shared" ca="1" si="109"/>
        <v>#N/A</v>
      </c>
      <c r="AA983" s="63" t="e">
        <f t="shared" ca="1" si="110"/>
        <v>#N/A</v>
      </c>
      <c r="AB983" s="3" t="e">
        <f t="shared" ca="1" si="111"/>
        <v>#N/A</v>
      </c>
    </row>
    <row r="984" spans="7:28">
      <c r="G984" t="e">
        <f t="shared" ca="1" si="105"/>
        <v>#N/A</v>
      </c>
      <c r="H984" t="e">
        <f t="shared" ca="1" si="106"/>
        <v>#N/A</v>
      </c>
      <c r="I984" t="e">
        <f ca="1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W984" s="2">
        <f t="shared" ca="1" si="107"/>
        <v>0</v>
      </c>
      <c r="X984">
        <f t="shared" ca="1" si="108"/>
        <v>0</v>
      </c>
      <c r="Z984" s="63" t="e">
        <f t="shared" ca="1" si="109"/>
        <v>#N/A</v>
      </c>
      <c r="AA984" s="63" t="e">
        <f t="shared" ca="1" si="110"/>
        <v>#N/A</v>
      </c>
      <c r="AB984" s="3" t="e">
        <f t="shared" ca="1" si="111"/>
        <v>#N/A</v>
      </c>
    </row>
    <row r="985" spans="7:28">
      <c r="G985" t="e">
        <f t="shared" ca="1" si="105"/>
        <v>#N/A</v>
      </c>
      <c r="H985" t="e">
        <f t="shared" ca="1" si="106"/>
        <v>#N/A</v>
      </c>
      <c r="I985" t="e">
        <f ca="1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W985" s="2">
        <f t="shared" ca="1" si="107"/>
        <v>0</v>
      </c>
      <c r="X985">
        <f t="shared" ca="1" si="108"/>
        <v>0</v>
      </c>
      <c r="Z985" s="63" t="e">
        <f t="shared" ca="1" si="109"/>
        <v>#N/A</v>
      </c>
      <c r="AA985" s="63" t="e">
        <f t="shared" ca="1" si="110"/>
        <v>#N/A</v>
      </c>
      <c r="AB985" s="3" t="e">
        <f t="shared" ca="1" si="111"/>
        <v>#N/A</v>
      </c>
    </row>
    <row r="986" spans="7:28">
      <c r="G986" t="e">
        <f t="shared" ca="1" si="105"/>
        <v>#N/A</v>
      </c>
      <c r="H986" t="e">
        <f t="shared" ca="1" si="106"/>
        <v>#N/A</v>
      </c>
      <c r="I986" t="e">
        <f ca="1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W986" s="2">
        <f t="shared" ca="1" si="107"/>
        <v>0</v>
      </c>
      <c r="X986">
        <f t="shared" ca="1" si="108"/>
        <v>0</v>
      </c>
      <c r="Z986" s="63" t="e">
        <f t="shared" ca="1" si="109"/>
        <v>#N/A</v>
      </c>
      <c r="AA986" s="63" t="e">
        <f t="shared" ca="1" si="110"/>
        <v>#N/A</v>
      </c>
      <c r="AB986" s="3" t="e">
        <f t="shared" ca="1" si="111"/>
        <v>#N/A</v>
      </c>
    </row>
    <row r="987" spans="7:28">
      <c r="G987" t="e">
        <f t="shared" ca="1" si="105"/>
        <v>#N/A</v>
      </c>
      <c r="H987" t="e">
        <f t="shared" ca="1" si="106"/>
        <v>#N/A</v>
      </c>
      <c r="I987" t="e">
        <f ca="1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W987" s="2">
        <f t="shared" ca="1" si="107"/>
        <v>0</v>
      </c>
      <c r="X987">
        <f t="shared" ca="1" si="108"/>
        <v>0</v>
      </c>
      <c r="Z987" s="63" t="e">
        <f t="shared" ca="1" si="109"/>
        <v>#N/A</v>
      </c>
      <c r="AA987" s="63" t="e">
        <f t="shared" ca="1" si="110"/>
        <v>#N/A</v>
      </c>
      <c r="AB987" s="3" t="e">
        <f t="shared" ca="1" si="111"/>
        <v>#N/A</v>
      </c>
    </row>
    <row r="988" spans="7:28">
      <c r="G988" t="e">
        <f t="shared" ca="1" si="105"/>
        <v>#N/A</v>
      </c>
      <c r="H988" t="e">
        <f t="shared" ca="1" si="106"/>
        <v>#N/A</v>
      </c>
      <c r="I988" t="e">
        <f ca="1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W988" s="2">
        <f t="shared" ca="1" si="107"/>
        <v>0</v>
      </c>
      <c r="X988">
        <f t="shared" ca="1" si="108"/>
        <v>0</v>
      </c>
      <c r="Z988" s="63" t="e">
        <f t="shared" ca="1" si="109"/>
        <v>#N/A</v>
      </c>
      <c r="AA988" s="63" t="e">
        <f t="shared" ca="1" si="110"/>
        <v>#N/A</v>
      </c>
      <c r="AB988" s="3" t="e">
        <f t="shared" ca="1" si="111"/>
        <v>#N/A</v>
      </c>
    </row>
    <row r="989" spans="7:28">
      <c r="G989" t="e">
        <f t="shared" ca="1" si="105"/>
        <v>#N/A</v>
      </c>
      <c r="H989" t="e">
        <f t="shared" ca="1" si="106"/>
        <v>#N/A</v>
      </c>
      <c r="I989" t="e">
        <f ca="1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W989" s="2">
        <f t="shared" ca="1" si="107"/>
        <v>0</v>
      </c>
      <c r="X989">
        <f t="shared" ca="1" si="108"/>
        <v>0</v>
      </c>
      <c r="Z989" s="63" t="e">
        <f t="shared" ca="1" si="109"/>
        <v>#N/A</v>
      </c>
      <c r="AA989" s="63" t="e">
        <f t="shared" ca="1" si="110"/>
        <v>#N/A</v>
      </c>
      <c r="AB989" s="3" t="e">
        <f t="shared" ca="1" si="111"/>
        <v>#N/A</v>
      </c>
    </row>
    <row r="990" spans="7:28">
      <c r="G990" t="e">
        <f t="shared" ca="1" si="105"/>
        <v>#N/A</v>
      </c>
      <c r="H990" t="e">
        <f t="shared" ca="1" si="106"/>
        <v>#N/A</v>
      </c>
      <c r="I990" t="e">
        <f ca="1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W990" s="2">
        <f t="shared" ca="1" si="107"/>
        <v>0</v>
      </c>
      <c r="X990">
        <f t="shared" ca="1" si="108"/>
        <v>0</v>
      </c>
      <c r="Z990" s="63" t="e">
        <f t="shared" ca="1" si="109"/>
        <v>#N/A</v>
      </c>
      <c r="AA990" s="63" t="e">
        <f t="shared" ca="1" si="110"/>
        <v>#N/A</v>
      </c>
      <c r="AB990" s="3" t="e">
        <f t="shared" ca="1" si="111"/>
        <v>#N/A</v>
      </c>
    </row>
    <row r="991" spans="7:28">
      <c r="G991" t="e">
        <f t="shared" ca="1" si="105"/>
        <v>#N/A</v>
      </c>
      <c r="H991" t="e">
        <f t="shared" ca="1" si="106"/>
        <v>#N/A</v>
      </c>
      <c r="I991" t="e">
        <f ca="1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W991" s="2">
        <f t="shared" ca="1" si="107"/>
        <v>0</v>
      </c>
      <c r="X991">
        <f t="shared" ca="1" si="108"/>
        <v>0</v>
      </c>
      <c r="Z991" s="63" t="e">
        <f t="shared" ca="1" si="109"/>
        <v>#N/A</v>
      </c>
      <c r="AA991" s="63" t="e">
        <f t="shared" ca="1" si="110"/>
        <v>#N/A</v>
      </c>
      <c r="AB991" s="3" t="e">
        <f t="shared" ca="1" si="111"/>
        <v>#N/A</v>
      </c>
    </row>
    <row r="992" spans="7:28">
      <c r="G992" t="e">
        <f t="shared" ca="1" si="105"/>
        <v>#N/A</v>
      </c>
      <c r="H992" t="e">
        <f t="shared" ca="1" si="106"/>
        <v>#N/A</v>
      </c>
      <c r="I992" t="e">
        <f ca="1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W992" s="2">
        <f t="shared" ca="1" si="107"/>
        <v>0</v>
      </c>
      <c r="X992">
        <f t="shared" ca="1" si="108"/>
        <v>0</v>
      </c>
      <c r="Z992" s="63" t="e">
        <f t="shared" ca="1" si="109"/>
        <v>#N/A</v>
      </c>
      <c r="AA992" s="63" t="e">
        <f t="shared" ca="1" si="110"/>
        <v>#N/A</v>
      </c>
      <c r="AB992" s="3" t="e">
        <f t="shared" ca="1" si="111"/>
        <v>#N/A</v>
      </c>
    </row>
    <row r="993" spans="7:28">
      <c r="G993" t="e">
        <f t="shared" ca="1" si="105"/>
        <v>#N/A</v>
      </c>
      <c r="H993" t="e">
        <f t="shared" ca="1" si="106"/>
        <v>#N/A</v>
      </c>
      <c r="I993" t="e">
        <f ca="1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W993" s="2">
        <f t="shared" ca="1" si="107"/>
        <v>0</v>
      </c>
      <c r="X993">
        <f t="shared" ca="1" si="108"/>
        <v>0</v>
      </c>
      <c r="Z993" s="63" t="e">
        <f t="shared" ca="1" si="109"/>
        <v>#N/A</v>
      </c>
      <c r="AA993" s="63" t="e">
        <f t="shared" ca="1" si="110"/>
        <v>#N/A</v>
      </c>
      <c r="AB993" s="3" t="e">
        <f t="shared" ca="1" si="111"/>
        <v>#N/A</v>
      </c>
    </row>
    <row r="994" spans="7:28">
      <c r="G994" t="e">
        <f t="shared" ca="1" si="105"/>
        <v>#N/A</v>
      </c>
      <c r="H994" t="e">
        <f t="shared" ca="1" si="106"/>
        <v>#N/A</v>
      </c>
      <c r="I994" t="e">
        <f ca="1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W994" s="2">
        <f t="shared" ca="1" si="107"/>
        <v>0</v>
      </c>
      <c r="X994">
        <f t="shared" ca="1" si="108"/>
        <v>0</v>
      </c>
      <c r="Z994" s="63" t="e">
        <f t="shared" ca="1" si="109"/>
        <v>#N/A</v>
      </c>
      <c r="AA994" s="63" t="e">
        <f t="shared" ca="1" si="110"/>
        <v>#N/A</v>
      </c>
      <c r="AB994" s="3" t="e">
        <f t="shared" ca="1" si="111"/>
        <v>#N/A</v>
      </c>
    </row>
    <row r="995" spans="7:28">
      <c r="G995" t="e">
        <f t="shared" ca="1" si="105"/>
        <v>#N/A</v>
      </c>
      <c r="H995" t="e">
        <f t="shared" ca="1" si="106"/>
        <v>#N/A</v>
      </c>
      <c r="I995" t="e">
        <f ca="1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W995" s="2">
        <f t="shared" ca="1" si="107"/>
        <v>0</v>
      </c>
      <c r="X995">
        <f t="shared" ca="1" si="108"/>
        <v>0</v>
      </c>
      <c r="Z995" s="63" t="e">
        <f t="shared" ca="1" si="109"/>
        <v>#N/A</v>
      </c>
      <c r="AA995" s="63" t="e">
        <f t="shared" ca="1" si="110"/>
        <v>#N/A</v>
      </c>
      <c r="AB995" s="3" t="e">
        <f t="shared" ca="1" si="111"/>
        <v>#N/A</v>
      </c>
    </row>
    <row r="996" spans="7:28">
      <c r="G996" t="e">
        <f t="shared" ca="1" si="105"/>
        <v>#N/A</v>
      </c>
      <c r="H996" t="e">
        <f t="shared" ca="1" si="106"/>
        <v>#N/A</v>
      </c>
      <c r="I996" t="e">
        <f ca="1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W996" s="2">
        <f t="shared" ca="1" si="107"/>
        <v>0</v>
      </c>
      <c r="X996">
        <f t="shared" ca="1" si="108"/>
        <v>0</v>
      </c>
      <c r="Z996" s="63" t="e">
        <f t="shared" ca="1" si="109"/>
        <v>#N/A</v>
      </c>
      <c r="AA996" s="63" t="e">
        <f t="shared" ca="1" si="110"/>
        <v>#N/A</v>
      </c>
      <c r="AB996" s="3" t="e">
        <f t="shared" ca="1" si="111"/>
        <v>#N/A</v>
      </c>
    </row>
    <row r="997" spans="7:28">
      <c r="G997" t="e">
        <f t="shared" ca="1" si="105"/>
        <v>#N/A</v>
      </c>
      <c r="H997" t="e">
        <f t="shared" ca="1" si="106"/>
        <v>#N/A</v>
      </c>
      <c r="I997" t="e">
        <f ca="1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W997" s="2">
        <f t="shared" ca="1" si="107"/>
        <v>0</v>
      </c>
      <c r="X997">
        <f t="shared" ca="1" si="108"/>
        <v>0</v>
      </c>
      <c r="Z997" s="63" t="e">
        <f t="shared" ca="1" si="109"/>
        <v>#N/A</v>
      </c>
      <c r="AA997" s="63" t="e">
        <f t="shared" ca="1" si="110"/>
        <v>#N/A</v>
      </c>
      <c r="AB997" s="3" t="e">
        <f t="shared" ca="1" si="111"/>
        <v>#N/A</v>
      </c>
    </row>
    <row r="998" spans="7:28">
      <c r="G998" t="e">
        <f t="shared" ca="1" si="105"/>
        <v>#N/A</v>
      </c>
      <c r="H998" t="e">
        <f t="shared" ca="1" si="106"/>
        <v>#N/A</v>
      </c>
      <c r="I998" t="e">
        <f ca="1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W998" s="2">
        <f t="shared" ca="1" si="107"/>
        <v>0</v>
      </c>
      <c r="X998">
        <f t="shared" ca="1" si="108"/>
        <v>0</v>
      </c>
      <c r="Z998" s="63" t="e">
        <f t="shared" ca="1" si="109"/>
        <v>#N/A</v>
      </c>
      <c r="AA998" s="63" t="e">
        <f t="shared" ca="1" si="110"/>
        <v>#N/A</v>
      </c>
      <c r="AB998" s="3" t="e">
        <f t="shared" ca="1" si="111"/>
        <v>#N/A</v>
      </c>
    </row>
    <row r="999" spans="7:28">
      <c r="G999" t="e">
        <f t="shared" ca="1" si="105"/>
        <v>#N/A</v>
      </c>
      <c r="H999" t="e">
        <f t="shared" ca="1" si="106"/>
        <v>#N/A</v>
      </c>
      <c r="I999" t="e">
        <f ca="1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W999" s="2">
        <f t="shared" ca="1" si="107"/>
        <v>0</v>
      </c>
      <c r="X999">
        <f t="shared" ca="1" si="108"/>
        <v>0</v>
      </c>
      <c r="Z999" s="63" t="e">
        <f t="shared" ca="1" si="109"/>
        <v>#N/A</v>
      </c>
      <c r="AA999" s="63" t="e">
        <f t="shared" ca="1" si="110"/>
        <v>#N/A</v>
      </c>
      <c r="AB999" s="3" t="e">
        <f t="shared" ca="1" si="111"/>
        <v>#N/A</v>
      </c>
    </row>
    <row r="1000" spans="7:28">
      <c r="G1000" t="e">
        <f t="shared" ca="1" si="105"/>
        <v>#N/A</v>
      </c>
      <c r="H1000" t="e">
        <f t="shared" ca="1" si="106"/>
        <v>#N/A</v>
      </c>
      <c r="I1000" t="e">
        <f ca="1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W1000" s="2">
        <f t="shared" ca="1" si="107"/>
        <v>0</v>
      </c>
      <c r="X1000">
        <f t="shared" ca="1" si="108"/>
        <v>0</v>
      </c>
      <c r="Z1000" s="63" t="e">
        <f t="shared" ca="1" si="109"/>
        <v>#N/A</v>
      </c>
      <c r="AA1000" s="63" t="e">
        <f t="shared" ca="1" si="110"/>
        <v>#N/A</v>
      </c>
      <c r="AB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F1" workbookViewId="0">
      <selection activeCell="AR7" sqref="AR7:AR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39</v>
      </c>
      <c r="AT1" s="52" t="s">
        <v>38</v>
      </c>
      <c r="AU1" s="52" t="s">
        <v>50</v>
      </c>
      <c r="AV1" s="52" t="s">
        <v>91</v>
      </c>
      <c r="AW1" s="52" t="s">
        <v>74</v>
      </c>
      <c r="AX1" s="52" t="s">
        <v>73</v>
      </c>
      <c r="AY1" s="52" t="s">
        <v>72</v>
      </c>
      <c r="AZ1" s="52" t="s">
        <v>45</v>
      </c>
      <c r="BA1" s="52" t="s">
        <v>58</v>
      </c>
      <c r="BB1" s="52" t="s">
        <v>9</v>
      </c>
      <c r="BC1" s="52" t="s">
        <v>70</v>
      </c>
      <c r="BD1" s="52" t="s">
        <v>46</v>
      </c>
      <c r="BE1" s="52" t="s">
        <v>77</v>
      </c>
      <c r="BF1" s="52" t="s">
        <v>57</v>
      </c>
      <c r="BG1" s="52" t="s">
        <v>79</v>
      </c>
      <c r="BH1" s="52" t="s">
        <v>32</v>
      </c>
      <c r="BI1" s="52" t="s">
        <v>69</v>
      </c>
      <c r="BJ1" s="52" t="s">
        <v>29</v>
      </c>
      <c r="BK1" s="52" t="s">
        <v>35</v>
      </c>
      <c r="BL1" s="52" t="s">
        <v>85</v>
      </c>
      <c r="BM1" s="52" t="s">
        <v>64</v>
      </c>
      <c r="BN1" s="52" t="s">
        <v>48</v>
      </c>
      <c r="BO1" s="52" t="s">
        <v>6</v>
      </c>
      <c r="BP1" s="52" t="s">
        <v>49</v>
      </c>
      <c r="BQ1" s="52" t="s">
        <v>52</v>
      </c>
      <c r="BR1" s="52" t="s">
        <v>43</v>
      </c>
      <c r="BS1" s="52" t="s">
        <v>54</v>
      </c>
      <c r="BT1" s="52" t="s">
        <v>31</v>
      </c>
      <c r="BU1" s="52" t="s">
        <v>7</v>
      </c>
      <c r="BV1" s="52" t="s">
        <v>56</v>
      </c>
      <c r="BW1" s="52" t="s">
        <v>88</v>
      </c>
      <c r="BX1" s="52" t="s">
        <v>51</v>
      </c>
      <c r="BY1" s="52" t="s">
        <v>53</v>
      </c>
      <c r="BZ1" s="52" t="s">
        <v>83</v>
      </c>
      <c r="CA1" s="52" t="s">
        <v>60</v>
      </c>
      <c r="CB1" s="52" t="s">
        <v>34</v>
      </c>
      <c r="CC1" s="52" t="s">
        <v>55</v>
      </c>
      <c r="CD1" s="52" t="s">
        <v>81</v>
      </c>
      <c r="CE1" s="52" t="s">
        <v>40</v>
      </c>
      <c r="CF1" s="52" t="s">
        <v>59</v>
      </c>
      <c r="CG1" s="52" t="s">
        <v>71</v>
      </c>
      <c r="CH1" s="52" t="s">
        <v>90</v>
      </c>
      <c r="CI1" s="52" t="s">
        <v>68</v>
      </c>
      <c r="CJ1" s="52" t="s">
        <v>82</v>
      </c>
      <c r="CK1" s="52" t="s">
        <v>47</v>
      </c>
      <c r="CL1" s="52" t="s">
        <v>33</v>
      </c>
      <c r="CM1" s="52" t="s">
        <v>92</v>
      </c>
      <c r="CN1" s="52" t="s">
        <v>89</v>
      </c>
      <c r="CO1" s="52" t="s">
        <v>42</v>
      </c>
      <c r="CP1" s="52" t="s">
        <v>26</v>
      </c>
      <c r="CQ1" s="53" t="s">
        <v>36</v>
      </c>
      <c r="CR1" s="1" t="s">
        <v>41</v>
      </c>
      <c r="CS1" t="s">
        <v>251</v>
      </c>
      <c r="CT1" t="s">
        <v>252</v>
      </c>
      <c r="CU1" t="s">
        <v>253</v>
      </c>
    </row>
    <row r="2" spans="1:99">
      <c r="AS2" s="12" t="s">
        <v>27</v>
      </c>
      <c r="AT2" t="s">
        <v>27</v>
      </c>
      <c r="AU2" t="s">
        <v>27</v>
      </c>
      <c r="AV2" t="s">
        <v>27</v>
      </c>
      <c r="AW2" t="s">
        <v>75</v>
      </c>
      <c r="AX2" t="s">
        <v>27</v>
      </c>
      <c r="AY2" t="s">
        <v>27</v>
      </c>
      <c r="AZ2" t="s">
        <v>27</v>
      </c>
      <c r="BA2" t="s">
        <v>258</v>
      </c>
      <c r="BB2" t="s">
        <v>27</v>
      </c>
      <c r="BC2" t="s">
        <v>27</v>
      </c>
      <c r="BD2" t="s">
        <v>27</v>
      </c>
      <c r="BE2" t="s">
        <v>27</v>
      </c>
      <c r="BF2" t="s">
        <v>27</v>
      </c>
      <c r="BG2" t="s">
        <v>27</v>
      </c>
      <c r="BH2" t="s">
        <v>27</v>
      </c>
      <c r="BI2" t="s">
        <v>27</v>
      </c>
      <c r="BJ2" t="s">
        <v>27</v>
      </c>
      <c r="BK2" t="s">
        <v>27</v>
      </c>
      <c r="BL2" t="s">
        <v>27</v>
      </c>
      <c r="BM2" t="s">
        <v>27</v>
      </c>
      <c r="BN2" t="s">
        <v>27</v>
      </c>
      <c r="BO2" t="s">
        <v>86</v>
      </c>
      <c r="BP2" t="s">
        <v>27</v>
      </c>
      <c r="BQ2" t="s">
        <v>27</v>
      </c>
      <c r="BR2" t="s">
        <v>27</v>
      </c>
      <c r="BS2" t="s">
        <v>27</v>
      </c>
      <c r="BT2" t="s">
        <v>27</v>
      </c>
      <c r="BU2" t="s">
        <v>65</v>
      </c>
      <c r="BV2" t="s">
        <v>27</v>
      </c>
      <c r="BW2" t="s">
        <v>27</v>
      </c>
      <c r="BX2" t="s">
        <v>27</v>
      </c>
      <c r="BY2" t="s">
        <v>27</v>
      </c>
      <c r="BZ2" t="s">
        <v>27</v>
      </c>
      <c r="CA2" t="s">
        <v>61</v>
      </c>
      <c r="CB2" t="s">
        <v>27</v>
      </c>
      <c r="CC2" t="s">
        <v>27</v>
      </c>
      <c r="CD2" t="s">
        <v>27</v>
      </c>
      <c r="CE2" t="s">
        <v>27</v>
      </c>
      <c r="CF2" t="s">
        <v>27</v>
      </c>
      <c r="CG2" t="s">
        <v>27</v>
      </c>
      <c r="CH2" t="s">
        <v>27</v>
      </c>
      <c r="CI2" t="s">
        <v>27</v>
      </c>
      <c r="CJ2" t="s">
        <v>27</v>
      </c>
      <c r="CK2" t="s">
        <v>27</v>
      </c>
      <c r="CL2" t="s">
        <v>27</v>
      </c>
      <c r="CM2" t="s">
        <v>27</v>
      </c>
      <c r="CN2" t="s">
        <v>27</v>
      </c>
      <c r="CO2" t="s">
        <v>27</v>
      </c>
      <c r="CP2" t="s">
        <v>27</v>
      </c>
      <c r="CQ2" s="13" t="s">
        <v>25</v>
      </c>
      <c r="CR2" t="s">
        <v>257</v>
      </c>
      <c r="CS2" t="s">
        <v>250</v>
      </c>
      <c r="CT2" t="s">
        <v>250</v>
      </c>
      <c r="CU2" t="s">
        <v>250</v>
      </c>
    </row>
    <row r="3" spans="1:99">
      <c r="AS3" s="12"/>
      <c r="AW3" t="s">
        <v>76</v>
      </c>
      <c r="BA3" t="s">
        <v>254</v>
      </c>
      <c r="BO3" t="s">
        <v>87</v>
      </c>
      <c r="BU3" t="s">
        <v>66</v>
      </c>
      <c r="CQ3" s="13" t="s">
        <v>37</v>
      </c>
      <c r="CR3" t="s">
        <v>256</v>
      </c>
      <c r="CS3" t="s">
        <v>242</v>
      </c>
      <c r="CT3" t="s">
        <v>242</v>
      </c>
      <c r="CU3" t="s">
        <v>242</v>
      </c>
    </row>
    <row r="4" spans="1:99">
      <c r="AS4" s="12"/>
      <c r="BA4" t="s">
        <v>255</v>
      </c>
      <c r="BU4" t="s">
        <v>67</v>
      </c>
      <c r="CQ4" s="13"/>
      <c r="CR4" t="s">
        <v>27</v>
      </c>
      <c r="CS4" t="s">
        <v>243</v>
      </c>
      <c r="CT4" t="s">
        <v>243</v>
      </c>
      <c r="CU4" t="s">
        <v>243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244</v>
      </c>
      <c r="CT5" t="s">
        <v>244</v>
      </c>
      <c r="CU5" t="s">
        <v>244</v>
      </c>
    </row>
    <row r="6" spans="1:99" ht="15" thickBot="1">
      <c r="AI6" t="s">
        <v>212</v>
      </c>
      <c r="AJ6" t="s">
        <v>214</v>
      </c>
      <c r="AM6" s="116" t="s">
        <v>261</v>
      </c>
      <c r="AN6">
        <v>5</v>
      </c>
      <c r="CS6" t="s">
        <v>245</v>
      </c>
      <c r="CT6" t="s">
        <v>245</v>
      </c>
      <c r="CU6" t="s">
        <v>245</v>
      </c>
    </row>
    <row r="7" spans="1:99">
      <c r="A7" s="45" t="s">
        <v>25</v>
      </c>
      <c r="B7" s="46" t="s">
        <v>28</v>
      </c>
      <c r="C7" s="46" t="s">
        <v>30</v>
      </c>
      <c r="D7" s="46" t="s">
        <v>44</v>
      </c>
      <c r="E7" s="46" t="s">
        <v>217</v>
      </c>
      <c r="F7" s="46" t="s">
        <v>16</v>
      </c>
      <c r="G7" s="47" t="s">
        <v>63</v>
      </c>
      <c r="H7" s="119" t="s">
        <v>8</v>
      </c>
      <c r="J7" s="30" t="s">
        <v>97</v>
      </c>
      <c r="L7" s="44" t="s">
        <v>98</v>
      </c>
      <c r="N7" s="41" t="s">
        <v>156</v>
      </c>
      <c r="P7" s="41" t="s">
        <v>157</v>
      </c>
      <c r="R7" s="41" t="s">
        <v>1</v>
      </c>
      <c r="U7" s="41" t="s">
        <v>3</v>
      </c>
      <c r="X7" s="111" t="s">
        <v>183</v>
      </c>
      <c r="Z7" s="111" t="s">
        <v>199</v>
      </c>
      <c r="AA7">
        <v>1.7</v>
      </c>
      <c r="AC7" t="s">
        <v>202</v>
      </c>
      <c r="AE7" t="s">
        <v>259</v>
      </c>
      <c r="AF7">
        <v>2</v>
      </c>
      <c r="AH7" t="s">
        <v>207</v>
      </c>
      <c r="AI7">
        <v>0.7</v>
      </c>
      <c r="AJ7">
        <v>0.76</v>
      </c>
      <c r="AM7" s="114" t="s">
        <v>262</v>
      </c>
      <c r="AN7">
        <v>15</v>
      </c>
      <c r="AP7" t="s">
        <v>240</v>
      </c>
      <c r="AR7" t="s">
        <v>270</v>
      </c>
      <c r="CS7" t="s">
        <v>246</v>
      </c>
      <c r="CT7" t="s">
        <v>246</v>
      </c>
      <c r="CU7" t="s">
        <v>246</v>
      </c>
    </row>
    <row r="8" spans="1:99">
      <c r="A8" s="48" t="s">
        <v>26</v>
      </c>
      <c r="B8" s="49" t="s">
        <v>29</v>
      </c>
      <c r="C8" s="49" t="s">
        <v>39</v>
      </c>
      <c r="D8" s="49" t="s">
        <v>38</v>
      </c>
      <c r="E8" s="49" t="s">
        <v>52</v>
      </c>
      <c r="F8" s="49" t="s">
        <v>58</v>
      </c>
      <c r="G8" s="50" t="s">
        <v>50</v>
      </c>
      <c r="H8" t="s">
        <v>251</v>
      </c>
      <c r="J8" s="12" t="s">
        <v>16</v>
      </c>
      <c r="L8" s="42" t="s">
        <v>17</v>
      </c>
      <c r="N8" s="42" t="s">
        <v>155</v>
      </c>
      <c r="P8" s="42" t="s">
        <v>164</v>
      </c>
      <c r="R8" s="42" t="s">
        <v>2</v>
      </c>
      <c r="S8">
        <v>1000</v>
      </c>
      <c r="U8" s="42" t="s">
        <v>176</v>
      </c>
      <c r="V8">
        <v>1</v>
      </c>
      <c r="X8" s="42" t="s">
        <v>184</v>
      </c>
      <c r="Z8" s="42" t="s">
        <v>190</v>
      </c>
      <c r="AA8">
        <v>1.35</v>
      </c>
      <c r="AC8" t="s">
        <v>206</v>
      </c>
      <c r="AE8" t="s">
        <v>260</v>
      </c>
      <c r="AF8">
        <v>3</v>
      </c>
      <c r="AH8" t="s">
        <v>65</v>
      </c>
      <c r="AI8">
        <v>1.1499999999999999</v>
      </c>
      <c r="AJ8">
        <v>1.22</v>
      </c>
      <c r="AM8" s="114" t="s">
        <v>263</v>
      </c>
      <c r="AN8">
        <v>17</v>
      </c>
      <c r="AP8" t="s">
        <v>224</v>
      </c>
      <c r="AR8" t="s">
        <v>271</v>
      </c>
      <c r="CS8" t="s">
        <v>247</v>
      </c>
      <c r="CT8" t="s">
        <v>247</v>
      </c>
      <c r="CU8" t="s">
        <v>247</v>
      </c>
    </row>
    <row r="9" spans="1:99" ht="15" thickBot="1">
      <c r="A9" s="12"/>
      <c r="C9" s="49" t="s">
        <v>38</v>
      </c>
      <c r="D9" s="49" t="s">
        <v>50</v>
      </c>
      <c r="E9" s="49" t="s">
        <v>54</v>
      </c>
      <c r="F9" s="49" t="s">
        <v>57</v>
      </c>
      <c r="G9" s="50" t="s">
        <v>91</v>
      </c>
      <c r="H9" t="s">
        <v>252</v>
      </c>
      <c r="J9" s="14" t="s">
        <v>18</v>
      </c>
      <c r="L9" s="42" t="s">
        <v>19</v>
      </c>
      <c r="N9" s="42" t="s">
        <v>99</v>
      </c>
      <c r="P9" s="42" t="s">
        <v>166</v>
      </c>
      <c r="R9" s="42" t="s">
        <v>100</v>
      </c>
      <c r="S9">
        <v>1</v>
      </c>
      <c r="U9" s="42" t="s">
        <v>177</v>
      </c>
      <c r="V9">
        <v>2</v>
      </c>
      <c r="X9" s="42" t="s">
        <v>186</v>
      </c>
      <c r="Z9" s="42" t="s">
        <v>189</v>
      </c>
      <c r="AA9">
        <v>1</v>
      </c>
      <c r="AH9" t="s">
        <v>208</v>
      </c>
      <c r="AI9">
        <v>1.1499999999999999</v>
      </c>
      <c r="AJ9">
        <v>1.2</v>
      </c>
      <c r="AM9" s="114" t="s">
        <v>264</v>
      </c>
      <c r="AN9">
        <v>20</v>
      </c>
      <c r="AR9" t="s">
        <v>272</v>
      </c>
      <c r="CS9" t="s">
        <v>248</v>
      </c>
      <c r="CT9" t="s">
        <v>248</v>
      </c>
      <c r="CU9" t="s">
        <v>248</v>
      </c>
    </row>
    <row r="10" spans="1:99" ht="15" thickBot="1">
      <c r="A10" s="12"/>
      <c r="C10" s="49" t="s">
        <v>32</v>
      </c>
      <c r="D10" s="49" t="s">
        <v>45</v>
      </c>
      <c r="E10" s="49" t="s">
        <v>53</v>
      </c>
      <c r="F10" s="49" t="s">
        <v>56</v>
      </c>
      <c r="G10" s="50" t="s">
        <v>74</v>
      </c>
      <c r="H10" t="s">
        <v>253</v>
      </c>
      <c r="L10" s="42" t="s">
        <v>20</v>
      </c>
      <c r="N10" s="42" t="s">
        <v>101</v>
      </c>
      <c r="P10" s="43" t="s">
        <v>165</v>
      </c>
      <c r="R10" s="43" t="s">
        <v>14</v>
      </c>
      <c r="S10">
        <v>1</v>
      </c>
      <c r="U10" s="43" t="s">
        <v>178</v>
      </c>
      <c r="V10">
        <v>3</v>
      </c>
      <c r="X10" s="43" t="s">
        <v>185</v>
      </c>
      <c r="Z10" s="42" t="s">
        <v>191</v>
      </c>
      <c r="AA10">
        <v>0.65</v>
      </c>
      <c r="AH10" t="s">
        <v>209</v>
      </c>
      <c r="AI10">
        <v>0.8</v>
      </c>
      <c r="AJ10">
        <v>0.83</v>
      </c>
      <c r="AM10" s="114" t="s">
        <v>265</v>
      </c>
      <c r="AN10">
        <v>16</v>
      </c>
      <c r="AR10" t="s">
        <v>273</v>
      </c>
      <c r="CS10" t="s">
        <v>249</v>
      </c>
      <c r="CT10" t="s">
        <v>249</v>
      </c>
      <c r="CU10" t="s">
        <v>249</v>
      </c>
    </row>
    <row r="11" spans="1:99" ht="15" thickBot="1">
      <c r="A11" s="12"/>
      <c r="C11" s="49" t="s">
        <v>35</v>
      </c>
      <c r="D11" s="49" t="s">
        <v>46</v>
      </c>
      <c r="E11" s="49" t="s">
        <v>34</v>
      </c>
      <c r="F11" s="49" t="s">
        <v>60</v>
      </c>
      <c r="G11" s="50" t="s">
        <v>73</v>
      </c>
      <c r="L11" s="42" t="s">
        <v>21</v>
      </c>
      <c r="N11" s="42" t="s">
        <v>102</v>
      </c>
      <c r="Z11" s="43" t="s">
        <v>200</v>
      </c>
      <c r="AA11">
        <v>0.3</v>
      </c>
      <c r="AH11" t="s">
        <v>210</v>
      </c>
      <c r="AI11">
        <v>1.17</v>
      </c>
      <c r="AJ11">
        <v>1.24</v>
      </c>
      <c r="AM11" s="114" t="s">
        <v>235</v>
      </c>
      <c r="AN11">
        <v>32</v>
      </c>
      <c r="AR11" t="s">
        <v>274</v>
      </c>
    </row>
    <row r="12" spans="1:99">
      <c r="A12" s="12"/>
      <c r="C12" s="49" t="s">
        <v>43</v>
      </c>
      <c r="D12" s="49" t="s">
        <v>29</v>
      </c>
      <c r="E12" s="49" t="s">
        <v>36</v>
      </c>
      <c r="F12" s="49" t="s">
        <v>34</v>
      </c>
      <c r="G12" s="50" t="s">
        <v>72</v>
      </c>
      <c r="L12" s="42" t="s">
        <v>22</v>
      </c>
      <c r="N12" s="42" t="s">
        <v>143</v>
      </c>
      <c r="AH12" t="s">
        <v>211</v>
      </c>
      <c r="AI12">
        <v>1.1599999999999999</v>
      </c>
      <c r="AJ12">
        <v>1.19</v>
      </c>
      <c r="AM12" s="114" t="s">
        <v>266</v>
      </c>
      <c r="AN12">
        <v>35</v>
      </c>
    </row>
    <row r="13" spans="1:99" ht="15" thickBot="1">
      <c r="A13" s="12"/>
      <c r="C13" s="49" t="s">
        <v>31</v>
      </c>
      <c r="D13" s="49" t="s">
        <v>48</v>
      </c>
      <c r="F13" s="49" t="s">
        <v>55</v>
      </c>
      <c r="G13" s="50" t="s">
        <v>58</v>
      </c>
      <c r="L13" s="43" t="s">
        <v>103</v>
      </c>
      <c r="N13" s="43"/>
      <c r="AH13" t="s">
        <v>215</v>
      </c>
      <c r="AM13" s="114" t="s">
        <v>267</v>
      </c>
      <c r="AN13">
        <v>20</v>
      </c>
    </row>
    <row r="14" spans="1:99">
      <c r="A14" s="12"/>
      <c r="C14" s="49" t="s">
        <v>34</v>
      </c>
      <c r="D14" s="49" t="s">
        <v>49</v>
      </c>
      <c r="F14" s="49" t="s">
        <v>59</v>
      </c>
      <c r="G14" s="50" t="s">
        <v>9</v>
      </c>
      <c r="AM14" s="114" t="s">
        <v>268</v>
      </c>
      <c r="AN14">
        <v>18</v>
      </c>
    </row>
    <row r="15" spans="1:99">
      <c r="A15" s="12"/>
      <c r="C15" s="49" t="s">
        <v>40</v>
      </c>
      <c r="D15" s="49" t="s">
        <v>43</v>
      </c>
      <c r="F15" s="49" t="s">
        <v>62</v>
      </c>
      <c r="G15" s="50" t="s">
        <v>70</v>
      </c>
      <c r="AM15" s="114" t="s">
        <v>269</v>
      </c>
      <c r="AN15">
        <v>22</v>
      </c>
    </row>
    <row r="16" spans="1:99">
      <c r="A16" s="12"/>
      <c r="C16" s="49" t="s">
        <v>33</v>
      </c>
      <c r="D16" s="49" t="s">
        <v>31</v>
      </c>
      <c r="G16" s="50" t="s">
        <v>77</v>
      </c>
      <c r="AM16" s="114" t="s">
        <v>236</v>
      </c>
      <c r="AN16">
        <v>20</v>
      </c>
    </row>
    <row r="17" spans="1:40">
      <c r="A17" s="12"/>
      <c r="C17" s="49" t="s">
        <v>42</v>
      </c>
      <c r="D17" s="49" t="s">
        <v>51</v>
      </c>
      <c r="G17" s="50" t="s">
        <v>79</v>
      </c>
      <c r="AM17" s="114" t="s">
        <v>237</v>
      </c>
      <c r="AN17">
        <v>50</v>
      </c>
    </row>
    <row r="18" spans="1:40">
      <c r="A18" s="12"/>
      <c r="C18" s="49" t="s">
        <v>36</v>
      </c>
      <c r="D18" s="49" t="s">
        <v>47</v>
      </c>
      <c r="G18" s="50" t="s">
        <v>69</v>
      </c>
    </row>
    <row r="19" spans="1:40">
      <c r="A19" s="12"/>
      <c r="C19" s="49" t="s">
        <v>41</v>
      </c>
      <c r="D19" s="49" t="s">
        <v>41</v>
      </c>
      <c r="G19" s="50" t="s">
        <v>85</v>
      </c>
    </row>
    <row r="20" spans="1:40">
      <c r="A20" s="12"/>
      <c r="G20" s="50" t="s">
        <v>64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56</v>
      </c>
    </row>
    <row r="24" spans="1:40">
      <c r="A24" s="12"/>
      <c r="G24" s="50" t="s">
        <v>88</v>
      </c>
    </row>
    <row r="25" spans="1:40">
      <c r="A25" s="12"/>
      <c r="G25" s="50" t="s">
        <v>51</v>
      </c>
    </row>
    <row r="26" spans="1:40">
      <c r="A26" s="12"/>
      <c r="G26" s="50" t="s">
        <v>83</v>
      </c>
    </row>
    <row r="27" spans="1:40">
      <c r="A27" s="12"/>
      <c r="G27" s="50" t="s">
        <v>55</v>
      </c>
    </row>
    <row r="28" spans="1:40">
      <c r="A28" s="12"/>
      <c r="G28" s="50" t="s">
        <v>81</v>
      </c>
    </row>
    <row r="29" spans="1:40">
      <c r="A29" s="12"/>
      <c r="G29" s="50" t="s">
        <v>71</v>
      </c>
    </row>
    <row r="30" spans="1:40">
      <c r="A30" s="12"/>
      <c r="G30" s="50" t="s">
        <v>90</v>
      </c>
    </row>
    <row r="31" spans="1:40">
      <c r="A31" s="12"/>
      <c r="G31" s="50" t="s">
        <v>68</v>
      </c>
    </row>
    <row r="32" spans="1:40">
      <c r="A32" s="12"/>
      <c r="G32" s="50" t="s">
        <v>82</v>
      </c>
    </row>
    <row r="33" spans="1:7">
      <c r="A33" s="12"/>
      <c r="G33" s="50" t="s">
        <v>92</v>
      </c>
    </row>
    <row r="34" spans="1:7">
      <c r="A34" s="12"/>
      <c r="G34" s="50" t="s">
        <v>89</v>
      </c>
    </row>
    <row r="35" spans="1:7">
      <c r="A35" s="12"/>
      <c r="G35" s="50" t="s">
        <v>80</v>
      </c>
    </row>
    <row r="36" spans="1:7">
      <c r="A36" s="12"/>
      <c r="G36" s="50" t="s">
        <v>78</v>
      </c>
    </row>
    <row r="37" spans="1:7" ht="15" thickBot="1">
      <c r="A37" s="12"/>
      <c r="G37" s="51" t="s">
        <v>84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B2" sqref="B2:F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192</v>
      </c>
      <c r="B1" s="140"/>
      <c r="C1" s="140"/>
      <c r="D1" s="140"/>
      <c r="E1" s="140"/>
      <c r="F1" s="140"/>
      <c r="H1" s="140" t="s">
        <v>193</v>
      </c>
      <c r="I1" s="140"/>
      <c r="J1" s="140"/>
      <c r="K1" s="140"/>
      <c r="L1" s="140"/>
      <c r="M1" s="140"/>
      <c r="O1" s="140" t="s">
        <v>194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95</v>
      </c>
      <c r="B2" t="s">
        <v>270</v>
      </c>
      <c r="C2" t="s">
        <v>271</v>
      </c>
      <c r="D2" t="s">
        <v>272</v>
      </c>
      <c r="E2" t="s">
        <v>273</v>
      </c>
      <c r="F2" t="s">
        <v>274</v>
      </c>
      <c r="H2" t="s">
        <v>95</v>
      </c>
      <c r="I2" t="s">
        <v>270</v>
      </c>
      <c r="J2" t="s">
        <v>271</v>
      </c>
      <c r="K2" t="s">
        <v>272</v>
      </c>
      <c r="L2" t="s">
        <v>273</v>
      </c>
      <c r="M2" t="s">
        <v>274</v>
      </c>
      <c r="O2" t="s">
        <v>95</v>
      </c>
      <c r="P2" t="s">
        <v>270</v>
      </c>
      <c r="Q2" t="s">
        <v>271</v>
      </c>
      <c r="R2" t="s">
        <v>272</v>
      </c>
      <c r="S2" t="s">
        <v>273</v>
      </c>
      <c r="T2" t="s">
        <v>274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2024-06-07T03:49:35Z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