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5A5821EE-0599-44F9-8310-AB1066D3C061}" xr6:coauthVersionLast="47" xr6:coauthVersionMax="47" xr10:uidLastSave="{00000000-0000-0000-0000-000000000000}"/>
  <bookViews>
    <workbookView xWindow="11544" yWindow="36" windowWidth="11520" windowHeight="12384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" l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47" i="1"/>
  <c r="D48" i="1"/>
  <c r="D49" i="1"/>
  <c r="D59" i="1"/>
  <c r="D61" i="1" s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52" i="1" l="1"/>
  <c r="D50" i="1"/>
  <c r="D54" i="1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8" i="3" s="1"/>
  <c r="J8" i="3" s="1"/>
  <c r="B21" i="1"/>
  <c r="B44" i="1"/>
  <c r="D44" i="1"/>
  <c r="B36" i="3"/>
  <c r="R14" i="1"/>
  <c r="G52" i="1"/>
  <c r="B29" i="3"/>
  <c r="D18" i="3"/>
  <c r="D9" i="3"/>
  <c r="AI9" i="3" a="1"/>
  <c r="AI11" i="3" a="1"/>
  <c r="AI10" i="3" a="1"/>
  <c r="AI9" i="3" l="1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B17" i="3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G10" i="3" a="1"/>
  <c r="AH9" i="3" a="1"/>
  <c r="AG11" i="3" a="1"/>
  <c r="AG5" i="3" a="1"/>
  <c r="J10" i="3" a="1"/>
  <c r="I1" i="3" a="1"/>
  <c r="AG9" i="3" a="1"/>
  <c r="AH11" i="3" a="1"/>
  <c r="AH10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K10" i="3" a="1"/>
  <c r="AL10" i="3" a="1"/>
  <c r="AJ10" i="3" a="1"/>
  <c r="AO10" i="3" a="1"/>
  <c r="AM9" i="3" a="1"/>
  <c r="AK9" i="3" a="1"/>
  <c r="AL11" i="3" a="1"/>
  <c r="AN9" i="3" a="1"/>
  <c r="AN10" i="3" a="1"/>
  <c r="AM10" i="3" a="1"/>
  <c r="AK11" i="3" a="1"/>
  <c r="AO11" i="3" a="1"/>
  <c r="AN11" i="3" a="1"/>
  <c r="AJ9" i="3" a="1"/>
  <c r="AO9" i="3" a="1"/>
  <c r="AM11" i="3" a="1"/>
  <c r="AL9" i="3" a="1"/>
  <c r="AJ11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<sst xmlns="http://schemas.openxmlformats.org/spreadsheetml/2006/main" count="487" uniqueCount="284">
  <si>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</si>
  <si>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</si>
  <si>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</si>
  <si>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</si>
  <si>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</si>
  <si>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</si>
  <si>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</si>
  <si>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</si>
  <si>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</si>
  <si>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</si>
  <si>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</si>
  <si>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</si>
  <si>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</si>
  <si>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</si>
  <si>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</si>
  <si>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</si>
  <si>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</si>
  <si>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</si>
  <si>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</si>
  <si>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</si>
  <si>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</si>
  <si>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</si>
  <si>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</si>
  <si>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</si>
  <si>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</si>
  <si>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</si>
  <si>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</si>
  <si>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</si>
  <si>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</si>
  <si>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</si>
  <si>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</si>
  <si>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</si>
  <si>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</si>
  <si>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</si>
  <si>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</si>
  <si>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</si>
  <si>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</si>
  <si>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</si>
  <si>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</si>
  <si>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</si>
  <si>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</si>
  <si>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</si>
  <si>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</si>
  <si>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</si>
  <si>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</si>
  <si>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</si>
  <si>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</si>
  <si>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</si>
  <si>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</si>
  <si>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</si>
  <si>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</si>
  <si>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</si>
  <si>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</si>
  <si>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</si>
  <si>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</si>
  <si>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</si>
  <si>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</si>
  <si>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</si>
  <si>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</si>
  <si>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</si>
  <si>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</si>
  <si>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</si>
  <si>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</si>
  <si>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</si>
  <si>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</si>
  <si>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</si>
  <si>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</si>
  <si>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</si>
  <si>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</si>
  <si>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</si>
  <si>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</si>
  <si>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</si>
  <si>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</si>
  <si>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</si>
  <si>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</si>
  <si>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</si>
  <si>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</si>
  <si>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</si>
  <si>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</si>
  <si>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</si>
  <si>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</si>
  <si>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</si>
  <si>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</si>
  <si>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</si>
  <si>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</si>
  <si>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</si>
  <si>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</si>
  <si>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</si>
  <si>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</si>
  <si>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</si>
  <si>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</si>
  <si>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</si>
  <si>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</si>
  <si>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</si>
  <si>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</si>
  <si>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</si>
  <si>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</si>
  <si>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</si>
  <si>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</si>
  <si>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</si>
  <si>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</si>
  <si>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</si>
  <si>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</si>
  <si>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</si>
  <si>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</si>
  <si>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</si>
  <si>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</si>
  <si>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</si>
  <si>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</si>
  <si>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</si>
  <si>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</si>
  <si>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</si>
  <si>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</si>
  <si>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</si>
  <si>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</si>
  <si>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</si>
  <si>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</si>
  <si>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</si>
  <si>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</si>
  <si>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</si>
  <si>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</si>
  <si>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</si>
  <si>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</si>
  <si>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</si>
  <si>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</si>
  <si>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</si>
  <si>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</si>
  <si>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</si>
  <si>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</si>
  <si>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</si>
  <si>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</si>
  <si>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</si>
  <si>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</si>
  <si>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</si>
  <si>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</si>
  <si>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</si>
  <si>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</si>
  <si>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</si>
  <si>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</si>
  <si>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</si>
  <si>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</si>
  <si>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</si>
  <si>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</si>
  <si>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</si>
  <si>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</si>
  <si>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</si>
  <si>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</si>
  <si>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</si>
  <si>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</si>
  <si>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</si>
  <si>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</si>
  <si>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</si>
  <si>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</si>
  <si>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</si>
  <si>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</si>
  <si>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</si>
  <si>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</si>
  <si>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</si>
  <si>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</si>
  <si>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</si>
  <si>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</si>
  <si>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</si>
  <si>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</si>
  <si>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</si>
  <si>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</si>
  <si>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</si>
  <si>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</si>
  <si>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</si>
  <si>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</si>
  <si>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</si>
  <si>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</si>
  <si>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</si>
  <si>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</si>
  <si>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</si>
  <si>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</si>
  <si>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</si>
  <si>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</si>
  <si>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</si>
  <si>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</si>
  <si>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</si>
  <si>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</si>
  <si>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</si>
  <si>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</si>
  <si>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</si>
  <si>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</si>
  <si>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</si>
  <si>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</si>
  <si>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</si>
  <si>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</si>
  <si>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</si>
  <si>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</si>
  <si>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</si>
  <si>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</si>
  <si>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</si>
  <si>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</si>
  <si>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</si>
  <si>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</si>
  <si>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</si>
  <si>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</si>
  <si>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</si>
  <si>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</si>
  <si>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</si>
  <si>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</si>
  <si>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</si>
  <si>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</si>
  <si>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</si>
  <si>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</si>
  <si>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</si>
  <si>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</si>
  <si>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</si>
  <si>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</si>
  <si>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</si>
  <si>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</si>
  <si>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</si>
  <si>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</si>
  <si>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</si>
  <si>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</si>
  <si>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</si>
  <si>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</si>
  <si>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</si>
  <si>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</si>
  <si>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</si>
  <si>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</si>
  <si>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</si>
  <si>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</si>
  <si>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</si>
  <si>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</si>
  <si>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</si>
  <si>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</si>
  <si>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</si>
  <si>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</si>
  <si>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</si>
  <si>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</si>
  <si>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</si>
  <si>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</si>
  <si>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</si>
  <si>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</si>
  <si>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</si>
  <si>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</si>
  <si>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</si>
  <si>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</si>
  <si>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</si>
  <si>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</si>
  <si>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</si>
  <si>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</si>
  <si>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</si>
  <si>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</si>
  <si>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</si>
  <si>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</si>
  <si>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</si>
  <si>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</si>
  <si>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</si>
  <si>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</si>
  <si>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</si>
  <si>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</si>
  <si>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</si>
  <si>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</si>
  <si>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</si>
  <si>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</si>
  <si>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</si>
  <si>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</si>
  <si>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</si>
  <si>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</si>
  <si>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</si>
  <si>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</si>
  <si>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</si>
  <si>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</si>
  <si>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</si>
  <si>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</si>
  <si>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</si>
  <si>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</si>
  <si>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</si>
  <si>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</si>
  <si>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</si>
  <si>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</si>
  <si>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</si>
  <si>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</si>
  <si>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</si>
  <si>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</si>
  <si>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</si>
  <si>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</si>
  <si>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</si>
  <si>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</si>
  <si>
    <t>lincoln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</si>
</sst>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5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</c:v>
                </c:pt>
                <c:pt idx="1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79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32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154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0.96524946299463588</c:v>
                </c:pt>
                <c:pt idx="43">
                  <c:v>0.96524946299463588</c:v>
                </c:pt>
                <c:pt idx="44">
                  <c:v>0.96524946299463588</c:v>
                </c:pt>
                <c:pt idx="45">
                  <c:v>0.96524946299463588</c:v>
                </c:pt>
                <c:pt idx="46">
                  <c:v>0.96524946299463588</c:v>
                </c:pt>
                <c:pt idx="47">
                  <c:v>0.96524946299463588</c:v>
                </c:pt>
                <c:pt idx="48">
                  <c:v>0.96524946299463588</c:v>
                </c:pt>
                <c:pt idx="49">
                  <c:v>0.96524946299463588</c:v>
                </c:pt>
                <c:pt idx="50">
                  <c:v>0.96524946299463588</c:v>
                </c:pt>
                <c:pt idx="51">
                  <c:v>0.96524946299463588</c:v>
                </c:pt>
                <c:pt idx="52">
                  <c:v>0.96524946299463588</c:v>
                </c:pt>
                <c:pt idx="53">
                  <c:v>0.96524946299463588</c:v>
                </c:pt>
                <c:pt idx="54">
                  <c:v>0.96524946299463588</c:v>
                </c:pt>
                <c:pt idx="55">
                  <c:v>0.96524946299463588</c:v>
                </c:pt>
                <c:pt idx="56">
                  <c:v>0.96524946299463588</c:v>
                </c:pt>
                <c:pt idx="57">
                  <c:v>0.96524946299463588</c:v>
                </c:pt>
                <c:pt idx="58">
                  <c:v>0.96524946299463588</c:v>
                </c:pt>
                <c:pt idx="59">
                  <c:v>0.96524946299463588</c:v>
                </c:pt>
                <c:pt idx="60">
                  <c:v>0.96524946299463588</c:v>
                </c:pt>
                <c:pt idx="61">
                  <c:v>0.96524946299463588</c:v>
                </c:pt>
                <c:pt idx="62">
                  <c:v>0.96524946299463588</c:v>
                </c:pt>
                <c:pt idx="63">
                  <c:v>0.96524946299463588</c:v>
                </c:pt>
                <c:pt idx="64">
                  <c:v>0.96524946299463588</c:v>
                </c:pt>
                <c:pt idx="65">
                  <c:v>0.96524946299463588</c:v>
                </c:pt>
                <c:pt idx="66">
                  <c:v>0.96524946299463588</c:v>
                </c:pt>
                <c:pt idx="67">
                  <c:v>0.96524946299463588</c:v>
                </c:pt>
                <c:pt idx="68">
                  <c:v>0.96524946299463588</c:v>
                </c:pt>
                <c:pt idx="69">
                  <c:v>0.96524946299463588</c:v>
                </c:pt>
                <c:pt idx="70">
                  <c:v>0.96524946299463588</c:v>
                </c:pt>
                <c:pt idx="71">
                  <c:v>0.96524946299463588</c:v>
                </c:pt>
                <c:pt idx="72">
                  <c:v>0.96524946299463588</c:v>
                </c:pt>
                <c:pt idx="73">
                  <c:v>0.96524946299463588</c:v>
                </c:pt>
                <c:pt idx="74">
                  <c:v>0.96524946299463588</c:v>
                </c:pt>
                <c:pt idx="75">
                  <c:v>0.96524946299463588</c:v>
                </c:pt>
                <c:pt idx="76">
                  <c:v>1.0171401489728715</c:v>
                </c:pt>
                <c:pt idx="77">
                  <c:v>1.0777450016683026</c:v>
                </c:pt>
                <c:pt idx="78">
                  <c:v>1.134539482223573</c:v>
                </c:pt>
                <c:pt idx="79">
                  <c:v>1.1914761658417179</c:v>
                </c:pt>
                <c:pt idx="80">
                  <c:v>1.2503676651620435</c:v>
                </c:pt>
                <c:pt idx="81">
                  <c:v>1.3188315534411081</c:v>
                </c:pt>
                <c:pt idx="82">
                  <c:v>1.391983011161291</c:v>
                </c:pt>
                <c:pt idx="83">
                  <c:v>1.459916544469138</c:v>
                </c:pt>
                <c:pt idx="84">
                  <c:v>1.5269810214645214</c:v>
                </c:pt>
                <c:pt idx="85">
                  <c:v>1.5961140147998156</c:v>
                </c:pt>
                <c:pt idx="86">
                  <c:v>1.67843646406084</c:v>
                </c:pt>
                <c:pt idx="87">
                  <c:v>1.7844910521447728</c:v>
                </c:pt>
                <c:pt idx="88">
                  <c:v>1.8879049132415922</c:v>
                </c:pt>
                <c:pt idx="89">
                  <c:v>1.9909647706198159</c:v>
                </c:pt>
                <c:pt idx="90">
                  <c:v>2.0946313576020863</c:v>
                </c:pt>
                <c:pt idx="91">
                  <c:v>2.2143880721082572</c:v>
                </c:pt>
                <c:pt idx="92">
                  <c:v>2.3570278971267289</c:v>
                </c:pt>
                <c:pt idx="93">
                  <c:v>2.4954256049383763</c:v>
                </c:pt>
                <c:pt idx="94">
                  <c:v>2.6411100892572494</c:v>
                </c:pt>
                <c:pt idx="95">
                  <c:v>2.7965872500748685</c:v>
                </c:pt>
                <c:pt idx="96">
                  <c:v>2.9888628072996775</c:v>
                </c:pt>
                <c:pt idx="97">
                  <c:v>3.1646277762411401</c:v>
                </c:pt>
                <c:pt idx="98">
                  <c:v>3.3484576510320294</c:v>
                </c:pt>
                <c:pt idx="99">
                  <c:v>3.5451443211644933</c:v>
                </c:pt>
                <c:pt idx="100">
                  <c:v>3.759873440132536</c:v>
                </c:pt>
                <c:pt idx="101">
                  <c:v>4.0234118470743292</c:v>
                </c:pt>
                <c:pt idx="102">
                  <c:v>4.2871570941077923</c:v>
                </c:pt>
                <c:pt idx="103">
                  <c:v>4.5923435586185608</c:v>
                </c:pt>
                <c:pt idx="104">
                  <c:v>4.9264830851946098</c:v>
                </c:pt>
                <c:pt idx="105">
                  <c:v>5.2687246912191155</c:v>
                </c:pt>
                <c:pt idx="106">
                  <c:v>5.6304285842395636</c:v>
                </c:pt>
                <c:pt idx="107">
                  <c:v>6.0486138425658025</c:v>
                </c:pt>
                <c:pt idx="108">
                  <c:v>6.459184684915682</c:v>
                </c:pt>
                <c:pt idx="109">
                  <c:v>6.9078610448153697</c:v>
                </c:pt>
                <c:pt idx="110">
                  <c:v>7.3897535652384496</c:v>
                </c:pt>
                <c:pt idx="111">
                  <c:v>7.8914409296686951</c:v>
                </c:pt>
                <c:pt idx="112">
                  <c:v>8.3886711974813526</c:v>
                </c:pt>
                <c:pt idx="113">
                  <c:v>8.9359233490498013</c:v>
                </c:pt>
                <c:pt idx="114">
                  <c:v>9.5124445234674706</c:v>
                </c:pt>
                <c:pt idx="115">
                  <c:v>10.145884282991846</c:v>
                </c:pt>
                <c:pt idx="116">
                  <c:v>10.952551766060184</c:v>
                </c:pt>
                <c:pt idx="117">
                  <c:v>11.753554276764355</c:v>
                </c:pt>
                <c:pt idx="118">
                  <c:v>12.571001013002761</c:v>
                </c:pt>
                <c:pt idx="119">
                  <c:v>13.344954987705664</c:v>
                </c:pt>
                <c:pt idx="120">
                  <c:v>14.227096273824337</c:v>
                </c:pt>
                <c:pt idx="121">
                  <c:v>15.212482156273923</c:v>
                </c:pt>
                <c:pt idx="122">
                  <c:v>16.301020145458779</c:v>
                </c:pt>
                <c:pt idx="123">
                  <c:v>17.337808602765161</c:v>
                </c:pt>
                <c:pt idx="124">
                  <c:v>18.355795968161413</c:v>
                </c:pt>
                <c:pt idx="125">
                  <c:v>19.394684051823791</c:v>
                </c:pt>
                <c:pt idx="126">
                  <c:v>20.621559118665029</c:v>
                </c:pt>
                <c:pt idx="127">
                  <c:v>21.897628591381238</c:v>
                </c:pt>
                <c:pt idx="128">
                  <c:v>23.119069572162331</c:v>
                </c:pt>
                <c:pt idx="129">
                  <c:v>24.636271721243176</c:v>
                </c:pt>
                <c:pt idx="130">
                  <c:v>26.286576250043652</c:v>
                </c:pt>
                <c:pt idx="131">
                  <c:v>28.087495231215922</c:v>
                </c:pt>
                <c:pt idx="132">
                  <c:v>29.91955072954217</c:v>
                </c:pt>
                <c:pt idx="133">
                  <c:v>31.768165475784041</c:v>
                </c:pt>
                <c:pt idx="134">
                  <c:v>33.649374349411822</c:v>
                </c:pt>
                <c:pt idx="135">
                  <c:v>35.537957523311228</c:v>
                </c:pt>
                <c:pt idx="136">
                  <c:v>37.597324448841682</c:v>
                </c:pt>
                <c:pt idx="137">
                  <c:v>39.985010827574783</c:v>
                </c:pt>
                <c:pt idx="138">
                  <c:v>42.535541310784438</c:v>
                </c:pt>
                <c:pt idx="139">
                  <c:v>45.354097716933993</c:v>
                </c:pt>
                <c:pt idx="140">
                  <c:v>48.148673479949068</c:v>
                </c:pt>
                <c:pt idx="141">
                  <c:v>50.997404821549594</c:v>
                </c:pt>
                <c:pt idx="142">
                  <c:v>53.741004789856845</c:v>
                </c:pt>
                <c:pt idx="143">
                  <c:v>56.703937056655143</c:v>
                </c:pt>
                <c:pt idx="144">
                  <c:v>59.737878813667798</c:v>
                </c:pt>
                <c:pt idx="145">
                  <c:v>62.610690408861245</c:v>
                </c:pt>
                <c:pt idx="146">
                  <c:v>65.732827406968937</c:v>
                </c:pt>
                <c:pt idx="147">
                  <c:v>69.207192779310489</c:v>
                </c:pt>
                <c:pt idx="148">
                  <c:v>72.915179107277325</c:v>
                </c:pt>
                <c:pt idx="149">
                  <c:v>76.297929145815274</c:v>
                </c:pt>
                <c:pt idx="150">
                  <c:v>79.431917982851971</c:v>
                </c:pt>
                <c:pt idx="151">
                  <c:v>82.884608785550213</c:v>
                </c:pt>
                <c:pt idx="152">
                  <c:v>86.152527547654643</c:v>
                </c:pt>
                <c:pt idx="153">
                  <c:v>89.268324222121166</c:v>
                </c:pt>
                <c:pt idx="154">
                  <c:v>92.391115014564065</c:v>
                </c:pt>
                <c:pt idx="155">
                  <c:v>95.439144925767025</c:v>
                </c:pt>
                <c:pt idx="156">
                  <c:v>98.305508621928951</c:v>
                </c:pt>
                <c:pt idx="157">
                  <c:v>101.02606403190798</c:v>
                </c:pt>
                <c:pt idx="158">
                  <c:v>103.73701224922553</c:v>
                </c:pt>
                <c:pt idx="159">
                  <c:v>106.28722808570069</c:v>
                </c:pt>
                <c:pt idx="160">
                  <c:v>108.88538752827009</c:v>
                </c:pt>
                <c:pt idx="161">
                  <c:v>111.37183278193486</c:v>
                </c:pt>
                <c:pt idx="162">
                  <c:v>113.59168620458536</c:v>
                </c:pt>
                <c:pt idx="163">
                  <c:v>116.0545230129418</c:v>
                </c:pt>
                <c:pt idx="164">
                  <c:v>118.40943096253595</c:v>
                </c:pt>
                <c:pt idx="165">
                  <c:v>120.37248573286682</c:v>
                </c:pt>
                <c:pt idx="166">
                  <c:v>122.30293244720654</c:v>
                </c:pt>
                <c:pt idx="167">
                  <c:v>124.02499999999998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24.202630382901685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26.802790434093993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28.161139580243002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49.933876413527045</c:v>
                </c:pt>
                <c:pt idx="2">
                  <c:v>49.861360721325823</c:v>
                </c:pt>
                <c:pt idx="3">
                  <c:v>49.785002958760593</c:v>
                </c:pt>
                <c:pt idx="4">
                  <c:v>49.703713318151884</c:v>
                </c:pt>
                <c:pt idx="5">
                  <c:v>49.61683049560596</c:v>
                </c:pt>
                <c:pt idx="6">
                  <c:v>49.535011243819056</c:v>
                </c:pt>
                <c:pt idx="7">
                  <c:v>49.459164706687687</c:v>
                </c:pt>
                <c:pt idx="8">
                  <c:v>49.389654864304042</c:v>
                </c:pt>
                <c:pt idx="9">
                  <c:v>49.328559728050806</c:v>
                </c:pt>
                <c:pt idx="10">
                  <c:v>49.280596376067969</c:v>
                </c:pt>
                <c:pt idx="11">
                  <c:v>49.238206789527105</c:v>
                </c:pt>
                <c:pt idx="12">
                  <c:v>49.203158290531526</c:v>
                </c:pt>
                <c:pt idx="13">
                  <c:v>49.174000328139101</c:v>
                </c:pt>
                <c:pt idx="14">
                  <c:v>49.151589140748321</c:v>
                </c:pt>
                <c:pt idx="15">
                  <c:v>49.139697878701917</c:v>
                </c:pt>
                <c:pt idx="16">
                  <c:v>49.134058718394925</c:v>
                </c:pt>
                <c:pt idx="17">
                  <c:v>49.131066896648093</c:v>
                </c:pt>
                <c:pt idx="18">
                  <c:v>49.138918908062649</c:v>
                </c:pt>
                <c:pt idx="19">
                  <c:v>49.156790613946441</c:v>
                </c:pt>
                <c:pt idx="20">
                  <c:v>49.178936278754243</c:v>
                </c:pt>
                <c:pt idx="21">
                  <c:v>49.21876506484606</c:v>
                </c:pt>
                <c:pt idx="22">
                  <c:v>49.270885649319816</c:v>
                </c:pt>
                <c:pt idx="23">
                  <c:v>49.321808077851053</c:v>
                </c:pt>
                <c:pt idx="24">
                  <c:v>49.384241831650684</c:v>
                </c:pt>
                <c:pt idx="25">
                  <c:v>49.459483548105979</c:v>
                </c:pt>
                <c:pt idx="26">
                  <c:v>49.542293738704984</c:v>
                </c:pt>
                <c:pt idx="27">
                  <c:v>49.629189416359971</c:v>
                </c:pt>
                <c:pt idx="28">
                  <c:v>49.723449465007334</c:v>
                </c:pt>
                <c:pt idx="29">
                  <c:v>49.820191490573613</c:v>
                </c:pt>
                <c:pt idx="30">
                  <c:v>49.927952090448905</c:v>
                </c:pt>
                <c:pt idx="31">
                  <c:v>50.054769564913883</c:v>
                </c:pt>
                <c:pt idx="32">
                  <c:v>50.193246156212297</c:v>
                </c:pt>
                <c:pt idx="33">
                  <c:v>50.333172841798721</c:v>
                </c:pt>
                <c:pt idx="34">
                  <c:v>50.475868152723542</c:v>
                </c:pt>
                <c:pt idx="35">
                  <c:v>50.623725974780712</c:v>
                </c:pt>
                <c:pt idx="36">
                  <c:v>50.792900362182763</c:v>
                </c:pt>
                <c:pt idx="37">
                  <c:v>50.970838868167455</c:v>
                </c:pt>
                <c:pt idx="38">
                  <c:v>51.153373967008498</c:v>
                </c:pt>
                <c:pt idx="39">
                  <c:v>51.341419609543607</c:v>
                </c:pt>
                <c:pt idx="40">
                  <c:v>51.537916103755528</c:v>
                </c:pt>
                <c:pt idx="41">
                  <c:v>51.746033162784499</c:v>
                </c:pt>
                <c:pt idx="42">
                  <c:v>51.956191487436165</c:v>
                </c:pt>
                <c:pt idx="43">
                  <c:v>52.153885080529697</c:v>
                </c:pt>
                <c:pt idx="44">
                  <c:v>52.359457053259703</c:v>
                </c:pt>
                <c:pt idx="45">
                  <c:v>52.537367819832653</c:v>
                </c:pt>
                <c:pt idx="46">
                  <c:v>52.723656514669777</c:v>
                </c:pt>
                <c:pt idx="47">
                  <c:v>52.913615789381382</c:v>
                </c:pt>
                <c:pt idx="48">
                  <c:v>53.092380406715769</c:v>
                </c:pt>
                <c:pt idx="49">
                  <c:v>53.265551700199246</c:v>
                </c:pt>
                <c:pt idx="50">
                  <c:v>53.430046303907574</c:v>
                </c:pt>
                <c:pt idx="51">
                  <c:v>53.598258322870713</c:v>
                </c:pt>
                <c:pt idx="52">
                  <c:v>53.761861401390298</c:v>
                </c:pt>
                <c:pt idx="53">
                  <c:v>53.914366269600379</c:v>
                </c:pt>
                <c:pt idx="54">
                  <c:v>54.053830177980522</c:v>
                </c:pt>
                <c:pt idx="55">
                  <c:v>54.206138083695521</c:v>
                </c:pt>
                <c:pt idx="56">
                  <c:v>54.367896472659993</c:v>
                </c:pt>
                <c:pt idx="57">
                  <c:v>54.525106570474733</c:v>
                </c:pt>
                <c:pt idx="58">
                  <c:v>54.676670645666391</c:v>
                </c:pt>
                <c:pt idx="59">
                  <c:v>54.833068675327837</c:v>
                </c:pt>
                <c:pt idx="60">
                  <c:v>55.00102183318937</c:v>
                </c:pt>
                <c:pt idx="61">
                  <c:v>55.16362878700253</c:v>
                </c:pt>
                <c:pt idx="62">
                  <c:v>55.31411993527135</c:v>
                </c:pt>
                <c:pt idx="63">
                  <c:v>55.45995197209551</c:v>
                </c:pt>
                <c:pt idx="64">
                  <c:v>55.609653071433442</c:v>
                </c:pt>
                <c:pt idx="65">
                  <c:v>55.752818188737443</c:v>
                </c:pt>
                <c:pt idx="66">
                  <c:v>55.902221040692176</c:v>
                </c:pt>
                <c:pt idx="67">
                  <c:v>56.045648042605457</c:v>
                </c:pt>
                <c:pt idx="68">
                  <c:v>56.184953007427602</c:v>
                </c:pt>
                <c:pt idx="69">
                  <c:v>56.331486158810712</c:v>
                </c:pt>
                <c:pt idx="70">
                  <c:v>56.47127314567021</c:v>
                </c:pt>
                <c:pt idx="71">
                  <c:v>56.622149734161269</c:v>
                </c:pt>
                <c:pt idx="72">
                  <c:v>56.774500239729193</c:v>
                </c:pt>
                <c:pt idx="73">
                  <c:v>56.92339123750569</c:v>
                </c:pt>
                <c:pt idx="74">
                  <c:v>57.070229194962238</c:v>
                </c:pt>
                <c:pt idx="75">
                  <c:v>57.233061396276263</c:v>
                </c:pt>
                <c:pt idx="76">
                  <c:v>57.342683595288619</c:v>
                </c:pt>
                <c:pt idx="77">
                  <c:v>57.446897705309688</c:v>
                </c:pt>
                <c:pt idx="78">
                  <c:v>57.544106704561884</c:v>
                </c:pt>
                <c:pt idx="79">
                  <c:v>57.637907672287831</c:v>
                </c:pt>
                <c:pt idx="80">
                  <c:v>57.727833814842221</c:v>
                </c:pt>
                <c:pt idx="81">
                  <c:v>57.815588662322554</c:v>
                </c:pt>
                <c:pt idx="82">
                  <c:v>57.898873654142029</c:v>
                </c:pt>
                <c:pt idx="83">
                  <c:v>57.978219897741972</c:v>
                </c:pt>
                <c:pt idx="84">
                  <c:v>58.0546738385612</c:v>
                </c:pt>
                <c:pt idx="85">
                  <c:v>58.128409994891172</c:v>
                </c:pt>
                <c:pt idx="86">
                  <c:v>58.198478482549007</c:v>
                </c:pt>
                <c:pt idx="87">
                  <c:v>58.263138806612496</c:v>
                </c:pt>
                <c:pt idx="88">
                  <c:v>58.322132378615677</c:v>
                </c:pt>
                <c:pt idx="89">
                  <c:v>58.375358049202013</c:v>
                </c:pt>
                <c:pt idx="90">
                  <c:v>58.422914708611955</c:v>
                </c:pt>
                <c:pt idx="91">
                  <c:v>58.461368508538243</c:v>
                </c:pt>
                <c:pt idx="92">
                  <c:v>58.48796134444396</c:v>
                </c:pt>
                <c:pt idx="93">
                  <c:v>58.507931686810686</c:v>
                </c:pt>
                <c:pt idx="94">
                  <c:v>58.519612193915137</c:v>
                </c:pt>
                <c:pt idx="95">
                  <c:v>58.520783683989542</c:v>
                </c:pt>
                <c:pt idx="96">
                  <c:v>58.499898444525634</c:v>
                </c:pt>
                <c:pt idx="97">
                  <c:v>58.478441742108437</c:v>
                </c:pt>
                <c:pt idx="98">
                  <c:v>58.447234103328633</c:v>
                </c:pt>
                <c:pt idx="99">
                  <c:v>58.40310586863248</c:v>
                </c:pt>
                <c:pt idx="100">
                  <c:v>58.342281362736969</c:v>
                </c:pt>
                <c:pt idx="101">
                  <c:v>58.246874202704454</c:v>
                </c:pt>
                <c:pt idx="102">
                  <c:v>58.143655757925892</c:v>
                </c:pt>
                <c:pt idx="103">
                  <c:v>58.00790588692098</c:v>
                </c:pt>
                <c:pt idx="104">
                  <c:v>57.845381979639491</c:v>
                </c:pt>
                <c:pt idx="105">
                  <c:v>57.669334952564625</c:v>
                </c:pt>
                <c:pt idx="106">
                  <c:v>57.471975534378174</c:v>
                </c:pt>
                <c:pt idx="107">
                  <c:v>57.227220922887021</c:v>
                </c:pt>
                <c:pt idx="108">
                  <c:v>56.97999069435911</c:v>
                </c:pt>
                <c:pt idx="109">
                  <c:v>56.69726305398305</c:v>
                </c:pt>
                <c:pt idx="110">
                  <c:v>56.381996371803851</c:v>
                </c:pt>
                <c:pt idx="111">
                  <c:v>56.044487997353016</c:v>
                </c:pt>
                <c:pt idx="112">
                  <c:v>55.703891431242198</c:v>
                </c:pt>
                <c:pt idx="113">
                  <c:v>55.317793991748502</c:v>
                </c:pt>
                <c:pt idx="114">
                  <c:v>54.901492555686175</c:v>
                </c:pt>
                <c:pt idx="115">
                  <c:v>54.432056277500472</c:v>
                </c:pt>
                <c:pt idx="116">
                  <c:v>53.811971045063039</c:v>
                </c:pt>
                <c:pt idx="117">
                  <c:v>53.187011318250129</c:v>
                </c:pt>
                <c:pt idx="118">
                  <c:v>52.54077221471929</c:v>
                </c:pt>
                <c:pt idx="119">
                  <c:v>51.925106608162451</c:v>
                </c:pt>
                <c:pt idx="120">
                  <c:v>51.209246594638309</c:v>
                </c:pt>
                <c:pt idx="121">
                  <c:v>50.396233193637435</c:v>
                </c:pt>
                <c:pt idx="122">
                  <c:v>49.485660367771004</c:v>
                </c:pt>
                <c:pt idx="123">
                  <c:v>48.613825583315617</c:v>
                </c:pt>
                <c:pt idx="124">
                  <c:v>47.753877242529526</c:v>
                </c:pt>
                <c:pt idx="125">
                  <c:v>46.870955473440134</c:v>
                </c:pt>
                <c:pt idx="126">
                  <c:v>45.813057239471206</c:v>
                </c:pt>
                <c:pt idx="127">
                  <c:v>44.705455731544134</c:v>
                </c:pt>
                <c:pt idx="128">
                  <c:v>43.642268356227476</c:v>
                </c:pt>
                <c:pt idx="129">
                  <c:v>42.30289977903702</c:v>
                </c:pt>
                <c:pt idx="130">
                  <c:v>40.834683515962276</c:v>
                </c:pt>
                <c:pt idx="131">
                  <c:v>39.222089461173766</c:v>
                </c:pt>
                <c:pt idx="132">
                  <c:v>37.573915516136211</c:v>
                </c:pt>
                <c:pt idx="133">
                  <c:v>35.903692536463538</c:v>
                </c:pt>
                <c:pt idx="134">
                  <c:v>34.198437180373098</c:v>
                </c:pt>
                <c:pt idx="135">
                  <c:v>32.481041780972689</c:v>
                </c:pt>
                <c:pt idx="136">
                  <c:v>30.599168264943483</c:v>
                </c:pt>
                <c:pt idx="137">
                  <c:v>28.404343502701757</c:v>
                </c:pt>
                <c:pt idx="138">
                  <c:v>26.050488576399069</c:v>
                </c:pt>
                <c:pt idx="139">
                  <c:v>47.641539012456334</c:v>
                </c:pt>
                <c:pt idx="140">
                  <c:v>45.046451407560859</c:v>
                </c:pt>
                <c:pt idx="141">
                  <c:v>42.395734304475369</c:v>
                </c:pt>
                <c:pt idx="142">
                  <c:v>39.840764809033693</c:v>
                </c:pt>
                <c:pt idx="143">
                  <c:v>37.074852841067759</c:v>
                </c:pt>
                <c:pt idx="144">
                  <c:v>34.239785320576416</c:v>
                </c:pt>
                <c:pt idx="145">
                  <c:v>31.554389270741844</c:v>
                </c:pt>
                <c:pt idx="146">
                  <c:v>55.433150838896708</c:v>
                </c:pt>
                <c:pt idx="147">
                  <c:v>52.17345026259872</c:v>
                </c:pt>
                <c:pt idx="148">
                  <c:v>48.692241468220153</c:v>
                </c:pt>
                <c:pt idx="149">
                  <c:v>45.51971799953278</c:v>
                </c:pt>
                <c:pt idx="150">
                  <c:v>42.583491220875658</c:v>
                </c:pt>
                <c:pt idx="151">
                  <c:v>39.347100689596488</c:v>
                </c:pt>
                <c:pt idx="152">
                  <c:v>36.288428682993725</c:v>
                </c:pt>
                <c:pt idx="153">
                  <c:v>33.377436965148675</c:v>
                </c:pt>
                <c:pt idx="154">
                  <c:v>58.625184334165603</c:v>
                </c:pt>
                <c:pt idx="155">
                  <c:v>55.787094330824203</c:v>
                </c:pt>
                <c:pt idx="156">
                  <c:v>53.127169194075861</c:v>
                </c:pt>
                <c:pt idx="157">
                  <c:v>50.610262314869303</c:v>
                </c:pt>
                <c:pt idx="158">
                  <c:v>48.10872540238875</c:v>
                </c:pt>
                <c:pt idx="159">
                  <c:v>45.764006483004003</c:v>
                </c:pt>
                <c:pt idx="160">
                  <c:v>43.381251213711892</c:v>
                </c:pt>
                <c:pt idx="161">
                  <c:v>41.110310807918893</c:v>
                </c:pt>
                <c:pt idx="162">
                  <c:v>39.093917123909002</c:v>
                </c:pt>
                <c:pt idx="163">
                  <c:v>36.864981630183948</c:v>
                </c:pt>
                <c:pt idx="164">
                  <c:v>34.749734867865342</c:v>
                </c:pt>
                <c:pt idx="165">
                  <c:v>33.001750899062074</c:v>
                </c:pt>
                <c:pt idx="166">
                  <c:v>31.296785936574459</c:v>
                </c:pt>
                <c:pt idx="167">
                  <c:v>29.790601418783179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0.10928318448206772</c:v>
                </c:pt>
                <c:pt idx="1">
                  <c:v>0.22523747955451828</c:v>
                </c:pt>
                <c:pt idx="2">
                  <c:v>0.34827732043772969</c:v>
                </c:pt>
                <c:pt idx="3">
                  <c:v>0.47770680983474706</c:v>
                </c:pt>
                <c:pt idx="4">
                  <c:v>0.60611748050879588</c:v>
                </c:pt>
                <c:pt idx="5">
                  <c:v>0.74532266442910455</c:v>
                </c:pt>
                <c:pt idx="6">
                  <c:v>0.88924717840994494</c:v>
                </c:pt>
                <c:pt idx="7">
                  <c:v>1.0312365942173265</c:v>
                </c:pt>
                <c:pt idx="8">
                  <c:v>1.1815787999066294</c:v>
                </c:pt>
                <c:pt idx="9">
                  <c:v>1.3335342798456682</c:v>
                </c:pt>
                <c:pt idx="10">
                  <c:v>1.4976068616729359</c:v>
                </c:pt>
                <c:pt idx="11">
                  <c:v>1.6602548254770206</c:v>
                </c:pt>
                <c:pt idx="12">
                  <c:v>1.8302319587942635</c:v>
                </c:pt>
                <c:pt idx="13">
                  <c:v>1.9919751122624891</c:v>
                </c:pt>
                <c:pt idx="14">
                  <c:v>2.1595737673696682</c:v>
                </c:pt>
                <c:pt idx="15">
                  <c:v>2.3349786587271657</c:v>
                </c:pt>
                <c:pt idx="16">
                  <c:v>2.5077824960567341</c:v>
                </c:pt>
                <c:pt idx="17">
                  <c:v>2.6737140769281185</c:v>
                </c:pt>
                <c:pt idx="18">
                  <c:v>2.8505649959537123</c:v>
                </c:pt>
                <c:pt idx="19">
                  <c:v>3.0343676635206096</c:v>
                </c:pt>
                <c:pt idx="20">
                  <c:v>3.2184647785132623</c:v>
                </c:pt>
                <c:pt idx="21">
                  <c:v>3.4167400996733965</c:v>
                </c:pt>
                <c:pt idx="22">
                  <c:v>3.6197421130743557</c:v>
                </c:pt>
                <c:pt idx="23">
                  <c:v>3.8101459166636289</c:v>
                </c:pt>
                <c:pt idx="24">
                  <c:v>4.0121436631304395</c:v>
                </c:pt>
                <c:pt idx="25">
                  <c:v>4.2268813679384802</c:v>
                </c:pt>
                <c:pt idx="26">
                  <c:v>4.4469821962491549</c:v>
                </c:pt>
                <c:pt idx="27">
                  <c:v>4.66411139013697</c:v>
                </c:pt>
                <c:pt idx="28">
                  <c:v>4.8834979720516962</c:v>
                </c:pt>
                <c:pt idx="29">
                  <c:v>5.0985173720534682</c:v>
                </c:pt>
                <c:pt idx="30">
                  <c:v>5.3227445459583942</c:v>
                </c:pt>
                <c:pt idx="31">
                  <c:v>5.5666944902689446</c:v>
                </c:pt>
                <c:pt idx="32">
                  <c:v>5.8189377702830161</c:v>
                </c:pt>
                <c:pt idx="33">
                  <c:v>6.0667927246343165</c:v>
                </c:pt>
                <c:pt idx="34">
                  <c:v>6.314252179762871</c:v>
                </c:pt>
                <c:pt idx="35">
                  <c:v>6.5613042944841578</c:v>
                </c:pt>
                <c:pt idx="36">
                  <c:v>6.8281019156623444</c:v>
                </c:pt>
                <c:pt idx="37">
                  <c:v>7.1012573118078643</c:v>
                </c:pt>
                <c:pt idx="38">
                  <c:v>7.3787202706251129</c:v>
                </c:pt>
                <c:pt idx="39">
                  <c:v>7.6596151103895735</c:v>
                </c:pt>
                <c:pt idx="40">
                  <c:v>7.9452642504586191</c:v>
                </c:pt>
                <c:pt idx="41">
                  <c:v>8.2393806598605117</c:v>
                </c:pt>
                <c:pt idx="42">
                  <c:v>8.5341782505485497</c:v>
                </c:pt>
                <c:pt idx="43">
                  <c:v>8.8114250870428457</c:v>
                </c:pt>
                <c:pt idx="44">
                  <c:v>9.0967512386743916</c:v>
                </c:pt>
                <c:pt idx="45">
                  <c:v>9.3467743476935556</c:v>
                </c:pt>
                <c:pt idx="46">
                  <c:v>9.6058081278281584</c:v>
                </c:pt>
                <c:pt idx="47">
                  <c:v>9.8678507239730067</c:v>
                </c:pt>
                <c:pt idx="48">
                  <c:v>10.11447285781226</c:v>
                </c:pt>
                <c:pt idx="49">
                  <c:v>10.352639811113304</c:v>
                </c:pt>
                <c:pt idx="50">
                  <c:v>10.578484361180141</c:v>
                </c:pt>
                <c:pt idx="51">
                  <c:v>10.807312161015357</c:v>
                </c:pt>
                <c:pt idx="52">
                  <c:v>11.029217034154703</c:v>
                </c:pt>
                <c:pt idx="53">
                  <c:v>11.236146417788914</c:v>
                </c:pt>
                <c:pt idx="54">
                  <c:v>11.425723842492163</c:v>
                </c:pt>
                <c:pt idx="55">
                  <c:v>11.629419923624873</c:v>
                </c:pt>
                <c:pt idx="56">
                  <c:v>11.842656021450718</c:v>
                </c:pt>
                <c:pt idx="57">
                  <c:v>12.048600988398482</c:v>
                </c:pt>
                <c:pt idx="58">
                  <c:v>12.245815350452085</c:v>
                </c:pt>
                <c:pt idx="59">
                  <c:v>12.447106740856979</c:v>
                </c:pt>
                <c:pt idx="60">
                  <c:v>12.658050319946069</c:v>
                </c:pt>
                <c:pt idx="61">
                  <c:v>12.858884394605933</c:v>
                </c:pt>
                <c:pt idx="62">
                  <c:v>13.042586080432393</c:v>
                </c:pt>
                <c:pt idx="63">
                  <c:v>13.218566233207147</c:v>
                </c:pt>
                <c:pt idx="64">
                  <c:v>13.396808586888451</c:v>
                </c:pt>
                <c:pt idx="65">
                  <c:v>13.565726635509259</c:v>
                </c:pt>
                <c:pt idx="66">
                  <c:v>13.739692840169809</c:v>
                </c:pt>
                <c:pt idx="67">
                  <c:v>13.905333132704401</c:v>
                </c:pt>
                <c:pt idx="68">
                  <c:v>14.064801590866304</c:v>
                </c:pt>
                <c:pt idx="69">
                  <c:v>14.230987728140374</c:v>
                </c:pt>
                <c:pt idx="70">
                  <c:v>14.388837419812521</c:v>
                </c:pt>
                <c:pt idx="71">
                  <c:v>14.557416309365635</c:v>
                </c:pt>
                <c:pt idx="72">
                  <c:v>14.72610357518367</c:v>
                </c:pt>
                <c:pt idx="73">
                  <c:v>14.890259213948433</c:v>
                </c:pt>
                <c:pt idx="74">
                  <c:v>15.051354765568931</c:v>
                </c:pt>
                <c:pt idx="75">
                  <c:v>15.228151548840948</c:v>
                </c:pt>
                <c:pt idx="76">
                  <c:v>15.402295627639129</c:v>
                </c:pt>
                <c:pt idx="77">
                  <c:v>15.578898326306994</c:v>
                </c:pt>
                <c:pt idx="78">
                  <c:v>15.743646793522256</c:v>
                </c:pt>
                <c:pt idx="79">
                  <c:v>15.904592974161387</c:v>
                </c:pt>
                <c:pt idx="80">
                  <c:v>16.062838036989056</c:v>
                </c:pt>
                <c:pt idx="81">
                  <c:v>16.228045246079031</c:v>
                </c:pt>
                <c:pt idx="82">
                  <c:v>16.392805251259571</c:v>
                </c:pt>
                <c:pt idx="83">
                  <c:v>16.547953232672082</c:v>
                </c:pt>
                <c:pt idx="84">
                  <c:v>16.698944798728412</c:v>
                </c:pt>
                <c:pt idx="85">
                  <c:v>16.848949930366068</c:v>
                </c:pt>
                <c:pt idx="86">
                  <c:v>17.008331217362073</c:v>
                </c:pt>
                <c:pt idx="87">
                  <c:v>17.186060547374503</c:v>
                </c:pt>
                <c:pt idx="88">
                  <c:v>17.354909879931235</c:v>
                </c:pt>
                <c:pt idx="89">
                  <c:v>17.517009754037321</c:v>
                </c:pt>
                <c:pt idx="90">
                  <c:v>17.673442756679048</c:v>
                </c:pt>
                <c:pt idx="91">
                  <c:v>17.836555309718555</c:v>
                </c:pt>
                <c:pt idx="92">
                  <c:v>18.01051184703331</c:v>
                </c:pt>
                <c:pt idx="93">
                  <c:v>18.17290904073657</c:v>
                </c:pt>
                <c:pt idx="94">
                  <c:v>18.333999743590372</c:v>
                </c:pt>
                <c:pt idx="95">
                  <c:v>18.493946742922709</c:v>
                </c:pt>
                <c:pt idx="96">
                  <c:v>18.668472630730207</c:v>
                </c:pt>
                <c:pt idx="97">
                  <c:v>18.825383408981285</c:v>
                </c:pt>
                <c:pt idx="98">
                  <c:v>18.980374369071455</c:v>
                </c:pt>
                <c:pt idx="99">
                  <c:v>19.135022525618048</c:v>
                </c:pt>
                <c:pt idx="100">
                  <c:v>19.290694878207514</c:v>
                </c:pt>
                <c:pt idx="101">
                  <c:v>19.460465869019213</c:v>
                </c:pt>
                <c:pt idx="102">
                  <c:v>19.622439871958196</c:v>
                </c:pt>
                <c:pt idx="103">
                  <c:v>19.793269499572869</c:v>
                </c:pt>
                <c:pt idx="104">
                  <c:v>19.966137913835965</c:v>
                </c:pt>
                <c:pt idx="105">
                  <c:v>20.133464564410634</c:v>
                </c:pt>
                <c:pt idx="106">
                  <c:v>20.298768029940504</c:v>
                </c:pt>
                <c:pt idx="107">
                  <c:v>20.473096123316079</c:v>
                </c:pt>
                <c:pt idx="108">
                  <c:v>20.637275613491891</c:v>
                </c:pt>
                <c:pt idx="109">
                  <c:v>20.803999874793156</c:v>
                </c:pt>
                <c:pt idx="110">
                  <c:v>20.971351916977227</c:v>
                </c:pt>
                <c:pt idx="111">
                  <c:v>21.136263041716425</c:v>
                </c:pt>
                <c:pt idx="112">
                  <c:v>21.293579408617948</c:v>
                </c:pt>
                <c:pt idx="113">
                  <c:v>21.455489977719402</c:v>
                </c:pt>
                <c:pt idx="114">
                  <c:v>21.61641234538352</c:v>
                </c:pt>
                <c:pt idx="115">
                  <c:v>21.781093178760827</c:v>
                </c:pt>
                <c:pt idx="116">
                  <c:v>21.96834767783869</c:v>
                </c:pt>
                <c:pt idx="117">
                  <c:v>22.144998410648267</c:v>
                </c:pt>
                <c:pt idx="118">
                  <c:v>22.316864722555561</c:v>
                </c:pt>
                <c:pt idx="119">
                  <c:v>22.475754511031099</c:v>
                </c:pt>
                <c:pt idx="120">
                  <c:v>22.642588819172577</c:v>
                </c:pt>
                <c:pt idx="121">
                  <c:v>22.815475984256867</c:v>
                </c:pt>
                <c:pt idx="122">
                  <c:v>22.994006273490729</c:v>
                </c:pt>
                <c:pt idx="123">
                  <c:v>23.159500488609467</c:v>
                </c:pt>
                <c:pt idx="124">
                  <c:v>23.318129607266297</c:v>
                </c:pt>
                <c:pt idx="125">
                  <c:v>23.474738802813018</c:v>
                </c:pt>
                <c:pt idx="126">
                  <c:v>23.644375628957924</c:v>
                </c:pt>
                <c:pt idx="127">
                  <c:v>23.813546911672127</c:v>
                </c:pt>
                <c:pt idx="128">
                  <c:v>23.972433537591357</c:v>
                </c:pt>
                <c:pt idx="129">
                  <c:v>24.150895594300444</c:v>
                </c:pt>
                <c:pt idx="130">
                  <c:v>24.333574668028508</c:v>
                </c:pt>
                <c:pt idx="131">
                  <c:v>24.522546922290328</c:v>
                </c:pt>
                <c:pt idx="132">
                  <c:v>24.70703757509995</c:v>
                </c:pt>
                <c:pt idx="133">
                  <c:v>24.885960049006702</c:v>
                </c:pt>
                <c:pt idx="134">
                  <c:v>25.062452938333717</c:v>
                </c:pt>
                <c:pt idx="135">
                  <c:v>25.234116801103873</c:v>
                </c:pt>
                <c:pt idx="136">
                  <c:v>25.412070057129512</c:v>
                </c:pt>
                <c:pt idx="137">
                  <c:v>25.60537299515061</c:v>
                </c:pt>
                <c:pt idx="138">
                  <c:v>25.802437321692668</c:v>
                </c:pt>
                <c:pt idx="139">
                  <c:v>26.009772800015028</c:v>
                </c:pt>
                <c:pt idx="140">
                  <c:v>26.209570013825982</c:v>
                </c:pt>
                <c:pt idx="141">
                  <c:v>26.407872057492462</c:v>
                </c:pt>
                <c:pt idx="142">
                  <c:v>26.596765300365782</c:v>
                </c:pt>
                <c:pt idx="143">
                  <c:v>26.794025289423125</c:v>
                </c:pt>
                <c:pt idx="144">
                  <c:v>26.993139220183515</c:v>
                </c:pt>
                <c:pt idx="145">
                  <c:v>27.180738408355051</c:v>
                </c:pt>
                <c:pt idx="146">
                  <c:v>27.379003594541008</c:v>
                </c:pt>
                <c:pt idx="147">
                  <c:v>27.593797649187678</c:v>
                </c:pt>
                <c:pt idx="148">
                  <c:v>27.820687817577411</c:v>
                </c:pt>
                <c:pt idx="149">
                  <c:v>28.031008690558657</c:v>
                </c:pt>
                <c:pt idx="150">
                  <c:v>28.228834781092509</c:v>
                </c:pt>
                <c:pt idx="151">
                  <c:v>28.445178778364951</c:v>
                </c:pt>
                <c:pt idx="152">
                  <c:v>28.654445786312916</c:v>
                </c:pt>
                <c:pt idx="153">
                  <c:v>28.85924488635764</c:v>
                </c:pt>
                <c:pt idx="154">
                  <c:v>29.068606858798415</c:v>
                </c:pt>
                <c:pt idx="155">
                  <c:v>29.278477674550714</c:v>
                </c:pt>
                <c:pt idx="156">
                  <c:v>29.484794745393227</c:v>
                </c:pt>
                <c:pt idx="157">
                  <c:v>29.688273124768699</c:v>
                </c:pt>
                <c:pt idx="158">
                  <c:v>29.897461647078277</c:v>
                </c:pt>
                <c:pt idx="159">
                  <c:v>30.102696840321482</c:v>
                </c:pt>
                <c:pt idx="160">
                  <c:v>30.317812695485053</c:v>
                </c:pt>
                <c:pt idx="161">
                  <c:v>30.53301143510339</c:v>
                </c:pt>
                <c:pt idx="162">
                  <c:v>30.736171364340503</c:v>
                </c:pt>
                <c:pt idx="163">
                  <c:v>30.969716385280947</c:v>
                </c:pt>
                <c:pt idx="164">
                  <c:v>31.208934376988239</c:v>
                </c:pt>
                <c:pt idx="165">
                  <c:v>31.42358823863767</c:v>
                </c:pt>
                <c:pt idx="166">
                  <c:v>31.648568430158576</c:v>
                </c:pt>
                <c:pt idx="167">
                  <c:v>31.863960179627071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-0.18207788154540056</c:v>
                </c:pt>
                <c:pt idx="2">
                  <c:v>-0.37763341462983069</c:v>
                </c:pt>
                <c:pt idx="3">
                  <c:v>-0.58342066659207803</c:v>
                </c:pt>
                <c:pt idx="4">
                  <c:v>-0.79312097787483382</c:v>
                </c:pt>
                <c:pt idx="5">
                  <c:v>-1.019208984341067</c:v>
                </c:pt>
                <c:pt idx="6">
                  <c:v>-1.2449527501088145</c:v>
                </c:pt>
                <c:pt idx="7">
                  <c:v>-1.4627887030475635</c:v>
                </c:pt>
                <c:pt idx="8">
                  <c:v>-1.6826407511205159</c:v>
                </c:pt>
                <c:pt idx="9">
                  <c:v>-1.8956913673127938</c:v>
                </c:pt>
                <c:pt idx="10">
                  <c:v>-2.1077273011229014</c:v>
                </c:pt>
                <c:pt idx="11">
                  <c:v>-2.3127648514678518</c:v>
                </c:pt>
                <c:pt idx="12">
                  <c:v>-2.5177904837806695</c:v>
                </c:pt>
                <c:pt idx="13">
                  <c:v>-2.7086915996413161</c:v>
                </c:pt>
                <c:pt idx="14">
                  <c:v>-2.8987014421392758</c:v>
                </c:pt>
                <c:pt idx="15">
                  <c:v>-3.085997595543176</c:v>
                </c:pt>
                <c:pt idx="16">
                  <c:v>-3.2644405931797351</c:v>
                </c:pt>
                <c:pt idx="17">
                  <c:v>-3.4333639957979565</c:v>
                </c:pt>
                <c:pt idx="18">
                  <c:v>-3.6023629034089986</c:v>
                </c:pt>
                <c:pt idx="19">
                  <c:v>-3.7682938650920996</c:v>
                </c:pt>
                <c:pt idx="20">
                  <c:v>-3.9302453152769519</c:v>
                </c:pt>
                <c:pt idx="21">
                  <c:v>-4.0886918503452652</c:v>
                </c:pt>
                <c:pt idx="22">
                  <c:v>-4.2395732792724719</c:v>
                </c:pt>
                <c:pt idx="23">
                  <c:v>-4.3790546543305027</c:v>
                </c:pt>
                <c:pt idx="24">
                  <c:v>-4.5186186469976768</c:v>
                </c:pt>
                <c:pt idx="25">
                  <c:v>-4.6581146353504295</c:v>
                </c:pt>
                <c:pt idx="26">
                  <c:v>-4.795405273062098</c:v>
                </c:pt>
                <c:pt idx="27">
                  <c:v>-4.9256387892949256</c:v>
                </c:pt>
                <c:pt idx="28">
                  <c:v>-5.0507653225622882</c:v>
                </c:pt>
                <c:pt idx="29">
                  <c:v>-5.1690426969977823</c:v>
                </c:pt>
                <c:pt idx="30">
                  <c:v>-5.2855092710274194</c:v>
                </c:pt>
                <c:pt idx="31">
                  <c:v>-5.4026417408729897</c:v>
                </c:pt>
                <c:pt idx="32">
                  <c:v>-5.5164084295886493</c:v>
                </c:pt>
                <c:pt idx="33">
                  <c:v>-5.6243366983535195</c:v>
                </c:pt>
                <c:pt idx="34">
                  <c:v>-5.7291008425572567</c:v>
                </c:pt>
                <c:pt idx="35">
                  <c:v>-5.8282951352213725</c:v>
                </c:pt>
                <c:pt idx="36">
                  <c:v>-5.9259183689975083</c:v>
                </c:pt>
                <c:pt idx="37">
                  <c:v>-6.0211352591583385</c:v>
                </c:pt>
                <c:pt idx="38">
                  <c:v>-6.1160631191345418</c:v>
                </c:pt>
                <c:pt idx="39">
                  <c:v>-6.2089123163638913</c:v>
                </c:pt>
                <c:pt idx="40">
                  <c:v>-6.298064962221015</c:v>
                </c:pt>
                <c:pt idx="41">
                  <c:v>-6.3840643125939405</c:v>
                </c:pt>
                <c:pt idx="42">
                  <c:v>-6.4687035786303193</c:v>
                </c:pt>
                <c:pt idx="43">
                  <c:v>-6.5482568220310808</c:v>
                </c:pt>
                <c:pt idx="44">
                  <c:v>-6.6280110009326201</c:v>
                </c:pt>
                <c:pt idx="45">
                  <c:v>-6.7001233433788343</c:v>
                </c:pt>
                <c:pt idx="46">
                  <c:v>-6.772868428676313</c:v>
                </c:pt>
                <c:pt idx="47">
                  <c:v>-6.8449517501095549</c:v>
                </c:pt>
                <c:pt idx="48">
                  <c:v>-6.9128092666144223</c:v>
                </c:pt>
                <c:pt idx="49">
                  <c:v>-6.9778049264319932</c:v>
                </c:pt>
                <c:pt idx="50">
                  <c:v>-7.0391548727905047</c:v>
                </c:pt>
                <c:pt idx="51">
                  <c:v>-7.0997706536625804</c:v>
                </c:pt>
                <c:pt idx="52">
                  <c:v>-7.158072448282339</c:v>
                </c:pt>
                <c:pt idx="53">
                  <c:v>-7.2124969637064726</c:v>
                </c:pt>
                <c:pt idx="54">
                  <c:v>-7.2626104800295819</c:v>
                </c:pt>
                <c:pt idx="55">
                  <c:v>-7.3139986554472936</c:v>
                </c:pt>
                <c:pt idx="56">
                  <c:v>-7.3654763643086625</c:v>
                </c:pt>
                <c:pt idx="57">
                  <c:v>-7.414211233441681</c:v>
                </c:pt>
                <c:pt idx="58">
                  <c:v>-7.4598615203036251</c:v>
                </c:pt>
                <c:pt idx="59">
                  <c:v>-7.5047548810470719</c:v>
                </c:pt>
                <c:pt idx="60">
                  <c:v>-7.5477453022746266</c:v>
                </c:pt>
                <c:pt idx="61">
                  <c:v>-7.5859724231213299</c:v>
                </c:pt>
                <c:pt idx="62">
                  <c:v>-7.6191829606789758</c:v>
                </c:pt>
                <c:pt idx="63">
                  <c:v>-7.6493310766295677</c:v>
                </c:pt>
                <c:pt idx="64">
                  <c:v>-7.677872330972944</c:v>
                </c:pt>
                <c:pt idx="65">
                  <c:v>-7.7036252622897514</c:v>
                </c:pt>
                <c:pt idx="66">
                  <c:v>-7.7281886149955685</c:v>
                </c:pt>
                <c:pt idx="67">
                  <c:v>-7.7504019056168749</c:v>
                </c:pt>
                <c:pt idx="68">
                  <c:v>-7.7705653989566326</c:v>
                </c:pt>
                <c:pt idx="69">
                  <c:v>-7.7902183848475897</c:v>
                </c:pt>
                <c:pt idx="70">
                  <c:v>-7.8082810896602393</c:v>
                </c:pt>
                <c:pt idx="71">
                  <c:v>-7.8259833907222927</c:v>
                </c:pt>
                <c:pt idx="72">
                  <c:v>-7.8423201509724088</c:v>
                </c:pt>
                <c:pt idx="73">
                  <c:v>-7.8575847919606741</c:v>
                </c:pt>
                <c:pt idx="74">
                  <c:v>-7.8718423861246238</c:v>
                </c:pt>
                <c:pt idx="75">
                  <c:v>-7.8858069680826173</c:v>
                </c:pt>
                <c:pt idx="76">
                  <c:v>-7.8984381618902066</c:v>
                </c:pt>
                <c:pt idx="77">
                  <c:v>-7.9102218978415673</c:v>
                </c:pt>
                <c:pt idx="78">
                  <c:v>-7.9209668852493635</c:v>
                </c:pt>
                <c:pt idx="79">
                  <c:v>-7.9311754145444011</c:v>
                </c:pt>
                <c:pt idx="80">
                  <c:v>-7.940602835497355</c:v>
                </c:pt>
                <c:pt idx="81">
                  <c:v>-7.949591308827932</c:v>
                </c:pt>
                <c:pt idx="82">
                  <c:v>-7.9579148644688074</c:v>
                </c:pt>
                <c:pt idx="83">
                  <c:v>-7.9657830689735301</c:v>
                </c:pt>
                <c:pt idx="84">
                  <c:v>-7.9732562172152459</c:v>
                </c:pt>
                <c:pt idx="85">
                  <c:v>-7.980392199187639</c:v>
                </c:pt>
                <c:pt idx="86">
                  <c:v>-7.9873825492647832</c:v>
                </c:pt>
                <c:pt idx="87">
                  <c:v>-7.9943969671297861</c:v>
                </c:pt>
                <c:pt idx="88">
                  <c:v>-8.000838866586518</c:v>
                </c:pt>
                <c:pt idx="89">
                  <c:v>-8.0066532127280432</c:v>
                </c:pt>
                <c:pt idx="90">
                  <c:v>-8.0118629689775567</c:v>
                </c:pt>
                <c:pt idx="91">
                  <c:v>-8.0167650075846009</c:v>
                </c:pt>
                <c:pt idx="92">
                  <c:v>-8.0214888839751612</c:v>
                </c:pt>
                <c:pt idx="93">
                  <c:v>-8.0255180275000484</c:v>
                </c:pt>
                <c:pt idx="94">
                  <c:v>-8.029243738930532</c:v>
                </c:pt>
                <c:pt idx="95">
                  <c:v>-8.0325420873708424</c:v>
                </c:pt>
                <c:pt idx="96">
                  <c:v>-8.0356776574174393</c:v>
                </c:pt>
                <c:pt idx="97">
                  <c:v>-8.0382801691442456</c:v>
                </c:pt>
                <c:pt idx="98">
                  <c:v>-8.0406488932233344</c:v>
                </c:pt>
                <c:pt idx="99">
                  <c:v>-8.0427386143336168</c:v>
                </c:pt>
                <c:pt idx="100">
                  <c:v>-8.0445063538505419</c:v>
                </c:pt>
                <c:pt idx="101">
                  <c:v>-8.0461460977529633</c:v>
                </c:pt>
                <c:pt idx="102">
                  <c:v>-8.0475932984370466</c:v>
                </c:pt>
                <c:pt idx="103">
                  <c:v>-8.0489863325458639</c:v>
                </c:pt>
                <c:pt idx="104">
                  <c:v>-8.050239127514395</c:v>
                </c:pt>
                <c:pt idx="105">
                  <c:v>-8.0513711991394281</c:v>
                </c:pt>
                <c:pt idx="106">
                  <c:v>-8.0523301898353097</c:v>
                </c:pt>
                <c:pt idx="107">
                  <c:v>-8.0532276363758015</c:v>
                </c:pt>
                <c:pt idx="108">
                  <c:v>-8.0540665127296496</c:v>
                </c:pt>
                <c:pt idx="109">
                  <c:v>-8.0548420545072901</c:v>
                </c:pt>
                <c:pt idx="110">
                  <c:v>-8.055568258447483</c:v>
                </c:pt>
                <c:pt idx="111">
                  <c:v>-8.0563003932072661</c:v>
                </c:pt>
                <c:pt idx="112">
                  <c:v>-8.0569830584069599</c:v>
                </c:pt>
                <c:pt idx="113">
                  <c:v>-8.0577389154336601</c:v>
                </c:pt>
                <c:pt idx="114">
                  <c:v>-8.0584415447424274</c:v>
                </c:pt>
                <c:pt idx="115">
                  <c:v>-8.0591188967810723</c:v>
                </c:pt>
                <c:pt idx="116">
                  <c:v>-8.0597911452280329</c:v>
                </c:pt>
                <c:pt idx="117">
                  <c:v>-8.0603990941463515</c:v>
                </c:pt>
                <c:pt idx="118">
                  <c:v>-8.0610577733460733</c:v>
                </c:pt>
                <c:pt idx="119">
                  <c:v>-8.0616591936755366</c:v>
                </c:pt>
                <c:pt idx="120">
                  <c:v>-8.0622122292224887</c:v>
                </c:pt>
                <c:pt idx="121">
                  <c:v>-8.0627269128580679</c:v>
                </c:pt>
                <c:pt idx="122">
                  <c:v>-8.0632920387735041</c:v>
                </c:pt>
                <c:pt idx="123">
                  <c:v>-8.0638325810412432</c:v>
                </c:pt>
                <c:pt idx="124">
                  <c:v>-8.0644226750879184</c:v>
                </c:pt>
                <c:pt idx="125">
                  <c:v>-8.0650655560616507</c:v>
                </c:pt>
                <c:pt idx="126">
                  <c:v>-8.0657255493342479</c:v>
                </c:pt>
                <c:pt idx="127">
                  <c:v>-8.0664288672593152</c:v>
                </c:pt>
                <c:pt idx="128">
                  <c:v>-8.067061887714118</c:v>
                </c:pt>
                <c:pt idx="129">
                  <c:v>-8.0676903725328142</c:v>
                </c:pt>
                <c:pt idx="130">
                  <c:v>-8.068281180535152</c:v>
                </c:pt>
                <c:pt idx="131">
                  <c:v>-8.0689285084132081</c:v>
                </c:pt>
                <c:pt idx="132">
                  <c:v>-8.0695376079341372</c:v>
                </c:pt>
                <c:pt idx="133">
                  <c:v>-8.0700683152716906</c:v>
                </c:pt>
                <c:pt idx="134">
                  <c:v>-8.0706076870613703</c:v>
                </c:pt>
                <c:pt idx="135">
                  <c:v>-8.0710837753325304</c:v>
                </c:pt>
                <c:pt idx="136">
                  <c:v>-8.0715436218569199</c:v>
                </c:pt>
                <c:pt idx="137">
                  <c:v>-8.0719849433866457</c:v>
                </c:pt>
                <c:pt idx="138">
                  <c:v>-8.0723737130217383</c:v>
                </c:pt>
                <c:pt idx="139">
                  <c:v>-8.072732732038963</c:v>
                </c:pt>
                <c:pt idx="140">
                  <c:v>-8.0730417877303182</c:v>
                </c:pt>
                <c:pt idx="141">
                  <c:v>-8.0733295928817661</c:v>
                </c:pt>
                <c:pt idx="142">
                  <c:v>-8.0735923628895101</c:v>
                </c:pt>
                <c:pt idx="143">
                  <c:v>-8.0738320531144918</c:v>
                </c:pt>
                <c:pt idx="144">
                  <c:v>-8.0740717473535728</c:v>
                </c:pt>
                <c:pt idx="145">
                  <c:v>-8.0742553901662397</c:v>
                </c:pt>
                <c:pt idx="146">
                  <c:v>-8.0744124441836327</c:v>
                </c:pt>
                <c:pt idx="147">
                  <c:v>-8.0745417027867461</c:v>
                </c:pt>
                <c:pt idx="148">
                  <c:v>-8.0746543375882069</c:v>
                </c:pt>
                <c:pt idx="149">
                  <c:v>-8.0747486407188802</c:v>
                </c:pt>
                <c:pt idx="150">
                  <c:v>-8.074812672873156</c:v>
                </c:pt>
                <c:pt idx="151">
                  <c:v>-8.0748563987265278</c:v>
                </c:pt>
                <c:pt idx="152">
                  <c:v>-8.0748766511728292</c:v>
                </c:pt>
                <c:pt idx="153">
                  <c:v>-8.0748707945960838</c:v>
                </c:pt>
                <c:pt idx="154">
                  <c:v>-8.0748341858200341</c:v>
                </c:pt>
                <c:pt idx="155">
                  <c:v>-8.0747650937107771</c:v>
                </c:pt>
                <c:pt idx="156">
                  <c:v>-8.0746436051397055</c:v>
                </c:pt>
                <c:pt idx="157">
                  <c:v>-8.0744734537427121</c:v>
                </c:pt>
                <c:pt idx="158">
                  <c:v>-8.0742506712152871</c:v>
                </c:pt>
                <c:pt idx="159">
                  <c:v>-8.0739889473680755</c:v>
                </c:pt>
                <c:pt idx="160">
                  <c:v>-8.0737006292543541</c:v>
                </c:pt>
                <c:pt idx="161">
                  <c:v>-8.0733945210009246</c:v>
                </c:pt>
                <c:pt idx="162">
                  <c:v>-8.0730947115974256</c:v>
                </c:pt>
                <c:pt idx="163">
                  <c:v>-8.0727384179064874</c:v>
                </c:pt>
                <c:pt idx="164">
                  <c:v>-8.0722952223382389</c:v>
                </c:pt>
                <c:pt idx="165">
                  <c:v>-8.0718782824600641</c:v>
                </c:pt>
                <c:pt idx="166">
                  <c:v>-8.0713767221288606</c:v>
                </c:pt>
                <c:pt idx="167">
                  <c:v>-8.0708854365952014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  <c:pt idx="27">
                  <c:v>45319</c:v>
                </c:pt>
                <c:pt idx="28">
                  <c:v>45320</c:v>
                </c:pt>
                <c:pt idx="29">
                  <c:v>45321</c:v>
                </c:pt>
                <c:pt idx="30">
                  <c:v>45322</c:v>
                </c:pt>
                <c:pt idx="31">
                  <c:v>45323</c:v>
                </c:pt>
                <c:pt idx="32">
                  <c:v>45324</c:v>
                </c:pt>
                <c:pt idx="33">
                  <c:v>45325</c:v>
                </c:pt>
                <c:pt idx="34">
                  <c:v>45326</c:v>
                </c:pt>
                <c:pt idx="35">
                  <c:v>45327</c:v>
                </c:pt>
                <c:pt idx="36">
                  <c:v>45328</c:v>
                </c:pt>
                <c:pt idx="37">
                  <c:v>45329</c:v>
                </c:pt>
                <c:pt idx="38">
                  <c:v>45330</c:v>
                </c:pt>
                <c:pt idx="39">
                  <c:v>45331</c:v>
                </c:pt>
                <c:pt idx="40">
                  <c:v>45332</c:v>
                </c:pt>
                <c:pt idx="41">
                  <c:v>45333</c:v>
                </c:pt>
                <c:pt idx="42">
                  <c:v>45334</c:v>
                </c:pt>
                <c:pt idx="43">
                  <c:v>45335</c:v>
                </c:pt>
                <c:pt idx="44">
                  <c:v>45336</c:v>
                </c:pt>
                <c:pt idx="45">
                  <c:v>45337</c:v>
                </c:pt>
                <c:pt idx="46">
                  <c:v>45338</c:v>
                </c:pt>
                <c:pt idx="47">
                  <c:v>45339</c:v>
                </c:pt>
                <c:pt idx="48">
                  <c:v>45340</c:v>
                </c:pt>
                <c:pt idx="49">
                  <c:v>45341</c:v>
                </c:pt>
                <c:pt idx="50">
                  <c:v>45342</c:v>
                </c:pt>
                <c:pt idx="51">
                  <c:v>45343</c:v>
                </c:pt>
                <c:pt idx="52">
                  <c:v>45344</c:v>
                </c:pt>
                <c:pt idx="53">
                  <c:v>45345</c:v>
                </c:pt>
                <c:pt idx="54">
                  <c:v>45346</c:v>
                </c:pt>
                <c:pt idx="55">
                  <c:v>45347</c:v>
                </c:pt>
                <c:pt idx="56">
                  <c:v>45348</c:v>
                </c:pt>
                <c:pt idx="57">
                  <c:v>45349</c:v>
                </c:pt>
                <c:pt idx="58">
                  <c:v>45350</c:v>
                </c:pt>
                <c:pt idx="59">
                  <c:v>45351</c:v>
                </c:pt>
                <c:pt idx="60">
                  <c:v>45352</c:v>
                </c:pt>
                <c:pt idx="61">
                  <c:v>45353</c:v>
                </c:pt>
                <c:pt idx="62">
                  <c:v>45354</c:v>
                </c:pt>
                <c:pt idx="63">
                  <c:v>45355</c:v>
                </c:pt>
                <c:pt idx="64">
                  <c:v>45356</c:v>
                </c:pt>
                <c:pt idx="65">
                  <c:v>45357</c:v>
                </c:pt>
                <c:pt idx="66">
                  <c:v>45358</c:v>
                </c:pt>
                <c:pt idx="67">
                  <c:v>45359</c:v>
                </c:pt>
                <c:pt idx="68">
                  <c:v>45360</c:v>
                </c:pt>
                <c:pt idx="69">
                  <c:v>45361</c:v>
                </c:pt>
                <c:pt idx="70">
                  <c:v>45362</c:v>
                </c:pt>
                <c:pt idx="71">
                  <c:v>45363</c:v>
                </c:pt>
                <c:pt idx="72">
                  <c:v>45364</c:v>
                </c:pt>
                <c:pt idx="73">
                  <c:v>45365</c:v>
                </c:pt>
                <c:pt idx="74">
                  <c:v>45366</c:v>
                </c:pt>
                <c:pt idx="75">
                  <c:v>45367</c:v>
                </c:pt>
                <c:pt idx="76">
                  <c:v>45368</c:v>
                </c:pt>
                <c:pt idx="77">
                  <c:v>45369</c:v>
                </c:pt>
                <c:pt idx="78">
                  <c:v>45370</c:v>
                </c:pt>
                <c:pt idx="79">
                  <c:v>45371</c:v>
                </c:pt>
                <c:pt idx="80">
                  <c:v>45372</c:v>
                </c:pt>
                <c:pt idx="81">
                  <c:v>45373</c:v>
                </c:pt>
                <c:pt idx="82">
                  <c:v>45374</c:v>
                </c:pt>
                <c:pt idx="83">
                  <c:v>45375</c:v>
                </c:pt>
                <c:pt idx="84">
                  <c:v>45376</c:v>
                </c:pt>
                <c:pt idx="85">
                  <c:v>45377</c:v>
                </c:pt>
                <c:pt idx="86">
                  <c:v>45378</c:v>
                </c:pt>
                <c:pt idx="87">
                  <c:v>45379</c:v>
                </c:pt>
                <c:pt idx="88">
                  <c:v>45380</c:v>
                </c:pt>
                <c:pt idx="89">
                  <c:v>45381</c:v>
                </c:pt>
                <c:pt idx="90">
                  <c:v>45382</c:v>
                </c:pt>
                <c:pt idx="91">
                  <c:v>45383</c:v>
                </c:pt>
                <c:pt idx="92">
                  <c:v>45384</c:v>
                </c:pt>
                <c:pt idx="93">
                  <c:v>45385</c:v>
                </c:pt>
                <c:pt idx="94">
                  <c:v>45386</c:v>
                </c:pt>
                <c:pt idx="95">
                  <c:v>45387</c:v>
                </c:pt>
                <c:pt idx="96">
                  <c:v>45388</c:v>
                </c:pt>
                <c:pt idx="97">
                  <c:v>45389</c:v>
                </c:pt>
                <c:pt idx="98">
                  <c:v>45390</c:v>
                </c:pt>
                <c:pt idx="99">
                  <c:v>45391</c:v>
                </c:pt>
                <c:pt idx="100">
                  <c:v>45392</c:v>
                </c:pt>
                <c:pt idx="101">
                  <c:v>45393</c:v>
                </c:pt>
                <c:pt idx="102">
                  <c:v>45394</c:v>
                </c:pt>
                <c:pt idx="103">
                  <c:v>45395</c:v>
                </c:pt>
                <c:pt idx="104">
                  <c:v>45396</c:v>
                </c:pt>
                <c:pt idx="105">
                  <c:v>45397</c:v>
                </c:pt>
                <c:pt idx="106">
                  <c:v>45398</c:v>
                </c:pt>
                <c:pt idx="107">
                  <c:v>45399</c:v>
                </c:pt>
                <c:pt idx="108">
                  <c:v>45400</c:v>
                </c:pt>
                <c:pt idx="109">
                  <c:v>45401</c:v>
                </c:pt>
                <c:pt idx="110">
                  <c:v>45402</c:v>
                </c:pt>
                <c:pt idx="111">
                  <c:v>45403</c:v>
                </c:pt>
                <c:pt idx="112">
                  <c:v>45404</c:v>
                </c:pt>
                <c:pt idx="113">
                  <c:v>45405</c:v>
                </c:pt>
                <c:pt idx="114">
                  <c:v>45406</c:v>
                </c:pt>
                <c:pt idx="115">
                  <c:v>45407</c:v>
                </c:pt>
                <c:pt idx="116">
                  <c:v>45408</c:v>
                </c:pt>
                <c:pt idx="117">
                  <c:v>45409</c:v>
                </c:pt>
                <c:pt idx="118">
                  <c:v>45410</c:v>
                </c:pt>
                <c:pt idx="119">
                  <c:v>45411</c:v>
                </c:pt>
                <c:pt idx="120">
                  <c:v>45412</c:v>
                </c:pt>
                <c:pt idx="121">
                  <c:v>45413</c:v>
                </c:pt>
                <c:pt idx="122">
                  <c:v>45414</c:v>
                </c:pt>
                <c:pt idx="123">
                  <c:v>45415</c:v>
                </c:pt>
                <c:pt idx="124">
                  <c:v>45416</c:v>
                </c:pt>
                <c:pt idx="125">
                  <c:v>45417</c:v>
                </c:pt>
                <c:pt idx="126">
                  <c:v>45418</c:v>
                </c:pt>
                <c:pt idx="127">
                  <c:v>45419</c:v>
                </c:pt>
                <c:pt idx="128">
                  <c:v>45420</c:v>
                </c:pt>
                <c:pt idx="129">
                  <c:v>45421</c:v>
                </c:pt>
                <c:pt idx="130">
                  <c:v>45422</c:v>
                </c:pt>
                <c:pt idx="131">
                  <c:v>45423</c:v>
                </c:pt>
                <c:pt idx="132">
                  <c:v>45424</c:v>
                </c:pt>
                <c:pt idx="133">
                  <c:v>45425</c:v>
                </c:pt>
                <c:pt idx="134">
                  <c:v>45426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1.5604044247967603</c:v>
                </c:pt>
                <c:pt idx="15">
                  <c:v>1.6506371518941509</c:v>
                </c:pt>
                <c:pt idx="16">
                  <c:v>1.7454050042526168</c:v>
                </c:pt>
                <c:pt idx="17">
                  <c:v>1.8491427577454498</c:v>
                </c:pt>
                <c:pt idx="18">
                  <c:v>1.95735825283801</c:v>
                </c:pt>
                <c:pt idx="19">
                  <c:v>2.0641953072884336</c:v>
                </c:pt>
                <c:pt idx="20">
                  <c:v>2.188002099040367</c:v>
                </c:pt>
                <c:pt idx="21">
                  <c:v>2.3251084782090214</c:v>
                </c:pt>
                <c:pt idx="22">
                  <c:v>2.4619288705947913</c:v>
                </c:pt>
                <c:pt idx="23">
                  <c:v>2.6037588471915387</c:v>
                </c:pt>
                <c:pt idx="24">
                  <c:v>2.7522840399693789</c:v>
                </c:pt>
                <c:pt idx="25">
                  <c:v>2.906657779162356</c:v>
                </c:pt>
                <c:pt idx="26">
                  <c:v>3.0685496356141075</c:v>
                </c:pt>
                <c:pt idx="27">
                  <c:v>3.2469574994412067</c:v>
                </c:pt>
                <c:pt idx="28">
                  <c:v>3.4405844412460049</c:v>
                </c:pt>
                <c:pt idx="29">
                  <c:v>3.6519628944578644</c:v>
                </c:pt>
                <c:pt idx="30">
                  <c:v>3.8776331424412329</c:v>
                </c:pt>
                <c:pt idx="31">
                  <c:v>4.1092419728169611</c:v>
                </c:pt>
                <c:pt idx="32">
                  <c:v>4.3396380098426039</c:v>
                </c:pt>
                <c:pt idx="33">
                  <c:v>4.5798098068495978</c:v>
                </c:pt>
                <c:pt idx="34">
                  <c:v>4.858169231557679</c:v>
                </c:pt>
                <c:pt idx="35">
                  <c:v>5.1219779413457509</c:v>
                </c:pt>
                <c:pt idx="36">
                  <c:v>5.4079111470874741</c:v>
                </c:pt>
                <c:pt idx="37">
                  <c:v>5.709195304492571</c:v>
                </c:pt>
                <c:pt idx="38">
                  <c:v>6.0333053119619677</c:v>
                </c:pt>
                <c:pt idx="39">
                  <c:v>6.3773509552966727</c:v>
                </c:pt>
                <c:pt idx="40">
                  <c:v>6.7384192248051145</c:v>
                </c:pt>
                <c:pt idx="41">
                  <c:v>7.1336344134491618</c:v>
                </c:pt>
                <c:pt idx="42">
                  <c:v>7.5632406842893056</c:v>
                </c:pt>
                <c:pt idx="43">
                  <c:v>7.9767736449942337</c:v>
                </c:pt>
                <c:pt idx="44">
                  <c:v>8.3981494759206559</c:v>
                </c:pt>
                <c:pt idx="45">
                  <c:v>8.8288723702968497</c:v>
                </c:pt>
                <c:pt idx="46">
                  <c:v>9.2977812513583054</c:v>
                </c:pt>
                <c:pt idx="47">
                  <c:v>9.8257544841377733</c:v>
                </c:pt>
                <c:pt idx="48">
                  <c:v>10.395887073766046</c:v>
                </c:pt>
                <c:pt idx="49">
                  <c:v>10.976998793933488</c:v>
                </c:pt>
                <c:pt idx="50">
                  <c:v>11.576613686565489</c:v>
                </c:pt>
                <c:pt idx="51">
                  <c:v>12.208621591066404</c:v>
                </c:pt>
                <c:pt idx="52">
                  <c:v>12.860365962906098</c:v>
                </c:pt>
                <c:pt idx="53">
                  <c:v>13.531810216180364</c:v>
                </c:pt>
                <c:pt idx="54">
                  <c:v>14.266846071466363</c:v>
                </c:pt>
                <c:pt idx="55">
                  <c:v>15.011109388671077</c:v>
                </c:pt>
                <c:pt idx="56">
                  <c:v>15.791219083614568</c:v>
                </c:pt>
                <c:pt idx="57">
                  <c:v>16.609619085143873</c:v>
                </c:pt>
                <c:pt idx="58">
                  <c:v>17.459773623091561</c:v>
                </c:pt>
                <c:pt idx="59">
                  <c:v>18.359706748547449</c:v>
                </c:pt>
                <c:pt idx="60">
                  <c:v>19.284430211124477</c:v>
                </c:pt>
                <c:pt idx="61">
                  <c:v>20.204698178878314</c:v>
                </c:pt>
                <c:pt idx="62">
                  <c:v>21.125022853926769</c:v>
                </c:pt>
                <c:pt idx="63">
                  <c:v>22.160297731536769</c:v>
                </c:pt>
                <c:pt idx="64">
                  <c:v>23.25647089122306</c:v>
                </c:pt>
                <c:pt idx="65">
                  <c:v>24.328735316712645</c:v>
                </c:pt>
                <c:pt idx="66">
                  <c:v>25.467525165154157</c:v>
                </c:pt>
                <c:pt idx="67">
                  <c:v>26.597237914840662</c:v>
                </c:pt>
                <c:pt idx="68">
                  <c:v>27.864758633459747</c:v>
                </c:pt>
                <c:pt idx="69">
                  <c:v>29.121451213426599</c:v>
                </c:pt>
                <c:pt idx="70">
                  <c:v>30.417025245412198</c:v>
                </c:pt>
                <c:pt idx="71">
                  <c:v>31.783515190923623</c:v>
                </c:pt>
                <c:pt idx="72">
                  <c:v>33.170302693916653</c:v>
                </c:pt>
                <c:pt idx="73">
                  <c:v>34.615307094518606</c:v>
                </c:pt>
                <c:pt idx="74">
                  <c:v>36.113126105640774</c:v>
                </c:pt>
                <c:pt idx="75">
                  <c:v>37.643688435834321</c:v>
                </c:pt>
                <c:pt idx="76">
                  <c:v>39.108289861833811</c:v>
                </c:pt>
                <c:pt idx="77">
                  <c:v>40.711991812456546</c:v>
                </c:pt>
                <c:pt idx="78">
                  <c:v>42.454756305041769</c:v>
                </c:pt>
                <c:pt idx="79">
                  <c:v>44.204960098053981</c:v>
                </c:pt>
                <c:pt idx="80">
                  <c:v>45.958441944480263</c:v>
                </c:pt>
                <c:pt idx="81">
                  <c:v>47.692159965855929</c:v>
                </c:pt>
                <c:pt idx="82">
                  <c:v>49.48817699366586</c:v>
                </c:pt>
                <c:pt idx="83">
                  <c:v>51.371420525923973</c:v>
                </c:pt>
                <c:pt idx="84">
                  <c:v>53.196638166748293</c:v>
                </c:pt>
                <c:pt idx="85">
                  <c:v>55.185081979765009</c:v>
                </c:pt>
                <c:pt idx="86">
                  <c:v>57.287915717293671</c:v>
                </c:pt>
                <c:pt idx="87">
                  <c:v>59.433224446862852</c:v>
                </c:pt>
                <c:pt idx="88">
                  <c:v>61.638896032500284</c:v>
                </c:pt>
                <c:pt idx="89">
                  <c:v>63.755117881815622</c:v>
                </c:pt>
                <c:pt idx="90">
                  <c:v>65.825246344542379</c:v>
                </c:pt>
                <c:pt idx="91">
                  <c:v>68.021884895680969</c:v>
                </c:pt>
                <c:pt idx="92">
                  <c:v>70.19246791877876</c:v>
                </c:pt>
                <c:pt idx="93">
                  <c:v>72.314355832319706</c:v>
                </c:pt>
                <c:pt idx="94">
                  <c:v>74.428728473741756</c:v>
                </c:pt>
                <c:pt idx="95">
                  <c:v>76.596392412557208</c:v>
                </c:pt>
                <c:pt idx="96">
                  <c:v>78.776004340103796</c:v>
                </c:pt>
                <c:pt idx="97">
                  <c:v>80.98778428838564</c:v>
                </c:pt>
                <c:pt idx="98">
                  <c:v>83.127594566206795</c:v>
                </c:pt>
                <c:pt idx="99">
                  <c:v>85.113591262753644</c:v>
                </c:pt>
                <c:pt idx="100">
                  <c:v>87.159339458255417</c:v>
                </c:pt>
                <c:pt idx="101">
                  <c:v>89.194969273973157</c:v>
                </c:pt>
                <c:pt idx="102">
                  <c:v>91.326363884271657</c:v>
                </c:pt>
                <c:pt idx="103">
                  <c:v>93.399948511208365</c:v>
                </c:pt>
                <c:pt idx="104">
                  <c:v>95.660298767241571</c:v>
                </c:pt>
                <c:pt idx="105">
                  <c:v>97.863564251045048</c:v>
                </c:pt>
                <c:pt idx="106">
                  <c:v>100.1189613408379</c:v>
                </c:pt>
                <c:pt idx="107">
                  <c:v>102.25200781920844</c:v>
                </c:pt>
                <c:pt idx="108">
                  <c:v>104.41123870985776</c:v>
                </c:pt>
                <c:pt idx="109">
                  <c:v>106.64506639367684</c:v>
                </c:pt>
                <c:pt idx="110">
                  <c:v>108.71512297975006</c:v>
                </c:pt>
                <c:pt idx="111">
                  <c:v>110.75093340791932</c:v>
                </c:pt>
                <c:pt idx="112">
                  <c:v>112.89536129536293</c:v>
                </c:pt>
                <c:pt idx="113">
                  <c:v>114.92862293490847</c:v>
                </c:pt>
                <c:pt idx="114">
                  <c:v>117.05990483342202</c:v>
                </c:pt>
                <c:pt idx="115">
                  <c:v>119.21345413438128</c:v>
                </c:pt>
                <c:pt idx="116">
                  <c:v>121.38372683131844</c:v>
                </c:pt>
                <c:pt idx="117">
                  <c:v>123.59976743678571</c:v>
                </c:pt>
                <c:pt idx="118">
                  <c:v>125.56894640730567</c:v>
                </c:pt>
                <c:pt idx="119">
                  <c:v>127.47749142326875</c:v>
                </c:pt>
                <c:pt idx="120">
                  <c:v>129.31253296676732</c:v>
                </c:pt>
                <c:pt idx="121">
                  <c:v>131.1579477077558</c:v>
                </c:pt>
                <c:pt idx="122">
                  <c:v>132.98223543389065</c:v>
                </c:pt>
                <c:pt idx="123">
                  <c:v>134.88825888129341</c:v>
                </c:pt>
                <c:pt idx="124">
                  <c:v>136.77170481851093</c:v>
                </c:pt>
                <c:pt idx="125">
                  <c:v>138.77833386891382</c:v>
                </c:pt>
                <c:pt idx="126">
                  <c:v>140.68953646249523</c:v>
                </c:pt>
                <c:pt idx="127">
                  <c:v>142.40178464606134</c:v>
                </c:pt>
                <c:pt idx="128">
                  <c:v>144.12211421514112</c:v>
                </c:pt>
                <c:pt idx="129">
                  <c:v>145.80266898154721</c:v>
                </c:pt>
                <c:pt idx="130">
                  <c:v>147.52036743371107</c:v>
                </c:pt>
                <c:pt idx="131">
                  <c:v>149.27576895177728</c:v>
                </c:pt>
                <c:pt idx="132">
                  <c:v>150.90491543944577</c:v>
                </c:pt>
                <c:pt idx="133">
                  <c:v>152.49461515326018</c:v>
                </c:pt>
                <c:pt idx="134">
                  <c:v>154.00000000000003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  <c:pt idx="27">
                  <c:v>45319</c:v>
                </c:pt>
                <c:pt idx="28">
                  <c:v>45320</c:v>
                </c:pt>
                <c:pt idx="29">
                  <c:v>45321</c:v>
                </c:pt>
                <c:pt idx="30">
                  <c:v>45322</c:v>
                </c:pt>
                <c:pt idx="31">
                  <c:v>45323</c:v>
                </c:pt>
                <c:pt idx="32">
                  <c:v>45324</c:v>
                </c:pt>
                <c:pt idx="33">
                  <c:v>45325</c:v>
                </c:pt>
                <c:pt idx="34">
                  <c:v>45326</c:v>
                </c:pt>
                <c:pt idx="35">
                  <c:v>45327</c:v>
                </c:pt>
                <c:pt idx="36">
                  <c:v>45328</c:v>
                </c:pt>
                <c:pt idx="37">
                  <c:v>45329</c:v>
                </c:pt>
                <c:pt idx="38">
                  <c:v>45330</c:v>
                </c:pt>
                <c:pt idx="39">
                  <c:v>45331</c:v>
                </c:pt>
                <c:pt idx="40">
                  <c:v>45332</c:v>
                </c:pt>
                <c:pt idx="41">
                  <c:v>45333</c:v>
                </c:pt>
                <c:pt idx="42">
                  <c:v>45334</c:v>
                </c:pt>
                <c:pt idx="43">
                  <c:v>45335</c:v>
                </c:pt>
                <c:pt idx="44">
                  <c:v>45336</c:v>
                </c:pt>
                <c:pt idx="45">
                  <c:v>45337</c:v>
                </c:pt>
                <c:pt idx="46">
                  <c:v>45338</c:v>
                </c:pt>
                <c:pt idx="47">
                  <c:v>45339</c:v>
                </c:pt>
                <c:pt idx="48">
                  <c:v>45340</c:v>
                </c:pt>
                <c:pt idx="49">
                  <c:v>45341</c:v>
                </c:pt>
                <c:pt idx="50">
                  <c:v>45342</c:v>
                </c:pt>
                <c:pt idx="51">
                  <c:v>45343</c:v>
                </c:pt>
                <c:pt idx="52">
                  <c:v>45344</c:v>
                </c:pt>
                <c:pt idx="53">
                  <c:v>45345</c:v>
                </c:pt>
                <c:pt idx="54">
                  <c:v>45346</c:v>
                </c:pt>
                <c:pt idx="55">
                  <c:v>45347</c:v>
                </c:pt>
                <c:pt idx="56">
                  <c:v>45348</c:v>
                </c:pt>
                <c:pt idx="57">
                  <c:v>45349</c:v>
                </c:pt>
                <c:pt idx="58">
                  <c:v>45350</c:v>
                </c:pt>
                <c:pt idx="59">
                  <c:v>45351</c:v>
                </c:pt>
                <c:pt idx="60">
                  <c:v>45352</c:v>
                </c:pt>
                <c:pt idx="61">
                  <c:v>45353</c:v>
                </c:pt>
                <c:pt idx="62">
                  <c:v>45354</c:v>
                </c:pt>
                <c:pt idx="63">
                  <c:v>45355</c:v>
                </c:pt>
                <c:pt idx="64">
                  <c:v>45356</c:v>
                </c:pt>
                <c:pt idx="65">
                  <c:v>45357</c:v>
                </c:pt>
                <c:pt idx="66">
                  <c:v>45358</c:v>
                </c:pt>
                <c:pt idx="67">
                  <c:v>45359</c:v>
                </c:pt>
                <c:pt idx="68">
                  <c:v>45360</c:v>
                </c:pt>
                <c:pt idx="69">
                  <c:v>45361</c:v>
                </c:pt>
                <c:pt idx="70">
                  <c:v>45362</c:v>
                </c:pt>
                <c:pt idx="71">
                  <c:v>45363</c:v>
                </c:pt>
                <c:pt idx="72">
                  <c:v>45364</c:v>
                </c:pt>
                <c:pt idx="73">
                  <c:v>45365</c:v>
                </c:pt>
                <c:pt idx="74">
                  <c:v>45366</c:v>
                </c:pt>
                <c:pt idx="75">
                  <c:v>45367</c:v>
                </c:pt>
                <c:pt idx="76">
                  <c:v>45368</c:v>
                </c:pt>
                <c:pt idx="77">
                  <c:v>45369</c:v>
                </c:pt>
                <c:pt idx="78">
                  <c:v>45370</c:v>
                </c:pt>
                <c:pt idx="79">
                  <c:v>45371</c:v>
                </c:pt>
                <c:pt idx="80">
                  <c:v>45372</c:v>
                </c:pt>
                <c:pt idx="81">
                  <c:v>45373</c:v>
                </c:pt>
                <c:pt idx="82">
                  <c:v>45374</c:v>
                </c:pt>
                <c:pt idx="83">
                  <c:v>45375</c:v>
                </c:pt>
                <c:pt idx="84">
                  <c:v>45376</c:v>
                </c:pt>
                <c:pt idx="85">
                  <c:v>45377</c:v>
                </c:pt>
                <c:pt idx="86">
                  <c:v>45378</c:v>
                </c:pt>
                <c:pt idx="87">
                  <c:v>45379</c:v>
                </c:pt>
                <c:pt idx="88">
                  <c:v>45380</c:v>
                </c:pt>
                <c:pt idx="89">
                  <c:v>45381</c:v>
                </c:pt>
                <c:pt idx="90">
                  <c:v>45382</c:v>
                </c:pt>
                <c:pt idx="91">
                  <c:v>45383</c:v>
                </c:pt>
                <c:pt idx="92">
                  <c:v>45384</c:v>
                </c:pt>
                <c:pt idx="93">
                  <c:v>45385</c:v>
                </c:pt>
                <c:pt idx="94">
                  <c:v>45386</c:v>
                </c:pt>
                <c:pt idx="95">
                  <c:v>45387</c:v>
                </c:pt>
                <c:pt idx="96">
                  <c:v>45388</c:v>
                </c:pt>
                <c:pt idx="97">
                  <c:v>45389</c:v>
                </c:pt>
                <c:pt idx="98">
                  <c:v>45390</c:v>
                </c:pt>
                <c:pt idx="99">
                  <c:v>45391</c:v>
                </c:pt>
                <c:pt idx="100">
                  <c:v>45392</c:v>
                </c:pt>
                <c:pt idx="101">
                  <c:v>45393</c:v>
                </c:pt>
                <c:pt idx="102">
                  <c:v>45394</c:v>
                </c:pt>
                <c:pt idx="103">
                  <c:v>45395</c:v>
                </c:pt>
                <c:pt idx="104">
                  <c:v>45396</c:v>
                </c:pt>
                <c:pt idx="105">
                  <c:v>45397</c:v>
                </c:pt>
                <c:pt idx="106">
                  <c:v>45398</c:v>
                </c:pt>
                <c:pt idx="107">
                  <c:v>45399</c:v>
                </c:pt>
                <c:pt idx="108">
                  <c:v>45400</c:v>
                </c:pt>
                <c:pt idx="109">
                  <c:v>45401</c:v>
                </c:pt>
                <c:pt idx="110">
                  <c:v>45402</c:v>
                </c:pt>
                <c:pt idx="111">
                  <c:v>45403</c:v>
                </c:pt>
                <c:pt idx="112">
                  <c:v>45404</c:v>
                </c:pt>
                <c:pt idx="113">
                  <c:v>45405</c:v>
                </c:pt>
                <c:pt idx="114">
                  <c:v>45406</c:v>
                </c:pt>
                <c:pt idx="115">
                  <c:v>45407</c:v>
                </c:pt>
                <c:pt idx="116">
                  <c:v>45408</c:v>
                </c:pt>
                <c:pt idx="117">
                  <c:v>45409</c:v>
                </c:pt>
                <c:pt idx="118">
                  <c:v>45410</c:v>
                </c:pt>
                <c:pt idx="119">
                  <c:v>45411</c:v>
                </c:pt>
                <c:pt idx="120">
                  <c:v>45412</c:v>
                </c:pt>
                <c:pt idx="121">
                  <c:v>45413</c:v>
                </c:pt>
                <c:pt idx="122">
                  <c:v>45414</c:v>
                </c:pt>
                <c:pt idx="123">
                  <c:v>45415</c:v>
                </c:pt>
                <c:pt idx="124">
                  <c:v>45416</c:v>
                </c:pt>
                <c:pt idx="125">
                  <c:v>45417</c:v>
                </c:pt>
                <c:pt idx="126">
                  <c:v>45418</c:v>
                </c:pt>
                <c:pt idx="127">
                  <c:v>45419</c:v>
                </c:pt>
                <c:pt idx="128">
                  <c:v>45420</c:v>
                </c:pt>
                <c:pt idx="129">
                  <c:v>45421</c:v>
                </c:pt>
                <c:pt idx="130">
                  <c:v>45422</c:v>
                </c:pt>
                <c:pt idx="131">
                  <c:v>45423</c:v>
                </c:pt>
                <c:pt idx="132">
                  <c:v>45424</c:v>
                </c:pt>
                <c:pt idx="133">
                  <c:v>45425</c:v>
                </c:pt>
                <c:pt idx="134">
                  <c:v>45426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29.700190279596214</c:v>
                </c:pt>
                <c:pt idx="1">
                  <c:v>29.523140573754965</c:v>
                </c:pt>
                <c:pt idx="2">
                  <c:v>29.225519610472197</c:v>
                </c:pt>
                <c:pt idx="3">
                  <c:v>28.869494978868801</c:v>
                </c:pt>
                <c:pt idx="4">
                  <c:v>28.468810098882191</c:v>
                </c:pt>
                <c:pt idx="5">
                  <c:v>28.104404944695695</c:v>
                </c:pt>
                <c:pt idx="6">
                  <c:v>27.72066198304891</c:v>
                </c:pt>
                <c:pt idx="7">
                  <c:v>27.265295450117875</c:v>
                </c:pt>
                <c:pt idx="8">
                  <c:v>26.853956929104982</c:v>
                </c:pt>
                <c:pt idx="9">
                  <c:v>26.362215590214944</c:v>
                </c:pt>
                <c:pt idx="10">
                  <c:v>25.804376410264791</c:v>
                </c:pt>
                <c:pt idx="11">
                  <c:v>25.170272601783047</c:v>
                </c:pt>
                <c:pt idx="12">
                  <c:v>24.565959206144115</c:v>
                </c:pt>
                <c:pt idx="13">
                  <c:v>24.017412575668654</c:v>
                </c:pt>
                <c:pt idx="14">
                  <c:v>23.502892127238589</c:v>
                </c:pt>
                <c:pt idx="15">
                  <c:v>22.972625618409523</c:v>
                </c:pt>
                <c:pt idx="16">
                  <c:v>22.496853481239206</c:v>
                </c:pt>
                <c:pt idx="17">
                  <c:v>21.909147215710011</c:v>
                </c:pt>
                <c:pt idx="18">
                  <c:v>21.372983631471506</c:v>
                </c:pt>
                <c:pt idx="19">
                  <c:v>20.935021186776652</c:v>
                </c:pt>
                <c:pt idx="20">
                  <c:v>20.508534672865526</c:v>
                </c:pt>
                <c:pt idx="21">
                  <c:v>20.043484735097572</c:v>
                </c:pt>
                <c:pt idx="22">
                  <c:v>19.640340248192885</c:v>
                </c:pt>
                <c:pt idx="23">
                  <c:v>19.242723416641415</c:v>
                </c:pt>
                <c:pt idx="24">
                  <c:v>18.849395331202707</c:v>
                </c:pt>
                <c:pt idx="25">
                  <c:v>18.478770200771283</c:v>
                </c:pt>
                <c:pt idx="26">
                  <c:v>18.080194254750129</c:v>
                </c:pt>
                <c:pt idx="27">
                  <c:v>17.683296168256661</c:v>
                </c:pt>
                <c:pt idx="28">
                  <c:v>17.326702917151181</c:v>
                </c:pt>
                <c:pt idx="29">
                  <c:v>16.986193162043833</c:v>
                </c:pt>
                <c:pt idx="30">
                  <c:v>16.656134132669528</c:v>
                </c:pt>
                <c:pt idx="31">
                  <c:v>16.368534031906073</c:v>
                </c:pt>
                <c:pt idx="32">
                  <c:v>16.090308834508004</c:v>
                </c:pt>
                <c:pt idx="33">
                  <c:v>15.821260288738902</c:v>
                </c:pt>
                <c:pt idx="34">
                  <c:v>15.510084167356613</c:v>
                </c:pt>
                <c:pt idx="35">
                  <c:v>15.194801264737741</c:v>
                </c:pt>
                <c:pt idx="36">
                  <c:v>14.890432765991328</c:v>
                </c:pt>
                <c:pt idx="37">
                  <c:v>14.56388036865739</c:v>
                </c:pt>
                <c:pt idx="38">
                  <c:v>14.242351407653747</c:v>
                </c:pt>
                <c:pt idx="39">
                  <c:v>13.91375987524841</c:v>
                </c:pt>
                <c:pt idx="40">
                  <c:v>13.586098989973138</c:v>
                </c:pt>
                <c:pt idx="41">
                  <c:v>13.23624011439038</c:v>
                </c:pt>
                <c:pt idx="42">
                  <c:v>12.835547455190266</c:v>
                </c:pt>
                <c:pt idx="43">
                  <c:v>12.439579138285346</c:v>
                </c:pt>
                <c:pt idx="44">
                  <c:v>12.014826096335465</c:v>
                </c:pt>
                <c:pt idx="45">
                  <c:v>11.57220235219024</c:v>
                </c:pt>
                <c:pt idx="46">
                  <c:v>11.104150050663451</c:v>
                </c:pt>
                <c:pt idx="47">
                  <c:v>10.590929530372154</c:v>
                </c:pt>
                <c:pt idx="48">
                  <c:v>10.033788930474525</c:v>
                </c:pt>
                <c:pt idx="49">
                  <c:v>9.4873280251468639</c:v>
                </c:pt>
                <c:pt idx="50">
                  <c:v>8.9091492393266787</c:v>
                </c:pt>
                <c:pt idx="51">
                  <c:v>8.3179263360516575</c:v>
                </c:pt>
                <c:pt idx="52">
                  <c:v>7.7097369312304806</c:v>
                </c:pt>
                <c:pt idx="53">
                  <c:v>7.08043233329962</c:v>
                </c:pt>
                <c:pt idx="54">
                  <c:v>6.3950391681549963</c:v>
                </c:pt>
                <c:pt idx="55">
                  <c:v>5.7139025672631973</c:v>
                </c:pt>
                <c:pt idx="56">
                  <c:v>4.9949929771918802</c:v>
                </c:pt>
                <c:pt idx="57">
                  <c:v>4.2458749681972776</c:v>
                </c:pt>
                <c:pt idx="58">
                  <c:v>3.4693354090701805</c:v>
                </c:pt>
                <c:pt idx="59">
                  <c:v>2.6585722340153568</c:v>
                </c:pt>
                <c:pt idx="60">
                  <c:v>1.8207130035715551</c:v>
                </c:pt>
                <c:pt idx="61">
                  <c:v>0.96588556143220616</c:v>
                </c:pt>
                <c:pt idx="62">
                  <c:v>0.10763275177569898</c:v>
                </c:pt>
                <c:pt idx="63">
                  <c:v>-0.85660742586947136</c:v>
                </c:pt>
                <c:pt idx="64">
                  <c:v>-1.8638437197778215</c:v>
                </c:pt>
                <c:pt idx="65">
                  <c:v>-2.8456424019323023</c:v>
                </c:pt>
                <c:pt idx="66">
                  <c:v>-3.8827226958002061</c:v>
                </c:pt>
                <c:pt idx="67">
                  <c:v>-4.9098077613486133</c:v>
                </c:pt>
                <c:pt idx="68">
                  <c:v>-6.0584152178432218</c:v>
                </c:pt>
                <c:pt idx="69">
                  <c:v>-7.202148763821083</c:v>
                </c:pt>
                <c:pt idx="70">
                  <c:v>-8.3878926261818627</c:v>
                </c:pt>
                <c:pt idx="71">
                  <c:v>-9.6391472052795759</c:v>
                </c:pt>
                <c:pt idx="72">
                  <c:v>-10.908112637713932</c:v>
                </c:pt>
                <c:pt idx="73">
                  <c:v>-12.223721581070786</c:v>
                </c:pt>
                <c:pt idx="74">
                  <c:v>-13.585015746809816</c:v>
                </c:pt>
                <c:pt idx="75">
                  <c:v>-14.975257556728753</c:v>
                </c:pt>
                <c:pt idx="76">
                  <c:v>-16.308551266990001</c:v>
                </c:pt>
                <c:pt idx="77">
                  <c:v>-17.76407582651261</c:v>
                </c:pt>
                <c:pt idx="78">
                  <c:v>-19.341967716299436</c:v>
                </c:pt>
                <c:pt idx="79">
                  <c:v>-20.928322932941711</c:v>
                </c:pt>
                <c:pt idx="80">
                  <c:v>-22.519771072604513</c:v>
                </c:pt>
                <c:pt idx="81">
                  <c:v>-24.095832711299948</c:v>
                </c:pt>
                <c:pt idx="82">
                  <c:v>-25.728799985095733</c:v>
                </c:pt>
                <c:pt idx="83">
                  <c:v>-27.440262967394531</c:v>
                </c:pt>
                <c:pt idx="84">
                  <c:v>-29.102988953591606</c:v>
                </c:pt>
                <c:pt idx="85">
                  <c:v>-30.912889369005285</c:v>
                </c:pt>
                <c:pt idx="86">
                  <c:v>-32.827082447686372</c:v>
                </c:pt>
                <c:pt idx="87">
                  <c:v>-34.782012140789547</c:v>
                </c:pt>
                <c:pt idx="88">
                  <c:v>-36.790333463328466</c:v>
                </c:pt>
                <c:pt idx="89">
                  <c:v>-38.720048314650356</c:v>
                </c:pt>
                <c:pt idx="90">
                  <c:v>-40.610752373334527</c:v>
                </c:pt>
                <c:pt idx="91">
                  <c:v>-42.617047224394994</c:v>
                </c:pt>
                <c:pt idx="92">
                  <c:v>-44.601176574262169</c:v>
                </c:pt>
                <c:pt idx="93">
                  <c:v>-46.541804086040536</c:v>
                </c:pt>
                <c:pt idx="94">
                  <c:v>-48.476684042081445</c:v>
                </c:pt>
                <c:pt idx="95">
                  <c:v>-50.457570772213224</c:v>
                </c:pt>
                <c:pt idx="96">
                  <c:v>-52.442569595949998</c:v>
                </c:pt>
                <c:pt idx="97">
                  <c:v>-54.454503576092783</c:v>
                </c:pt>
                <c:pt idx="98">
                  <c:v>-56.397090407679592</c:v>
                </c:pt>
                <c:pt idx="99">
                  <c:v>-58.199673574473074</c:v>
                </c:pt>
                <c:pt idx="100">
                  <c:v>-60.056978591997115</c:v>
                </c:pt>
                <c:pt idx="101">
                  <c:v>-61.90422887928635</c:v>
                </c:pt>
                <c:pt idx="102">
                  <c:v>-63.838385306538903</c:v>
                </c:pt>
                <c:pt idx="103">
                  <c:v>-65.721774066018043</c:v>
                </c:pt>
                <c:pt idx="104">
                  <c:v>-67.777942570024862</c:v>
                </c:pt>
                <c:pt idx="105">
                  <c:v>-69.783939365362215</c:v>
                </c:pt>
                <c:pt idx="106">
                  <c:v>-71.835462724090235</c:v>
                </c:pt>
                <c:pt idx="107">
                  <c:v>-73.777386498006905</c:v>
                </c:pt>
                <c:pt idx="108">
                  <c:v>-75.744977811284102</c:v>
                </c:pt>
                <c:pt idx="109">
                  <c:v>-77.778309559171007</c:v>
                </c:pt>
                <c:pt idx="110">
                  <c:v>-79.661644652284707</c:v>
                </c:pt>
                <c:pt idx="111">
                  <c:v>-81.515814735637093</c:v>
                </c:pt>
                <c:pt idx="112">
                  <c:v>-83.470360533455221</c:v>
                </c:pt>
                <c:pt idx="113">
                  <c:v>-85.321024589987417</c:v>
                </c:pt>
                <c:pt idx="114">
                  <c:v>-87.257709704003986</c:v>
                </c:pt>
                <c:pt idx="115">
                  <c:v>-89.21789704779404</c:v>
                </c:pt>
                <c:pt idx="116">
                  <c:v>-91.189187200631139</c:v>
                </c:pt>
                <c:pt idx="117">
                  <c:v>-93.195587337187121</c:v>
                </c:pt>
                <c:pt idx="118">
                  <c:v>-94.956634199783835</c:v>
                </c:pt>
                <c:pt idx="119">
                  <c:v>-96.65565519910821</c:v>
                </c:pt>
                <c:pt idx="120">
                  <c:v>-98.289564478947383</c:v>
                </c:pt>
                <c:pt idx="121">
                  <c:v>-99.933633009851491</c:v>
                </c:pt>
                <c:pt idx="122">
                  <c:v>-101.56085022017524</c:v>
                </c:pt>
                <c:pt idx="123">
                  <c:v>-103.25828979068604</c:v>
                </c:pt>
                <c:pt idx="124">
                  <c:v>-104.93557685438498</c:v>
                </c:pt>
                <c:pt idx="125">
                  <c:v>-106.70936975418391</c:v>
                </c:pt>
                <c:pt idx="126">
                  <c:v>-108.39900358714559</c:v>
                </c:pt>
                <c:pt idx="127">
                  <c:v>-109.90127218538905</c:v>
                </c:pt>
                <c:pt idx="128">
                  <c:v>-111.41251023769445</c:v>
                </c:pt>
                <c:pt idx="129">
                  <c:v>-112.88203494892178</c:v>
                </c:pt>
                <c:pt idx="130">
                  <c:v>-114.38549808192528</c:v>
                </c:pt>
                <c:pt idx="131">
                  <c:v>-115.91745104740249</c:v>
                </c:pt>
                <c:pt idx="132">
                  <c:v>-117.33753541765859</c:v>
                </c:pt>
                <c:pt idx="133">
                  <c:v>-118.71911798925086</c:v>
                </c:pt>
                <c:pt idx="134">
                  <c:v>-120.02387373325078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0.22229985735588864</c:v>
                </c:pt>
                <c:pt idx="1">
                  <c:v>0.46607580013826899</c:v>
                </c:pt>
                <c:pt idx="2">
                  <c:v>0.70968642678793581</c:v>
                </c:pt>
                <c:pt idx="3">
                  <c:v>0.93868200051222717</c:v>
                </c:pt>
                <c:pt idx="4">
                  <c:v>1.1758850790509388</c:v>
                </c:pt>
                <c:pt idx="5">
                  <c:v>1.4141788622119811</c:v>
                </c:pt>
                <c:pt idx="6">
                  <c:v>1.6761080778793112</c:v>
                </c:pt>
                <c:pt idx="7">
                  <c:v>1.9383884237215063</c:v>
                </c:pt>
                <c:pt idx="8">
                  <c:v>2.1826699398554057</c:v>
                </c:pt>
                <c:pt idx="9">
                  <c:v>2.428851279106417</c:v>
                </c:pt>
                <c:pt idx="10">
                  <c:v>2.6888195597480062</c:v>
                </c:pt>
                <c:pt idx="11">
                  <c:v>2.9659405499175042</c:v>
                </c:pt>
                <c:pt idx="12">
                  <c:v>3.2460307974658673</c:v>
                </c:pt>
                <c:pt idx="13">
                  <c:v>3.5233159933475107</c:v>
                </c:pt>
                <c:pt idx="14">
                  <c:v>3.8087805530617822</c:v>
                </c:pt>
                <c:pt idx="15">
                  <c:v>4.0794168472014389</c:v>
                </c:pt>
                <c:pt idx="16">
                  <c:v>4.343812064179243</c:v>
                </c:pt>
                <c:pt idx="17">
                  <c:v>4.6333845319799014</c:v>
                </c:pt>
                <c:pt idx="18">
                  <c:v>4.9144637122168326</c:v>
                </c:pt>
                <c:pt idx="19">
                  <c:v>5.1658954418935661</c:v>
                </c:pt>
                <c:pt idx="20">
                  <c:v>5.4441948160303513</c:v>
                </c:pt>
                <c:pt idx="21">
                  <c:v>5.7428666271970874</c:v>
                </c:pt>
                <c:pt idx="22">
                  <c:v>6.0152577580032265</c:v>
                </c:pt>
                <c:pt idx="23">
                  <c:v>6.2819075304741565</c:v>
                </c:pt>
                <c:pt idx="24">
                  <c:v>6.5463337151136223</c:v>
                </c:pt>
                <c:pt idx="25">
                  <c:v>6.8038746640186423</c:v>
                </c:pt>
                <c:pt idx="26">
                  <c:v>7.064819650223396</c:v>
                </c:pt>
                <c:pt idx="27">
                  <c:v>7.3387284767801075</c:v>
                </c:pt>
                <c:pt idx="28">
                  <c:v>7.6146556914553889</c:v>
                </c:pt>
                <c:pt idx="29">
                  <c:v>7.8978491638998589</c:v>
                </c:pt>
                <c:pt idx="30">
                  <c:v>8.1814227758419698</c:v>
                </c:pt>
                <c:pt idx="31">
                  <c:v>8.4475975088936011</c:v>
                </c:pt>
                <c:pt idx="32">
                  <c:v>8.6934015240113816</c:v>
                </c:pt>
                <c:pt idx="33">
                  <c:v>8.9336686300470145</c:v>
                </c:pt>
                <c:pt idx="34">
                  <c:v>9.2068714216317193</c:v>
                </c:pt>
                <c:pt idx="35">
                  <c:v>9.4478706141339153</c:v>
                </c:pt>
                <c:pt idx="36">
                  <c:v>9.6933272777317825</c:v>
                </c:pt>
                <c:pt idx="37">
                  <c:v>9.9408101901575723</c:v>
                </c:pt>
                <c:pt idx="38">
                  <c:v>10.191074030587396</c:v>
                </c:pt>
                <c:pt idx="39">
                  <c:v>10.442069465282193</c:v>
                </c:pt>
                <c:pt idx="40">
                  <c:v>10.689042419803506</c:v>
                </c:pt>
                <c:pt idx="41">
                  <c:v>10.947345219383575</c:v>
                </c:pt>
                <c:pt idx="42">
                  <c:v>11.219775508105318</c:v>
                </c:pt>
                <c:pt idx="43">
                  <c:v>11.462965996813086</c:v>
                </c:pt>
                <c:pt idx="44">
                  <c:v>11.701666667212276</c:v>
                </c:pt>
                <c:pt idx="45">
                  <c:v>11.935610779919362</c:v>
                </c:pt>
                <c:pt idx="46">
                  <c:v>12.179444968437096</c:v>
                </c:pt>
                <c:pt idx="47">
                  <c:v>12.444850494974769</c:v>
                </c:pt>
                <c:pt idx="48">
                  <c:v>12.721792826166382</c:v>
                </c:pt>
                <c:pt idx="49">
                  <c:v>12.982280535318333</c:v>
                </c:pt>
                <c:pt idx="50">
                  <c:v>13.241564046018263</c:v>
                </c:pt>
                <c:pt idx="51">
                  <c:v>13.498004994418014</c:v>
                </c:pt>
                <c:pt idx="52">
                  <c:v>13.748891458216184</c:v>
                </c:pt>
                <c:pt idx="53">
                  <c:v>13.995864860535804</c:v>
                </c:pt>
                <c:pt idx="54">
                  <c:v>14.257884184845032</c:v>
                </c:pt>
                <c:pt idx="55">
                  <c:v>14.504171572702212</c:v>
                </c:pt>
                <c:pt idx="56">
                  <c:v>14.753391040371236</c:v>
                </c:pt>
                <c:pt idx="57">
                  <c:v>15.00227071225116</c:v>
                </c:pt>
                <c:pt idx="58">
                  <c:v>15.248800326407281</c:v>
                </c:pt>
                <c:pt idx="59">
                  <c:v>15.495201251473386</c:v>
                </c:pt>
                <c:pt idx="60">
                  <c:v>15.73803213596188</c:v>
                </c:pt>
                <c:pt idx="61">
                  <c:v>15.976896954543182</c:v>
                </c:pt>
                <c:pt idx="62">
                  <c:v>16.207032939042431</c:v>
                </c:pt>
                <c:pt idx="63">
                  <c:v>16.465730938615515</c:v>
                </c:pt>
                <c:pt idx="64">
                  <c:v>16.723336385687698</c:v>
                </c:pt>
                <c:pt idx="65">
                  <c:v>16.958349785897681</c:v>
                </c:pt>
                <c:pt idx="66">
                  <c:v>17.197511542245248</c:v>
                </c:pt>
                <c:pt idx="67">
                  <c:v>17.420895323332775</c:v>
                </c:pt>
                <c:pt idx="68">
                  <c:v>17.667632697413964</c:v>
                </c:pt>
                <c:pt idx="69">
                  <c:v>17.903038662044086</c:v>
                </c:pt>
                <c:pt idx="70">
                  <c:v>18.145663942970181</c:v>
                </c:pt>
                <c:pt idx="71">
                  <c:v>18.400599376213997</c:v>
                </c:pt>
                <c:pt idx="72">
                  <c:v>18.652211492906638</c:v>
                </c:pt>
                <c:pt idx="73">
                  <c:v>18.898180991874202</c:v>
                </c:pt>
                <c:pt idx="74">
                  <c:v>19.143296875913034</c:v>
                </c:pt>
                <c:pt idx="75">
                  <c:v>19.384383015027176</c:v>
                </c:pt>
                <c:pt idx="76">
                  <c:v>19.605730497860019</c:v>
                </c:pt>
                <c:pt idx="77">
                  <c:v>19.841598534009886</c:v>
                </c:pt>
                <c:pt idx="78">
                  <c:v>20.088503177605769</c:v>
                </c:pt>
                <c:pt idx="79">
                  <c:v>20.324862795423346</c:v>
                </c:pt>
                <c:pt idx="80">
                  <c:v>20.551825815577242</c:v>
                </c:pt>
                <c:pt idx="81">
                  <c:v>20.771909247429043</c:v>
                </c:pt>
                <c:pt idx="82">
                  <c:v>20.992358291972856</c:v>
                </c:pt>
                <c:pt idx="83">
                  <c:v>21.221705180152561</c:v>
                </c:pt>
                <c:pt idx="84">
                  <c:v>21.431327968862149</c:v>
                </c:pt>
                <c:pt idx="85">
                  <c:v>21.655717162057257</c:v>
                </c:pt>
                <c:pt idx="86">
                  <c:v>21.887180295940905</c:v>
                </c:pt>
                <c:pt idx="87">
                  <c:v>22.11646033767439</c:v>
                </c:pt>
                <c:pt idx="88">
                  <c:v>22.354181436279319</c:v>
                </c:pt>
                <c:pt idx="89">
                  <c:v>22.576440381718079</c:v>
                </c:pt>
                <c:pt idx="90">
                  <c:v>22.786405063691088</c:v>
                </c:pt>
                <c:pt idx="91">
                  <c:v>23.004618715841595</c:v>
                </c:pt>
                <c:pt idx="92">
                  <c:v>23.215736065820092</c:v>
                </c:pt>
                <c:pt idx="93">
                  <c:v>23.418862855719173</c:v>
                </c:pt>
                <c:pt idx="94">
                  <c:v>23.617382062847387</c:v>
                </c:pt>
                <c:pt idx="95">
                  <c:v>23.822041059814062</c:v>
                </c:pt>
                <c:pt idx="96">
                  <c:v>24.03374845301375</c:v>
                </c:pt>
                <c:pt idx="97">
                  <c:v>24.247872263704519</c:v>
                </c:pt>
                <c:pt idx="98">
                  <c:v>24.456377927826509</c:v>
                </c:pt>
                <c:pt idx="99">
                  <c:v>24.647480957528032</c:v>
                </c:pt>
                <c:pt idx="100">
                  <c:v>24.840786970007283</c:v>
                </c:pt>
                <c:pt idx="101">
                  <c:v>25.031363435914457</c:v>
                </c:pt>
                <c:pt idx="102">
                  <c:v>25.228263577728605</c:v>
                </c:pt>
                <c:pt idx="103">
                  <c:v>25.415855013901524</c:v>
                </c:pt>
                <c:pt idx="104">
                  <c:v>25.615321941040225</c:v>
                </c:pt>
                <c:pt idx="105">
                  <c:v>25.806222981706476</c:v>
                </c:pt>
                <c:pt idx="106">
                  <c:v>26.001705658034123</c:v>
                </c:pt>
                <c:pt idx="107">
                  <c:v>26.183387423555313</c:v>
                </c:pt>
                <c:pt idx="108">
                  <c:v>26.364455744772389</c:v>
                </c:pt>
                <c:pt idx="109">
                  <c:v>26.552515349675677</c:v>
                </c:pt>
                <c:pt idx="110">
                  <c:v>26.726071171849089</c:v>
                </c:pt>
                <c:pt idx="111">
                  <c:v>26.89413694236735</c:v>
                </c:pt>
                <c:pt idx="112">
                  <c:v>27.069425812348243</c:v>
                </c:pt>
                <c:pt idx="113">
                  <c:v>27.236563204434074</c:v>
                </c:pt>
                <c:pt idx="114">
                  <c:v>27.413640032598142</c:v>
                </c:pt>
                <c:pt idx="115">
                  <c:v>27.589541576295737</c:v>
                </c:pt>
                <c:pt idx="116">
                  <c:v>27.769252275768856</c:v>
                </c:pt>
                <c:pt idx="117">
                  <c:v>27.956945255975352</c:v>
                </c:pt>
                <c:pt idx="118">
                  <c:v>28.138064003044683</c:v>
                </c:pt>
                <c:pt idx="119">
                  <c:v>28.318153740379092</c:v>
                </c:pt>
                <c:pt idx="120">
                  <c:v>28.489967194751522</c:v>
                </c:pt>
                <c:pt idx="121">
                  <c:v>28.661408446507156</c:v>
                </c:pt>
                <c:pt idx="122">
                  <c:v>28.828883429918911</c:v>
                </c:pt>
                <c:pt idx="123">
                  <c:v>29.005493054862459</c:v>
                </c:pt>
                <c:pt idx="124">
                  <c:v>29.179557517202795</c:v>
                </c:pt>
                <c:pt idx="125">
                  <c:v>29.374020410278959</c:v>
                </c:pt>
                <c:pt idx="126">
                  <c:v>29.558277342561492</c:v>
                </c:pt>
                <c:pt idx="127">
                  <c:v>29.729811530530679</c:v>
                </c:pt>
                <c:pt idx="128">
                  <c:v>29.900662209582151</c:v>
                </c:pt>
                <c:pt idx="129">
                  <c:v>30.071565945855816</c:v>
                </c:pt>
                <c:pt idx="130">
                  <c:v>30.245317897303071</c:v>
                </c:pt>
                <c:pt idx="131">
                  <c:v>30.425875262455083</c:v>
                </c:pt>
                <c:pt idx="132">
                  <c:v>30.593932365423232</c:v>
                </c:pt>
                <c:pt idx="133">
                  <c:v>30.760357061383782</c:v>
                </c:pt>
                <c:pt idx="134">
                  <c:v>30.919882309560471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-0.31271099654285273</c:v>
                </c:pt>
                <c:pt idx="2">
                  <c:v>-0.73353664516648109</c:v>
                </c:pt>
                <c:pt idx="3">
                  <c:v>-1.2747682350989127</c:v>
                </c:pt>
                <c:pt idx="4">
                  <c:v>-1.8597884404265983</c:v>
                </c:pt>
                <c:pt idx="5">
                  <c:v>-2.4976763989519206</c:v>
                </c:pt>
                <c:pt idx="6">
                  <c:v>-3.1003753362994591</c:v>
                </c:pt>
                <c:pt idx="7">
                  <c:v>-3.7460475136135738</c:v>
                </c:pt>
                <c:pt idx="8">
                  <c:v>-4.4636943923868042</c:v>
                </c:pt>
                <c:pt idx="9">
                  <c:v>-5.1193144295335955</c:v>
                </c:pt>
                <c:pt idx="10">
                  <c:v>-5.8572371076746457</c:v>
                </c:pt>
                <c:pt idx="11">
                  <c:v>-6.6750445682663901</c:v>
                </c:pt>
                <c:pt idx="12">
                  <c:v>-7.5862693669176284</c:v>
                </c:pt>
                <c:pt idx="13">
                  <c:v>-8.470673010104921</c:v>
                </c:pt>
                <c:pt idx="14">
                  <c:v>-9.2965048364620237</c:v>
                </c:pt>
                <c:pt idx="15">
                  <c:v>-10.09648984460636</c:v>
                </c:pt>
                <c:pt idx="16">
                  <c:v>-10.807159920477691</c:v>
                </c:pt>
                <c:pt idx="17">
                  <c:v>-11.452559422267345</c:v>
                </c:pt>
                <c:pt idx="18">
                  <c:v>-12.226100402104368</c:v>
                </c:pt>
                <c:pt idx="19">
                  <c:v>-12.935127671487248</c:v>
                </c:pt>
                <c:pt idx="20">
                  <c:v>-13.51768479140841</c:v>
                </c:pt>
                <c:pt idx="21">
                  <c:v>-14.09866388770439</c:v>
                </c:pt>
                <c:pt idx="22">
                  <c:v>-14.725279257470429</c:v>
                </c:pt>
                <c:pt idx="23">
                  <c:v>-15.263994482795486</c:v>
                </c:pt>
                <c:pt idx="24">
                  <c:v>-15.786431110221141</c:v>
                </c:pt>
                <c:pt idx="25">
                  <c:v>-16.295660187521474</c:v>
                </c:pt>
                <c:pt idx="26">
                  <c:v>-16.769452527664942</c:v>
                </c:pt>
                <c:pt idx="27">
                  <c:v>-17.267081603439099</c:v>
                </c:pt>
                <c:pt idx="28">
                  <c:v>-17.75948065266218</c:v>
                </c:pt>
                <c:pt idx="29">
                  <c:v>-18.198374176638143</c:v>
                </c:pt>
                <c:pt idx="30">
                  <c:v>-18.610698950978101</c:v>
                </c:pt>
                <c:pt idx="31">
                  <c:v>-18.998661344311145</c:v>
                </c:pt>
                <c:pt idx="32">
                  <c:v>-19.320827347750505</c:v>
                </c:pt>
                <c:pt idx="33">
                  <c:v>-19.614460523240712</c:v>
                </c:pt>
                <c:pt idx="34">
                  <c:v>-19.883604378038452</c:v>
                </c:pt>
                <c:pt idx="35">
                  <c:v>-20.189623866297364</c:v>
                </c:pt>
                <c:pt idx="36">
                  <c:v>-20.482097251630361</c:v>
                </c:pt>
                <c:pt idx="37">
                  <c:v>-20.745989208232917</c:v>
                </c:pt>
                <c:pt idx="38">
                  <c:v>-21.018740360587547</c:v>
                </c:pt>
                <c:pt idx="39">
                  <c:v>-21.266423154551617</c:v>
                </c:pt>
                <c:pt idx="40">
                  <c:v>-21.501964478317046</c:v>
                </c:pt>
                <c:pt idx="41">
                  <c:v>-21.715530048605189</c:v>
                </c:pt>
                <c:pt idx="42">
                  <c:v>-21.928476535123966</c:v>
                </c:pt>
                <c:pt idx="43">
                  <c:v>-22.171993212205681</c:v>
                </c:pt>
                <c:pt idx="44">
                  <c:v>-22.397619057113442</c:v>
                </c:pt>
                <c:pt idx="45">
                  <c:v>-22.63969693853609</c:v>
                </c:pt>
                <c:pt idx="46">
                  <c:v>-22.885541901012207</c:v>
                </c:pt>
                <c:pt idx="47">
                  <c:v>-23.128519509995275</c:v>
                </c:pt>
                <c:pt idx="48">
                  <c:v>-23.379172324044777</c:v>
                </c:pt>
                <c:pt idx="49">
                  <c:v>-23.643122665505746</c:v>
                </c:pt>
                <c:pt idx="50">
                  <c:v>-23.868959559817917</c:v>
                </c:pt>
                <c:pt idx="51">
                  <c:v>-24.106806963706031</c:v>
                </c:pt>
                <c:pt idx="52">
                  <c:v>-24.322462910879889</c:v>
                </c:pt>
                <c:pt idx="53">
                  <c:v>-24.529794407659541</c:v>
                </c:pt>
                <c:pt idx="54">
                  <c:v>-24.734628154635754</c:v>
                </c:pt>
                <c:pt idx="55">
                  <c:v>-24.947004788803607</c:v>
                </c:pt>
                <c:pt idx="56">
                  <c:v>-25.130165460347872</c:v>
                </c:pt>
                <c:pt idx="57">
                  <c:v>-25.318184823144723</c:v>
                </c:pt>
                <c:pt idx="58">
                  <c:v>-25.497782502489944</c:v>
                </c:pt>
                <c:pt idx="59">
                  <c:v>-25.670697137825474</c:v>
                </c:pt>
                <c:pt idx="60">
                  <c:v>-25.827928112490515</c:v>
                </c:pt>
                <c:pt idx="61">
                  <c:v>-25.983894764845783</c:v>
                </c:pt>
                <c:pt idx="62">
                  <c:v>-26.157319057812597</c:v>
                </c:pt>
                <c:pt idx="63">
                  <c:v>-26.325383176919896</c:v>
                </c:pt>
                <c:pt idx="64">
                  <c:v>-26.513046476528149</c:v>
                </c:pt>
                <c:pt idx="65">
                  <c:v>-26.681715057822391</c:v>
                </c:pt>
                <c:pt idx="66">
                  <c:v>-26.826262714697268</c:v>
                </c:pt>
                <c:pt idx="67">
                  <c:v>-26.963714916471229</c:v>
                </c:pt>
                <c:pt idx="68">
                  <c:v>-27.084471013420657</c:v>
                </c:pt>
                <c:pt idx="69">
                  <c:v>-27.21229512537737</c:v>
                </c:pt>
                <c:pt idx="70">
                  <c:v>-27.334742056018502</c:v>
                </c:pt>
                <c:pt idx="71">
                  <c:v>-27.467537167319779</c:v>
                </c:pt>
                <c:pt idx="72">
                  <c:v>-27.607237234149881</c:v>
                </c:pt>
                <c:pt idx="73">
                  <c:v>-27.741027280283848</c:v>
                </c:pt>
                <c:pt idx="74">
                  <c:v>-27.857601322006314</c:v>
                </c:pt>
                <c:pt idx="75">
                  <c:v>-27.96619236066201</c:v>
                </c:pt>
                <c:pt idx="76">
                  <c:v>-28.066957979501542</c:v>
                </c:pt>
                <c:pt idx="77">
                  <c:v>-28.156997746596144</c:v>
                </c:pt>
                <c:pt idx="78">
                  <c:v>-28.244688391645884</c:v>
                </c:pt>
                <c:pt idx="79">
                  <c:v>-28.32672043244337</c:v>
                </c:pt>
                <c:pt idx="80">
                  <c:v>-28.39923147389101</c:v>
                </c:pt>
                <c:pt idx="81">
                  <c:v>-28.464160787281426</c:v>
                </c:pt>
                <c:pt idx="82">
                  <c:v>-28.526587836452993</c:v>
                </c:pt>
                <c:pt idx="83">
                  <c:v>-28.58398712698266</c:v>
                </c:pt>
                <c:pt idx="84">
                  <c:v>-28.641553465203049</c:v>
                </c:pt>
                <c:pt idx="85">
                  <c:v>-28.688684599285391</c:v>
                </c:pt>
                <c:pt idx="86">
                  <c:v>-28.734530394877464</c:v>
                </c:pt>
                <c:pt idx="87">
                  <c:v>-28.777352869913532</c:v>
                </c:pt>
                <c:pt idx="88">
                  <c:v>-28.816253875181015</c:v>
                </c:pt>
                <c:pt idx="89">
                  <c:v>-28.856624710687431</c:v>
                </c:pt>
                <c:pt idx="90">
                  <c:v>-28.892376658132743</c:v>
                </c:pt>
                <c:pt idx="91">
                  <c:v>-28.922916936063164</c:v>
                </c:pt>
                <c:pt idx="92">
                  <c:v>-28.95078688813555</c:v>
                </c:pt>
                <c:pt idx="93">
                  <c:v>-28.975450564883435</c:v>
                </c:pt>
                <c:pt idx="94">
                  <c:v>-28.997316953019936</c:v>
                </c:pt>
                <c:pt idx="95">
                  <c:v>-29.016343474767009</c:v>
                </c:pt>
                <c:pt idx="96">
                  <c:v>-29.034225263050008</c:v>
                </c:pt>
                <c:pt idx="97">
                  <c:v>-29.051319552439882</c:v>
                </c:pt>
                <c:pt idx="98">
                  <c:v>-29.065597394991595</c:v>
                </c:pt>
                <c:pt idx="99">
                  <c:v>-29.076879612879235</c:v>
                </c:pt>
                <c:pt idx="100">
                  <c:v>-29.084569112827392</c:v>
                </c:pt>
                <c:pt idx="101">
                  <c:v>-29.089431947328908</c:v>
                </c:pt>
                <c:pt idx="102">
                  <c:v>-29.09162888480758</c:v>
                </c:pt>
                <c:pt idx="103">
                  <c:v>-29.091290843575781</c:v>
                </c:pt>
                <c:pt idx="104">
                  <c:v>-29.088686412291135</c:v>
                </c:pt>
                <c:pt idx="105">
                  <c:v>-29.083971587403443</c:v>
                </c:pt>
                <c:pt idx="106">
                  <c:v>-29.077603939603566</c:v>
                </c:pt>
                <c:pt idx="107">
                  <c:v>-29.069212884866378</c:v>
                </c:pt>
                <c:pt idx="108">
                  <c:v>-29.059771945933694</c:v>
                </c:pt>
                <c:pt idx="109">
                  <c:v>-29.049200689778655</c:v>
                </c:pt>
                <c:pt idx="110">
                  <c:v>-29.036764358749753</c:v>
                </c:pt>
                <c:pt idx="111">
                  <c:v>-29.023598687963645</c:v>
                </c:pt>
                <c:pt idx="112">
                  <c:v>-29.010024113665043</c:v>
                </c:pt>
                <c:pt idx="113">
                  <c:v>-28.995430894020455</c:v>
                </c:pt>
                <c:pt idx="114">
                  <c:v>-28.979970703092935</c:v>
                </c:pt>
                <c:pt idx="115">
                  <c:v>-28.962450746760023</c:v>
                </c:pt>
                <c:pt idx="116">
                  <c:v>-28.94499033328842</c:v>
                </c:pt>
                <c:pt idx="117">
                  <c:v>-28.925718488661477</c:v>
                </c:pt>
                <c:pt idx="118">
                  <c:v>-28.903770999956681</c:v>
                </c:pt>
                <c:pt idx="119">
                  <c:v>-28.876757639102767</c:v>
                </c:pt>
                <c:pt idx="120">
                  <c:v>-28.847323359798484</c:v>
                </c:pt>
                <c:pt idx="121">
                  <c:v>-28.818004550511514</c:v>
                </c:pt>
                <c:pt idx="122">
                  <c:v>-28.788099592182792</c:v>
                </c:pt>
                <c:pt idx="123">
                  <c:v>-28.758504059783437</c:v>
                </c:pt>
                <c:pt idx="124">
                  <c:v>-28.726529807835025</c:v>
                </c:pt>
                <c:pt idx="125">
                  <c:v>-28.694435396656782</c:v>
                </c:pt>
                <c:pt idx="126">
                  <c:v>-28.656062139128981</c:v>
                </c:pt>
                <c:pt idx="127">
                  <c:v>-28.618750310791778</c:v>
                </c:pt>
                <c:pt idx="128">
                  <c:v>-28.580304913438308</c:v>
                </c:pt>
                <c:pt idx="129">
                  <c:v>-28.542064075715391</c:v>
                </c:pt>
                <c:pt idx="130">
                  <c:v>-28.50193775681031</c:v>
                </c:pt>
                <c:pt idx="131">
                  <c:v>-28.461454389097202</c:v>
                </c:pt>
                <c:pt idx="132">
                  <c:v>-28.418563201660223</c:v>
                </c:pt>
                <c:pt idx="133">
                  <c:v>-28.377558187215978</c:v>
                </c:pt>
                <c:pt idx="134">
                  <c:v>-28.335865740954393</c:v>
                </c:pt>
                <c:pt idx="135">
                  <c:v>-28.294761886391161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45124</c:v>
                </c:pt>
                <c:pt idx="1">
                  <c:v>45125</c:v>
                </c:pt>
                <c:pt idx="2">
                  <c:v>45126</c:v>
                </c:pt>
                <c:pt idx="3">
                  <c:v>45127</c:v>
                </c:pt>
                <c:pt idx="4">
                  <c:v>45128</c:v>
                </c:pt>
                <c:pt idx="5">
                  <c:v>45129</c:v>
                </c:pt>
                <c:pt idx="6">
                  <c:v>45130</c:v>
                </c:pt>
                <c:pt idx="7">
                  <c:v>45131</c:v>
                </c:pt>
                <c:pt idx="8">
                  <c:v>45132</c:v>
                </c:pt>
                <c:pt idx="9">
                  <c:v>45133</c:v>
                </c:pt>
                <c:pt idx="10">
                  <c:v>45134</c:v>
                </c:pt>
                <c:pt idx="11">
                  <c:v>45135</c:v>
                </c:pt>
                <c:pt idx="12">
                  <c:v>45136</c:v>
                </c:pt>
                <c:pt idx="13">
                  <c:v>45137</c:v>
                </c:pt>
                <c:pt idx="14">
                  <c:v>45138</c:v>
                </c:pt>
                <c:pt idx="15">
                  <c:v>45139</c:v>
                </c:pt>
                <c:pt idx="16">
                  <c:v>45140</c:v>
                </c:pt>
                <c:pt idx="17">
                  <c:v>45141</c:v>
                </c:pt>
                <c:pt idx="18">
                  <c:v>45142</c:v>
                </c:pt>
                <c:pt idx="19">
                  <c:v>45143</c:v>
                </c:pt>
                <c:pt idx="20">
                  <c:v>45144</c:v>
                </c:pt>
                <c:pt idx="21">
                  <c:v>45145</c:v>
                </c:pt>
                <c:pt idx="22">
                  <c:v>45146</c:v>
                </c:pt>
                <c:pt idx="23">
                  <c:v>45147</c:v>
                </c:pt>
                <c:pt idx="24">
                  <c:v>45148</c:v>
                </c:pt>
                <c:pt idx="25">
                  <c:v>45149</c:v>
                </c:pt>
                <c:pt idx="26">
                  <c:v>45150</c:v>
                </c:pt>
                <c:pt idx="27">
                  <c:v>45151</c:v>
                </c:pt>
                <c:pt idx="28">
                  <c:v>45152</c:v>
                </c:pt>
                <c:pt idx="29">
                  <c:v>45153</c:v>
                </c:pt>
                <c:pt idx="30">
                  <c:v>45154</c:v>
                </c:pt>
                <c:pt idx="31">
                  <c:v>45155</c:v>
                </c:pt>
                <c:pt idx="32">
                  <c:v>45156</c:v>
                </c:pt>
                <c:pt idx="33">
                  <c:v>45157</c:v>
                </c:pt>
                <c:pt idx="34">
                  <c:v>45158</c:v>
                </c:pt>
                <c:pt idx="35">
                  <c:v>45159</c:v>
                </c:pt>
                <c:pt idx="36">
                  <c:v>45160</c:v>
                </c:pt>
                <c:pt idx="37">
                  <c:v>45161</c:v>
                </c:pt>
                <c:pt idx="38">
                  <c:v>45162</c:v>
                </c:pt>
                <c:pt idx="39">
                  <c:v>45163</c:v>
                </c:pt>
                <c:pt idx="40">
                  <c:v>45164</c:v>
                </c:pt>
                <c:pt idx="41">
                  <c:v>45165</c:v>
                </c:pt>
                <c:pt idx="42">
                  <c:v>45166</c:v>
                </c:pt>
                <c:pt idx="43">
                  <c:v>45167</c:v>
                </c:pt>
                <c:pt idx="44">
                  <c:v>45168</c:v>
                </c:pt>
                <c:pt idx="45">
                  <c:v>45169</c:v>
                </c:pt>
                <c:pt idx="46">
                  <c:v>45170</c:v>
                </c:pt>
                <c:pt idx="47">
                  <c:v>45171</c:v>
                </c:pt>
                <c:pt idx="48">
                  <c:v>45172</c:v>
                </c:pt>
                <c:pt idx="49">
                  <c:v>45173</c:v>
                </c:pt>
                <c:pt idx="50">
                  <c:v>45174</c:v>
                </c:pt>
                <c:pt idx="51">
                  <c:v>45175</c:v>
                </c:pt>
                <c:pt idx="52">
                  <c:v>45176</c:v>
                </c:pt>
                <c:pt idx="53">
                  <c:v>45177</c:v>
                </c:pt>
                <c:pt idx="54">
                  <c:v>45178</c:v>
                </c:pt>
                <c:pt idx="55">
                  <c:v>45179</c:v>
                </c:pt>
                <c:pt idx="56">
                  <c:v>45180</c:v>
                </c:pt>
                <c:pt idx="57">
                  <c:v>45181</c:v>
                </c:pt>
                <c:pt idx="58">
                  <c:v>45182</c:v>
                </c:pt>
                <c:pt idx="59">
                  <c:v>45183</c:v>
                </c:pt>
                <c:pt idx="60">
                  <c:v>45184</c:v>
                </c:pt>
                <c:pt idx="61">
                  <c:v>45185</c:v>
                </c:pt>
                <c:pt idx="62">
                  <c:v>45186</c:v>
                </c:pt>
                <c:pt idx="63">
                  <c:v>45187</c:v>
                </c:pt>
                <c:pt idx="64">
                  <c:v>45188</c:v>
                </c:pt>
                <c:pt idx="65">
                  <c:v>45189</c:v>
                </c:pt>
                <c:pt idx="66">
                  <c:v>45190</c:v>
                </c:pt>
                <c:pt idx="67">
                  <c:v>45191</c:v>
                </c:pt>
                <c:pt idx="68">
                  <c:v>45192</c:v>
                </c:pt>
                <c:pt idx="69">
                  <c:v>45193</c:v>
                </c:pt>
                <c:pt idx="70">
                  <c:v>45194</c:v>
                </c:pt>
                <c:pt idx="71">
                  <c:v>45195</c:v>
                </c:pt>
                <c:pt idx="72">
                  <c:v>45196</c:v>
                </c:pt>
                <c:pt idx="73">
                  <c:v>45197</c:v>
                </c:pt>
                <c:pt idx="74">
                  <c:v>45198</c:v>
                </c:pt>
                <c:pt idx="75">
                  <c:v>45199</c:v>
                </c:pt>
                <c:pt idx="76">
                  <c:v>45200</c:v>
                </c:pt>
                <c:pt idx="77">
                  <c:v>45201</c:v>
                </c:pt>
                <c:pt idx="78">
                  <c:v>45202</c:v>
                </c:pt>
                <c:pt idx="79">
                  <c:v>45203</c:v>
                </c:pt>
                <c:pt idx="80">
                  <c:v>45204</c:v>
                </c:pt>
                <c:pt idx="81">
                  <c:v>45205</c:v>
                </c:pt>
                <c:pt idx="82">
                  <c:v>45206</c:v>
                </c:pt>
                <c:pt idx="83">
                  <c:v>45207</c:v>
                </c:pt>
                <c:pt idx="84">
                  <c:v>45208</c:v>
                </c:pt>
                <c:pt idx="85">
                  <c:v>45209</c:v>
                </c:pt>
                <c:pt idx="86">
                  <c:v>45210</c:v>
                </c:pt>
                <c:pt idx="87">
                  <c:v>45211</c:v>
                </c:pt>
                <c:pt idx="88">
                  <c:v>45212</c:v>
                </c:pt>
                <c:pt idx="89">
                  <c:v>45213</c:v>
                </c:pt>
                <c:pt idx="90">
                  <c:v>45214</c:v>
                </c:pt>
                <c:pt idx="91">
                  <c:v>45215</c:v>
                </c:pt>
                <c:pt idx="92">
                  <c:v>45216</c:v>
                </c:pt>
                <c:pt idx="93">
                  <c:v>45217</c:v>
                </c:pt>
                <c:pt idx="94">
                  <c:v>45218</c:v>
                </c:pt>
                <c:pt idx="95">
                  <c:v>45219</c:v>
                </c:pt>
                <c:pt idx="96">
                  <c:v>45220</c:v>
                </c:pt>
                <c:pt idx="97">
                  <c:v>45221</c:v>
                </c:pt>
                <c:pt idx="98">
                  <c:v>45222</c:v>
                </c:pt>
                <c:pt idx="99">
                  <c:v>45223</c:v>
                </c:pt>
                <c:pt idx="100">
                  <c:v>45224</c:v>
                </c:pt>
                <c:pt idx="101">
                  <c:v>45225</c:v>
                </c:pt>
                <c:pt idx="102">
                  <c:v>45226</c:v>
                </c:pt>
                <c:pt idx="103">
                  <c:v>45227</c:v>
                </c:pt>
                <c:pt idx="104">
                  <c:v>45228</c:v>
                </c:pt>
                <c:pt idx="105">
                  <c:v>45229</c:v>
                </c:pt>
                <c:pt idx="106">
                  <c:v>45230</c:v>
                </c:pt>
                <c:pt idx="107">
                  <c:v>45231</c:v>
                </c:pt>
                <c:pt idx="108">
                  <c:v>45232</c:v>
                </c:pt>
                <c:pt idx="109">
                  <c:v>45233</c:v>
                </c:pt>
                <c:pt idx="110">
                  <c:v>45234</c:v>
                </c:pt>
                <c:pt idx="111">
                  <c:v>45235</c:v>
                </c:pt>
                <c:pt idx="112">
                  <c:v>45236</c:v>
                </c:pt>
                <c:pt idx="113">
                  <c:v>45237</c:v>
                </c:pt>
                <c:pt idx="114">
                  <c:v>45238</c:v>
                </c:pt>
                <c:pt idx="115">
                  <c:v>45239</c:v>
                </c:pt>
                <c:pt idx="116">
                  <c:v>45240</c:v>
                </c:pt>
                <c:pt idx="117">
                  <c:v>45241</c:v>
                </c:pt>
                <c:pt idx="118">
                  <c:v>45242</c:v>
                </c:pt>
                <c:pt idx="119">
                  <c:v>45243</c:v>
                </c:pt>
                <c:pt idx="120">
                  <c:v>45244</c:v>
                </c:pt>
                <c:pt idx="121">
                  <c:v>45245</c:v>
                </c:pt>
                <c:pt idx="122">
                  <c:v>45246</c:v>
                </c:pt>
                <c:pt idx="123">
                  <c:v>45247</c:v>
                </c:pt>
                <c:pt idx="124">
                  <c:v>45248</c:v>
                </c:pt>
                <c:pt idx="125">
                  <c:v>45249</c:v>
                </c:pt>
                <c:pt idx="126">
                  <c:v>45250</c:v>
                </c:pt>
                <c:pt idx="127">
                  <c:v>45251</c:v>
                </c:pt>
                <c:pt idx="128">
                  <c:v>45252</c:v>
                </c:pt>
                <c:pt idx="129">
                  <c:v>45253</c:v>
                </c:pt>
                <c:pt idx="130">
                  <c:v>45254</c:v>
                </c:pt>
                <c:pt idx="131">
                  <c:v>45255</c:v>
                </c:pt>
                <c:pt idx="132">
                  <c:v>45256</c:v>
                </c:pt>
                <c:pt idx="133">
                  <c:v>45257</c:v>
                </c:pt>
                <c:pt idx="134">
                  <c:v>45258</c:v>
                </c:pt>
                <c:pt idx="135">
                  <c:v>45259</c:v>
                </c:pt>
                <c:pt idx="136">
                  <c:v>45260</c:v>
                </c:pt>
                <c:pt idx="137">
                  <c:v>45261</c:v>
                </c:pt>
                <c:pt idx="138">
                  <c:v>45262</c:v>
                </c:pt>
                <c:pt idx="139">
                  <c:v>45263</c:v>
                </c:pt>
                <c:pt idx="140">
                  <c:v>45264</c:v>
                </c:pt>
                <c:pt idx="141">
                  <c:v>45265</c:v>
                </c:pt>
                <c:pt idx="142">
                  <c:v>45266</c:v>
                </c:pt>
                <c:pt idx="143">
                  <c:v>45267</c:v>
                </c:pt>
                <c:pt idx="144">
                  <c:v>45268</c:v>
                </c:pt>
                <c:pt idx="145">
                  <c:v>45269</c:v>
                </c:pt>
                <c:pt idx="146">
                  <c:v>45270</c:v>
                </c:pt>
                <c:pt idx="147">
                  <c:v>45271</c:v>
                </c:pt>
                <c:pt idx="148">
                  <c:v>45272</c:v>
                </c:pt>
                <c:pt idx="149">
                  <c:v>45273</c:v>
                </c:pt>
                <c:pt idx="150">
                  <c:v>45274</c:v>
                </c:pt>
                <c:pt idx="151">
                  <c:v>45275</c:v>
                </c:pt>
                <c:pt idx="152">
                  <c:v>45276</c:v>
                </c:pt>
                <c:pt idx="153">
                  <c:v>45277</c:v>
                </c:pt>
                <c:pt idx="154">
                  <c:v>45278</c:v>
                </c:pt>
                <c:pt idx="155">
                  <c:v>45279</c:v>
                </c:pt>
                <c:pt idx="156">
                  <c:v>45280</c:v>
                </c:pt>
                <c:pt idx="157">
                  <c:v>45281</c:v>
                </c:pt>
                <c:pt idx="158">
                  <c:v>45282</c:v>
                </c:pt>
                <c:pt idx="159">
                  <c:v>45283</c:v>
                </c:pt>
                <c:pt idx="160">
                  <c:v>45284</c:v>
                </c:pt>
                <c:pt idx="161">
                  <c:v>45285</c:v>
                </c:pt>
                <c:pt idx="162">
                  <c:v>45286</c:v>
                </c:pt>
                <c:pt idx="163">
                  <c:v>45287</c:v>
                </c:pt>
                <c:pt idx="164">
                  <c:v>45288</c:v>
                </c:pt>
                <c:pt idx="165">
                  <c:v>45289</c:v>
                </c:pt>
                <c:pt idx="166">
                  <c:v>45290</c:v>
                </c:pt>
                <c:pt idx="167">
                  <c:v>45291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5.0196381932136411E-3</c:v>
                </c:pt>
                <c:pt idx="43">
                  <c:v>5.0196381932136411E-3</c:v>
                </c:pt>
                <c:pt idx="44">
                  <c:v>5.0196381932136411E-3</c:v>
                </c:pt>
                <c:pt idx="45">
                  <c:v>5.0196381932136411E-3</c:v>
                </c:pt>
                <c:pt idx="46">
                  <c:v>5.0196381932136411E-3</c:v>
                </c:pt>
                <c:pt idx="47">
                  <c:v>5.0196381932136411E-3</c:v>
                </c:pt>
                <c:pt idx="48">
                  <c:v>5.0196381932136411E-3</c:v>
                </c:pt>
                <c:pt idx="49">
                  <c:v>5.0196381932136411E-3</c:v>
                </c:pt>
                <c:pt idx="50">
                  <c:v>5.0196381932136411E-3</c:v>
                </c:pt>
                <c:pt idx="51">
                  <c:v>5.0196381932136411E-3</c:v>
                </c:pt>
                <c:pt idx="52">
                  <c:v>5.0196381932136411E-3</c:v>
                </c:pt>
                <c:pt idx="53">
                  <c:v>5.0196381932136411E-3</c:v>
                </c:pt>
                <c:pt idx="54">
                  <c:v>5.0196381932136411E-3</c:v>
                </c:pt>
                <c:pt idx="55">
                  <c:v>5.0196381932136411E-3</c:v>
                </c:pt>
                <c:pt idx="56">
                  <c:v>5.0196381932136411E-3</c:v>
                </c:pt>
                <c:pt idx="57">
                  <c:v>5.0196381932136411E-3</c:v>
                </c:pt>
                <c:pt idx="58">
                  <c:v>5.0196381932136411E-3</c:v>
                </c:pt>
                <c:pt idx="59">
                  <c:v>5.0196381932136411E-3</c:v>
                </c:pt>
                <c:pt idx="60">
                  <c:v>5.0196381932136411E-3</c:v>
                </c:pt>
                <c:pt idx="61">
                  <c:v>5.0196381932136411E-3</c:v>
                </c:pt>
                <c:pt idx="62">
                  <c:v>5.0196381932136411E-3</c:v>
                </c:pt>
                <c:pt idx="63">
                  <c:v>5.0196381932136411E-3</c:v>
                </c:pt>
                <c:pt idx="64">
                  <c:v>5.0196381932136411E-3</c:v>
                </c:pt>
                <c:pt idx="65">
                  <c:v>5.0196381932136411E-3</c:v>
                </c:pt>
                <c:pt idx="66">
                  <c:v>5.0196381932136411E-3</c:v>
                </c:pt>
                <c:pt idx="67">
                  <c:v>5.0196381932136411E-3</c:v>
                </c:pt>
                <c:pt idx="68">
                  <c:v>5.0196381932136411E-3</c:v>
                </c:pt>
                <c:pt idx="69">
                  <c:v>5.0196381932136411E-3</c:v>
                </c:pt>
                <c:pt idx="70">
                  <c:v>5.0196381932136411E-3</c:v>
                </c:pt>
                <c:pt idx="71">
                  <c:v>5.0196381932136411E-3</c:v>
                </c:pt>
                <c:pt idx="72">
                  <c:v>5.0196381932136411E-3</c:v>
                </c:pt>
                <c:pt idx="73">
                  <c:v>5.0196381932136411E-3</c:v>
                </c:pt>
                <c:pt idx="74">
                  <c:v>5.0196381932136411E-3</c:v>
                </c:pt>
                <c:pt idx="75">
                  <c:v>5.0196381932136411E-3</c:v>
                </c:pt>
                <c:pt idx="76">
                  <c:v>5.7214945691144645E-3</c:v>
                </c:pt>
                <c:pt idx="77">
                  <c:v>6.6113112022474947E-3</c:v>
                </c:pt>
                <c:pt idx="78">
                  <c:v>7.5153462546830438E-3</c:v>
                </c:pt>
                <c:pt idx="79">
                  <c:v>8.4913011964490304E-3</c:v>
                </c:pt>
                <c:pt idx="80">
                  <c:v>9.5756173386439842E-3</c:v>
                </c:pt>
                <c:pt idx="81">
                  <c:v>1.0933733541352898E-2</c:v>
                </c:pt>
                <c:pt idx="82">
                  <c:v>1.2502959693193462E-2</c:v>
                </c:pt>
                <c:pt idx="83">
                  <c:v>1.4071485524441421E-2</c:v>
                </c:pt>
                <c:pt idx="84">
                  <c:v>1.5726651707334994E-2</c:v>
                </c:pt>
                <c:pt idx="85">
                  <c:v>1.7545311995583186E-2</c:v>
                </c:pt>
                <c:pt idx="86">
                  <c:v>1.986162856856543E-2</c:v>
                </c:pt>
                <c:pt idx="87">
                  <c:v>2.3089906010695344E-2</c:v>
                </c:pt>
                <c:pt idx="88">
                  <c:v>2.6505124513430796E-2</c:v>
                </c:pt>
                <c:pt idx="89">
                  <c:v>3.017294102038998E-2</c:v>
                </c:pt>
                <c:pt idx="90">
                  <c:v>3.4129179258995591E-2</c:v>
                </c:pt>
                <c:pt idx="91">
                  <c:v>3.9032085129152294E-2</c:v>
                </c:pt>
                <c:pt idx="92">
                  <c:v>4.5333963371154203E-2</c:v>
                </c:pt>
                <c:pt idx="93">
                  <c:v>5.1922264103989438E-2</c:v>
                </c:pt>
                <c:pt idx="94">
                  <c:v>5.9351064640878359E-2</c:v>
                </c:pt>
                <c:pt idx="95">
                  <c:v>6.7821420820023043E-2</c:v>
                </c:pt>
                <c:pt idx="96">
                  <c:v>7.9038315740497828E-2</c:v>
                </c:pt>
                <c:pt idx="97">
                  <c:v>8.9969927397968608E-2</c:v>
                </c:pt>
                <c:pt idx="98">
                  <c:v>0.10204664311766795</c:v>
                </c:pt>
                <c:pt idx="99">
                  <c:v>0.11563379022270277</c:v>
                </c:pt>
                <c:pt idx="100">
                  <c:v>0.13116710246359767</c:v>
                </c:pt>
                <c:pt idx="101">
                  <c:v>0.15108154009643635</c:v>
                </c:pt>
                <c:pt idx="102">
                  <c:v>0.17176351443187476</c:v>
                </c:pt>
                <c:pt idx="103">
                  <c:v>0.19637094778040354</c:v>
                </c:pt>
                <c:pt idx="104">
                  <c:v>0.22380254295341784</c:v>
                </c:pt>
                <c:pt idx="105">
                  <c:v>0.25205288190091402</c:v>
                </c:pt>
                <c:pt idx="106">
                  <c:v>0.28168605562414567</c:v>
                </c:pt>
                <c:pt idx="107">
                  <c:v>0.31519943935613359</c:v>
                </c:pt>
                <c:pt idx="108">
                  <c:v>0.34691693635859666</c:v>
                </c:pt>
                <c:pt idx="109">
                  <c:v>0.37987296715553309</c:v>
                </c:pt>
                <c:pt idx="110">
                  <c:v>0.41300015830743519</c:v>
                </c:pt>
                <c:pt idx="111">
                  <c:v>0.44481845933252007</c:v>
                </c:pt>
                <c:pt idx="112">
                  <c:v>0.47362421332409399</c:v>
                </c:pt>
                <c:pt idx="113">
                  <c:v>0.50226009174281461</c:v>
                </c:pt>
                <c:pt idx="114">
                  <c:v>0.52913917939647925</c:v>
                </c:pt>
                <c:pt idx="115">
                  <c:v>0.5551012511620862</c:v>
                </c:pt>
                <c:pt idx="116">
                  <c:v>0.58336638368207683</c:v>
                </c:pt>
                <c:pt idx="117">
                  <c:v>0.6068683964268764</c:v>
                </c:pt>
                <c:pt idx="118">
                  <c:v>0.62693343472540841</c:v>
                </c:pt>
                <c:pt idx="119">
                  <c:v>0.64289942334649774</c:v>
                </c:pt>
                <c:pt idx="120">
                  <c:v>0.65814004029362172</c:v>
                </c:pt>
                <c:pt idx="121">
                  <c:v>0.67214285202494517</c:v>
                </c:pt>
                <c:pt idx="122">
                  <c:v>0.68467428703483701</c:v>
                </c:pt>
                <c:pt idx="123">
                  <c:v>0.69435840597149789</c:v>
                </c:pt>
                <c:pt idx="124">
                  <c:v>0.70218400171707773</c:v>
                </c:pt>
                <c:pt idx="125">
                  <c:v>0.70880213001536307</c:v>
                </c:pt>
                <c:pt idx="126">
                  <c:v>0.71520940360998941</c:v>
                </c:pt>
                <c:pt idx="127">
                  <c:v>0.72060527100697724</c:v>
                </c:pt>
                <c:pt idx="128">
                  <c:v>0.72482463017343757</c:v>
                </c:pt>
                <c:pt idx="129">
                  <c:v>0.72906798699566688</c:v>
                </c:pt>
                <c:pt idx="130">
                  <c:v>0.732721871783936</c:v>
                </c:pt>
                <c:pt idx="131">
                  <c:v>0.73585206884284382</c:v>
                </c:pt>
                <c:pt idx="132">
                  <c:v>0.73835081487064547</c:v>
                </c:pt>
                <c:pt idx="133">
                  <c:v>0.74034678491818595</c:v>
                </c:pt>
                <c:pt idx="134">
                  <c:v>0.74196764623801337</c:v>
                </c:pt>
                <c:pt idx="135">
                  <c:v>0.74327620228784252</c:v>
                </c:pt>
                <c:pt idx="136">
                  <c:v>0.74442361167291404</c:v>
                </c:pt>
                <c:pt idx="137">
                  <c:v>0.74547596536416183</c:v>
                </c:pt>
                <c:pt idx="138">
                  <c:v>0.7463524415482079</c:v>
                </c:pt>
                <c:pt idx="139">
                  <c:v>0.74710094570768271</c:v>
                </c:pt>
                <c:pt idx="140">
                  <c:v>0.74767438126313057</c:v>
                </c:pt>
                <c:pt idx="141">
                  <c:v>0.74813055421255314</c:v>
                </c:pt>
                <c:pt idx="142">
                  <c:v>0.74847739692862214</c:v>
                </c:pt>
                <c:pt idx="143">
                  <c:v>0.74877442234132663</c:v>
                </c:pt>
                <c:pt idx="144">
                  <c:v>0.74901466995366106</c:v>
                </c:pt>
                <c:pt idx="145">
                  <c:v>0.74919623715467087</c:v>
                </c:pt>
                <c:pt idx="146">
                  <c:v>0.7493542967747352</c:v>
                </c:pt>
                <c:pt idx="147">
                  <c:v>0.74949297021233274</c:v>
                </c:pt>
                <c:pt idx="148">
                  <c:v>0.74960790373734665</c:v>
                </c:pt>
                <c:pt idx="149">
                  <c:v>0.74968994836622826</c:v>
                </c:pt>
                <c:pt idx="150">
                  <c:v>0.74975084201210151</c:v>
                </c:pt>
                <c:pt idx="151">
                  <c:v>0.74980463362264838</c:v>
                </c:pt>
                <c:pt idx="152">
                  <c:v>0.74984531668043697</c:v>
                </c:pt>
                <c:pt idx="153">
                  <c:v>0.74987668686719089</c:v>
                </c:pt>
                <c:pt idx="154">
                  <c:v>0.74990223789774002</c:v>
                </c:pt>
                <c:pt idx="155">
                  <c:v>0.7499225294598062</c:v>
                </c:pt>
                <c:pt idx="156">
                  <c:v>0.74993815997998636</c:v>
                </c:pt>
                <c:pt idx="157">
                  <c:v>0.74995041826423792</c:v>
                </c:pt>
                <c:pt idx="158">
                  <c:v>0.74996053583599309</c:v>
                </c:pt>
                <c:pt idx="159">
                  <c:v>0.74996843571712657</c:v>
                </c:pt>
                <c:pt idx="160">
                  <c:v>0.74997511458307309</c:v>
                </c:pt>
                <c:pt idx="161">
                  <c:v>0.74998040195030102</c:v>
                </c:pt>
                <c:pt idx="162">
                  <c:v>0.74998433900412786</c:v>
                </c:pt>
                <c:pt idx="163">
                  <c:v>0.74998796293154713</c:v>
                </c:pt>
                <c:pt idx="164">
                  <c:v>0.74999079727587381</c:v>
                </c:pt>
                <c:pt idx="165">
                  <c:v>0.74999275259707243</c:v>
                </c:pt>
                <c:pt idx="166">
                  <c:v>0.74999436022921839</c:v>
                </c:pt>
                <c:pt idx="167">
                  <c:v>0.7499955614729874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I1" zoomScale="110" zoomScaleNormal="110" workbookViewId="0">
      <selection activeCell="D4" sqref="D4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23" t="s">
        <v>151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152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183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171</v>
      </c>
      <c r="D4" s="103" t="s">
        <v>283</v>
      </c>
      <c r="E4" s="58"/>
      <c r="F4" s="102" t="s">
        <v>191</v>
      </c>
      <c r="G4" s="86" t="str">
        <f>IF(H4="","Typical",H4)</f>
        <v>Very Dry</v>
      </c>
      <c r="H4" s="98" t="s">
        <v>204</v>
      </c>
      <c r="Z4"/>
      <c r="AA4"/>
      <c r="AB4"/>
      <c r="AC4"/>
    </row>
    <row r="5" spans="2:34" s="55" customFormat="1" ht="15.6">
      <c r="C5" s="102" t="s">
        <v>26</v>
      </c>
      <c r="D5" s="104" t="s">
        <v>64</v>
      </c>
      <c r="E5" s="58"/>
      <c r="F5" s="102" t="s">
        <v>192</v>
      </c>
      <c r="G5" s="86" t="str">
        <f>IF(H5="","Typical",H5)</f>
        <v>Very Dry</v>
      </c>
      <c r="H5" s="98" t="s">
        <v>204</v>
      </c>
      <c r="Z5"/>
      <c r="AA5"/>
      <c r="AB5"/>
      <c r="AC5"/>
    </row>
    <row r="6" spans="2:34" s="55" customFormat="1" ht="15.6">
      <c r="C6" s="102" t="s">
        <v>94</v>
      </c>
      <c r="D6" s="104" t="s">
        <v>93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General</v>
      </c>
      <c r="E7" s="92" t="s">
        <v>29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Sweetcorn Vegetable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45166</v>
      </c>
      <c r="E9" s="67">
        <v>45166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45291</v>
      </c>
      <c r="E10" s="67"/>
      <c r="F10" s="57" t="s">
        <v>146</v>
      </c>
      <c r="G10" s="85" t="str">
        <f>IF(H10="",VLOOKUP(CurrentCropNameFull,CropCoefficients,15,FALSE),H10)</f>
        <v>MidReproductive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22</v>
      </c>
      <c r="E12" s="69">
        <v>22</v>
      </c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78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22</v>
      </c>
      <c r="C14" s="64" t="str">
        <f>"Yield "&amp;CurrentYield_tperHa&amp;" (t/ha)"</f>
        <v>Yield 22 (t/ha)</v>
      </c>
      <c r="D14" s="90" t="str">
        <f ca="1">"requires "&amp;ROUND(SUM('Model Interface'!P8:Q8),0)&amp;" kg N/ha from all sources"</f>
        <v>requires 124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>PriorHarvestDate</f>
        <v>45124</v>
      </c>
      <c r="Z14"/>
      <c r="AA14"/>
      <c r="AB14"/>
      <c r="AC14"/>
    </row>
    <row r="15" spans="2:34" s="55" customFormat="1" ht="16.2" thickBot="1">
      <c r="B15" s="55">
        <f ca="1">SUMIF(B29:B43,1,G29:G43)</f>
        <v>79.166560397238683</v>
      </c>
      <c r="C15" s="105" t="s">
        <v>220</v>
      </c>
      <c r="D15" s="106" t="str">
        <f ca="1">SUMIF(B29:B43,1,G29:G43)&amp;" Kg/ha"</f>
        <v>79.1665603972387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2" t="s">
        <v>222</v>
      </c>
      <c r="S15" s="122"/>
      <c r="T15" s="122"/>
      <c r="U15" s="122"/>
      <c r="V15" s="122"/>
      <c r="W15" s="115"/>
      <c r="X15" s="115"/>
      <c r="Y15" s="115"/>
      <c r="Z15" s="120" t="s">
        <v>221</v>
      </c>
      <c r="AA15" s="120"/>
      <c r="AB15" s="120"/>
      <c r="AC15" s="120"/>
      <c r="AD15" s="121" t="s">
        <v>223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184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45124</v>
      </c>
      <c r="S18" s="55">
        <f ca="1">IF(R18&gt;1,R18,"")</f>
        <v>45124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154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0.10928318448206772</v>
      </c>
      <c r="Y18" s="55">
        <f ca="1">VLOOKUP(S18,ModelOutputs,4,FALSE)</f>
        <v>0</v>
      </c>
      <c r="Z18">
        <f t="shared" ref="Z18:Z81" ca="1" si="3">VLOOKUP(S18,ModelOutputs,10,FALSE)*AWC</f>
        <v>0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Interface'!X11:X1004,('Model Interface'!X11:X1004&gt;=CurrentHarvestDate+1)*('Model Interface'!X11:X1004&lt;=FollowingHarvestDate),"")</f>
        <v>45292</v>
      </c>
      <c r="AE18" s="55">
        <f ca="1">IF(AD18&gt;1,AD18,"")</f>
        <v>45292</v>
      </c>
      <c r="AF18" s="55">
        <f t="shared" ref="AF18:AF20" ca="1" si="6">VLOOKUP(AE18,ModelOutputs,2,FALSE)</f>
        <v>29.700190279596214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0.22229985735588864</v>
      </c>
      <c r="AK18" s="55">
        <f t="shared" ref="AK18" ca="1" si="10">VLOOKUP(AE18,ModelOutputs,4,FALSE)</f>
        <v>-0.31271099654285273</v>
      </c>
    </row>
    <row r="19" spans="1:37" s="55" customFormat="1">
      <c r="C19" s="57" t="s">
        <v>217</v>
      </c>
      <c r="D19" s="85">
        <f>IF(E19="",60,E19)</f>
        <v>30</v>
      </c>
      <c r="E19" s="16">
        <v>30</v>
      </c>
      <c r="F19" s="94" t="str">
        <f ca="1">ROUND('Model Interface'!N7,0)&amp;" kg N/ha available from SOM mineralisation"</f>
        <v>32 kg N/ha available from SOM mineralisation</v>
      </c>
      <c r="R19" s="83">
        <f ca="1"/>
        <v>45125</v>
      </c>
      <c r="S19" s="55">
        <f t="shared" ref="S19:S82" ca="1" si="11">IF(R19&gt;1,R19,"")</f>
        <v>45125</v>
      </c>
      <c r="T19" s="55">
        <f t="shared" ca="1" si="0"/>
        <v>49.933876413527045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0.22523747955451828</v>
      </c>
      <c r="Y19" s="55">
        <f t="shared" ref="Y19:Y82" ca="1" si="14">VLOOKUP(S19,ModelOutputs,4,FALSE)+Y18</f>
        <v>-0.18207788154540056</v>
      </c>
      <c r="Z19">
        <f t="shared" ca="1" si="3"/>
        <v>0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45293</v>
      </c>
      <c r="AE19" s="55">
        <f t="shared" ref="AE19:AE20" ca="1" si="16">IF(AD19&gt;1,AD19,"")</f>
        <v>45293</v>
      </c>
      <c r="AF19" s="55">
        <f t="shared" ca="1" si="6"/>
        <v>29.523140573754965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0.46607580013826899</v>
      </c>
      <c r="AK19" s="55">
        <f t="shared" ref="AK19:AK82" ca="1" si="19">VLOOKUP(AE19,ModelOutputs,4,FALSE)+AK18</f>
        <v>-0.73353664516648109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45126</v>
      </c>
      <c r="S20" s="55">
        <f t="shared" ca="1" si="11"/>
        <v>45126</v>
      </c>
      <c r="T20" s="55">
        <f t="shared" ca="1" si="0"/>
        <v>49.861360721325823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0.34827732043772969</v>
      </c>
      <c r="Y20" s="55">
        <f t="shared" ca="1" si="14"/>
        <v>-0.37763341462983069</v>
      </c>
      <c r="Z20">
        <f t="shared" ca="1" si="3"/>
        <v>0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45294</v>
      </c>
      <c r="AE20" s="55">
        <f t="shared" ca="1" si="16"/>
        <v>45294</v>
      </c>
      <c r="AF20" s="55">
        <f t="shared" ca="1" si="6"/>
        <v>29.225519610472197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0.70968642678793581</v>
      </c>
      <c r="AK20" s="55">
        <f t="shared" ca="1" si="19"/>
        <v>-1.2747682350989127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45127</v>
      </c>
      <c r="S21" s="55">
        <f t="shared" ca="1" si="11"/>
        <v>45127</v>
      </c>
      <c r="T21" s="55">
        <f t="shared" ca="1" si="0"/>
        <v>49.785002958760593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0.47770680983474706</v>
      </c>
      <c r="Y21" s="55">
        <f t="shared" ca="1" si="14"/>
        <v>-0.58342066659207803</v>
      </c>
      <c r="Z21">
        <f t="shared" ca="1" si="3"/>
        <v>0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45295</v>
      </c>
      <c r="AE21" s="55">
        <f t="shared" ref="AE21:AE84" ca="1" si="20">IF(AD21&gt;1,AD21,"")</f>
        <v>45295</v>
      </c>
      <c r="AF21" s="55">
        <f t="shared" ref="AF21:AF84" ca="1" si="21">VLOOKUP(AE21,ModelOutputs,2,FALSE)</f>
        <v>28.869494978868801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0.93868200051222717</v>
      </c>
      <c r="AK21" s="55">
        <f t="shared" ca="1" si="19"/>
        <v>-1.8597884404265983</v>
      </c>
    </row>
    <row r="22" spans="1:37" s="55" customFormat="1" ht="15" customHeight="1">
      <c r="C22" s="57" t="s">
        <v>209</v>
      </c>
      <c r="D22" s="85" t="str">
        <f>IF(E22="","loam",E22)</f>
        <v>LoamySand</v>
      </c>
      <c r="E22" s="16" t="s">
        <v>266</v>
      </c>
      <c r="F22" s="94"/>
      <c r="R22" s="83">
        <f ca="1"/>
        <v>45128</v>
      </c>
      <c r="S22" s="55">
        <f t="shared" ca="1" si="11"/>
        <v>45128</v>
      </c>
      <c r="T22" s="55">
        <f t="shared" ca="1" si="0"/>
        <v>49.703713318151884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0.60611748050879588</v>
      </c>
      <c r="Y22" s="55">
        <f t="shared" ca="1" si="14"/>
        <v>-0.79312097787483382</v>
      </c>
      <c r="Z22">
        <f t="shared" ca="1" si="3"/>
        <v>0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45296</v>
      </c>
      <c r="AE22" s="55">
        <f t="shared" ca="1" si="20"/>
        <v>45296</v>
      </c>
      <c r="AF22" s="55">
        <f t="shared" ca="1" si="21"/>
        <v>28.468810098882191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1.1758850790509388</v>
      </c>
      <c r="AK22" s="55">
        <f t="shared" ca="1" si="19"/>
        <v>-2.4976763989519206</v>
      </c>
    </row>
    <row r="23" spans="1:37" s="55" customFormat="1">
      <c r="C23" s="57"/>
      <c r="D23" s="85"/>
      <c r="E23" s="113"/>
      <c r="F23" s="94"/>
      <c r="R23" s="83">
        <f ca="1"/>
        <v>45129</v>
      </c>
      <c r="S23" s="55">
        <f t="shared" ca="1" si="11"/>
        <v>45129</v>
      </c>
      <c r="T23" s="55">
        <f t="shared" ca="1" si="0"/>
        <v>49.61683049560596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0.74532266442910455</v>
      </c>
      <c r="Y23" s="55">
        <f t="shared" ca="1" si="14"/>
        <v>-1.019208984341067</v>
      </c>
      <c r="Z23">
        <f t="shared" ca="1" si="3"/>
        <v>0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45297</v>
      </c>
      <c r="AE23" s="55">
        <f t="shared" ca="1" si="20"/>
        <v>45297</v>
      </c>
      <c r="AF23" s="55">
        <f t="shared" ca="1" si="21"/>
        <v>28.104404944695695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1.4141788622119811</v>
      </c>
      <c r="AK23" s="55">
        <f t="shared" ca="1" si="19"/>
        <v>-3.1003753362994591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45130</v>
      </c>
      <c r="S24" s="55">
        <f t="shared" ca="1" si="11"/>
        <v>45130</v>
      </c>
      <c r="T24" s="55">
        <f t="shared" ca="1" si="0"/>
        <v>49.535011243819056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0.88924717840994494</v>
      </c>
      <c r="Y24" s="55">
        <f t="shared" ca="1" si="14"/>
        <v>-1.2449527501088145</v>
      </c>
      <c r="Z24">
        <f t="shared" ca="1" si="3"/>
        <v>0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45298</v>
      </c>
      <c r="AE24" s="55">
        <f t="shared" ca="1" si="20"/>
        <v>45298</v>
      </c>
      <c r="AF24" s="55">
        <f t="shared" ca="1" si="21"/>
        <v>27.72066198304891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1.6761080778793112</v>
      </c>
      <c r="AK24" s="55">
        <f t="shared" ca="1" si="19"/>
        <v>-3.7460475136135738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45131</v>
      </c>
      <c r="S25" s="55">
        <f t="shared" ca="1" si="11"/>
        <v>45131</v>
      </c>
      <c r="T25" s="55">
        <f t="shared" ca="1" si="0"/>
        <v>49.459164706687687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1.0312365942173265</v>
      </c>
      <c r="Y25" s="55">
        <f t="shared" ca="1" si="14"/>
        <v>-1.4627887030475635</v>
      </c>
      <c r="Z25">
        <f t="shared" ca="1" si="3"/>
        <v>0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45299</v>
      </c>
      <c r="AE25" s="55">
        <f t="shared" ca="1" si="20"/>
        <v>45299</v>
      </c>
      <c r="AF25" s="55">
        <f t="shared" ca="1" si="21"/>
        <v>27.265295450117875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1.9383884237215063</v>
      </c>
      <c r="AK25" s="55">
        <f t="shared" ca="1" si="19"/>
        <v>-4.4636943923868042</v>
      </c>
    </row>
    <row r="26" spans="1:37" s="55" customFormat="1" ht="15" thickBot="1">
      <c r="C26" s="56"/>
      <c r="D26" s="56"/>
      <c r="E26" s="56"/>
      <c r="F26" s="56"/>
      <c r="R26" s="83">
        <f ca="1"/>
        <v>45132</v>
      </c>
      <c r="S26" s="55">
        <f t="shared" ca="1" si="11"/>
        <v>45132</v>
      </c>
      <c r="T26" s="55">
        <f t="shared" ca="1" si="0"/>
        <v>49.389654864304042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1.1815787999066294</v>
      </c>
      <c r="Y26" s="55">
        <f t="shared" ca="1" si="14"/>
        <v>-1.6826407511205159</v>
      </c>
      <c r="Z26">
        <f t="shared" ca="1" si="3"/>
        <v>0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45300</v>
      </c>
      <c r="AE26" s="55">
        <f t="shared" ca="1" si="20"/>
        <v>45300</v>
      </c>
      <c r="AF26" s="55">
        <f t="shared" ca="1" si="21"/>
        <v>26.853956929104982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2.1826699398554057</v>
      </c>
      <c r="AK26" s="55">
        <f t="shared" ca="1" si="19"/>
        <v>-5.1193144295335955</v>
      </c>
    </row>
    <row r="27" spans="1:37" s="55" customFormat="1" ht="15" thickBot="1">
      <c r="C27" s="132" t="s">
        <v>137</v>
      </c>
      <c r="D27" s="133"/>
      <c r="E27" s="60"/>
      <c r="F27" s="134" t="s">
        <v>144</v>
      </c>
      <c r="G27" s="135"/>
      <c r="R27" s="83">
        <f ca="1"/>
        <v>45133</v>
      </c>
      <c r="S27" s="55">
        <f t="shared" ca="1" si="11"/>
        <v>45133</v>
      </c>
      <c r="T27" s="55">
        <f t="shared" ca="1" si="0"/>
        <v>49.328559728050806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1.3335342798456682</v>
      </c>
      <c r="Y27" s="55">
        <f t="shared" ca="1" si="14"/>
        <v>-1.8956913673127938</v>
      </c>
      <c r="Z27">
        <f t="shared" ca="1" si="3"/>
        <v>0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45301</v>
      </c>
      <c r="AE27" s="55">
        <f t="shared" ca="1" si="20"/>
        <v>45301</v>
      </c>
      <c r="AF27" s="55">
        <f t="shared" ca="1" si="21"/>
        <v>26.362215590214944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2.428851279106417</v>
      </c>
      <c r="AK27" s="55">
        <f t="shared" ca="1" si="19"/>
        <v>-5.8572371076746457</v>
      </c>
    </row>
    <row r="28" spans="1:37" s="55" customFormat="1" ht="1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45134</v>
      </c>
      <c r="S28" s="55">
        <f t="shared" ca="1" si="11"/>
        <v>45134</v>
      </c>
      <c r="T28" s="55">
        <f t="shared" ca="1" si="0"/>
        <v>49.280596376067969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1.4976068616729359</v>
      </c>
      <c r="Y28" s="55">
        <f t="shared" ca="1" si="14"/>
        <v>-2.1077273011229014</v>
      </c>
      <c r="Z28">
        <f t="shared" ca="1" si="3"/>
        <v>0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45302</v>
      </c>
      <c r="AE28" s="55">
        <f t="shared" ca="1" si="20"/>
        <v>45302</v>
      </c>
      <c r="AF28" s="55">
        <f t="shared" ca="1" si="21"/>
        <v>25.804376410264791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2.6888195597480062</v>
      </c>
      <c r="AK28" s="55">
        <f t="shared" ca="1" si="19"/>
        <v>-6.6750445682663901</v>
      </c>
    </row>
    <row r="29" spans="1:37" s="55" customFormat="1">
      <c r="A29" s="83">
        <f t="array" aca="1" ref="A29:A43" ca="1">_xlfn._xlws.FILTER('Model Interface'!X11:X500,'Model Interface'!Y11:Y500&gt;0,"")</f>
        <v>45263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45263</v>
      </c>
      <c r="G29" s="76">
        <f ca="1">IFERROR(VLOOKUP(F29,'Model Interface'!$J$11:$O$500,6,FALSE),"")</f>
        <v>24.202630382901685</v>
      </c>
      <c r="H29" s="55" t="str">
        <f ca="1">IF(B29=1,"Suggested","Applied or Planned")</f>
        <v>Suggested</v>
      </c>
      <c r="R29" s="83">
        <f ca="1"/>
        <v>45135</v>
      </c>
      <c r="S29" s="55">
        <f t="shared" ca="1" si="11"/>
        <v>45135</v>
      </c>
      <c r="T29" s="55">
        <f t="shared" ca="1" si="0"/>
        <v>49.238206789527105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1.6602548254770206</v>
      </c>
      <c r="Y29" s="55">
        <f t="shared" ca="1" si="14"/>
        <v>-2.3127648514678518</v>
      </c>
      <c r="Z29">
        <f t="shared" ca="1" si="3"/>
        <v>0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45303</v>
      </c>
      <c r="AE29" s="55">
        <f t="shared" ca="1" si="20"/>
        <v>45303</v>
      </c>
      <c r="AF29" s="55">
        <f t="shared" ca="1" si="21"/>
        <v>25.170272601783047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2.9659405499175042</v>
      </c>
      <c r="AK29" s="55">
        <f t="shared" ca="1" si="19"/>
        <v>-7.5862693669176284</v>
      </c>
    </row>
    <row r="30" spans="1:37" s="55" customFormat="1">
      <c r="A30" s="83">
        <f ca="1"/>
        <v>45270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45270</v>
      </c>
      <c r="G30" s="76">
        <f ca="1">IFERROR(VLOOKUP(F30,'Model Interface'!$J$11:$O$500,6,FALSE),"")</f>
        <v>26.802790434093993</v>
      </c>
      <c r="H30" s="55" t="str">
        <f t="shared" ref="H30:H43" ca="1" si="26">IF(F30="","",IF(F30&lt;=StartSchedullingDate,"Applied or Planned","Suggested"))</f>
        <v>Suggested</v>
      </c>
      <c r="R30" s="83">
        <f ca="1"/>
        <v>45136</v>
      </c>
      <c r="S30" s="55">
        <f t="shared" ca="1" si="11"/>
        <v>45136</v>
      </c>
      <c r="T30" s="55">
        <f t="shared" ca="1" si="0"/>
        <v>49.203158290531526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1.8302319587942635</v>
      </c>
      <c r="Y30" s="55">
        <f t="shared" ca="1" si="14"/>
        <v>-2.5177904837806695</v>
      </c>
      <c r="Z30">
        <f t="shared" ca="1" si="3"/>
        <v>0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45304</v>
      </c>
      <c r="AE30" s="55">
        <f t="shared" ca="1" si="20"/>
        <v>45304</v>
      </c>
      <c r="AF30" s="55">
        <f t="shared" ca="1" si="21"/>
        <v>24.565959206144115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3.2460307974658673</v>
      </c>
      <c r="AK30" s="55">
        <f t="shared" ca="1" si="19"/>
        <v>-8.470673010104921</v>
      </c>
    </row>
    <row r="31" spans="1:37" s="55" customFormat="1">
      <c r="A31" s="83">
        <f ca="1"/>
        <v>45278</v>
      </c>
      <c r="B31" s="55">
        <f t="shared" ca="1" si="24"/>
        <v>1</v>
      </c>
      <c r="C31" s="78"/>
      <c r="D31" s="81"/>
      <c r="F31" s="74">
        <f t="shared" ca="1" si="25"/>
        <v>45278</v>
      </c>
      <c r="G31" s="76">
        <f ca="1">IFERROR(VLOOKUP(F31,'Model Interface'!$J$11:$O$500,6,FALSE),"")</f>
        <v>28.161139580243002</v>
      </c>
      <c r="H31" s="55" t="str">
        <f t="shared" ca="1" si="26"/>
        <v>Suggested</v>
      </c>
      <c r="R31" s="83">
        <f ca="1"/>
        <v>45137</v>
      </c>
      <c r="S31" s="55">
        <f t="shared" ca="1" si="11"/>
        <v>45137</v>
      </c>
      <c r="T31" s="55">
        <f t="shared" ca="1" si="0"/>
        <v>49.174000328139101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1.9919751122624891</v>
      </c>
      <c r="Y31" s="55">
        <f t="shared" ca="1" si="14"/>
        <v>-2.7086915996413161</v>
      </c>
      <c r="Z31">
        <f t="shared" ca="1" si="3"/>
        <v>0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45305</v>
      </c>
      <c r="AE31" s="55">
        <f t="shared" ca="1" si="20"/>
        <v>45305</v>
      </c>
      <c r="AF31" s="55">
        <f t="shared" ca="1" si="21"/>
        <v>24.017412575668654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3.5233159933475107</v>
      </c>
      <c r="AK31" s="55">
        <f t="shared" ca="1" si="19"/>
        <v>-9.2965048364620237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Interface'!$J$11:$O$500,6,FALSE),"")</f>
        <v/>
      </c>
      <c r="H32" s="55" t="str">
        <f t="shared" ca="1" si="26"/>
        <v/>
      </c>
      <c r="R32" s="83">
        <f ca="1"/>
        <v>45138</v>
      </c>
      <c r="S32" s="55">
        <f t="shared" ca="1" si="11"/>
        <v>45138</v>
      </c>
      <c r="T32" s="55">
        <f t="shared" ca="1" si="0"/>
        <v>49.151589140748321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2.1595737673696682</v>
      </c>
      <c r="Y32" s="55">
        <f t="shared" ca="1" si="14"/>
        <v>-2.8987014421392758</v>
      </c>
      <c r="Z32">
        <f t="shared" ca="1" si="3"/>
        <v>0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45306</v>
      </c>
      <c r="AE32" s="55">
        <f t="shared" ca="1" si="20"/>
        <v>45306</v>
      </c>
      <c r="AF32" s="55">
        <f t="shared" ca="1" si="21"/>
        <v>23.502892127238589</v>
      </c>
      <c r="AG32" s="55">
        <f t="shared" ca="1" si="22"/>
        <v>1.5604044247967603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3.8087805530617822</v>
      </c>
      <c r="AK32" s="55">
        <f t="shared" ca="1" si="19"/>
        <v>-10.09648984460636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45139</v>
      </c>
      <c r="S33" s="55">
        <f t="shared" ca="1" si="11"/>
        <v>45139</v>
      </c>
      <c r="T33" s="55">
        <f t="shared" ca="1" si="0"/>
        <v>49.139697878701917</v>
      </c>
      <c r="U33" s="55">
        <f t="shared" ca="1" si="1"/>
        <v>0</v>
      </c>
      <c r="V33" s="55">
        <f t="shared" ca="1" si="2"/>
        <v>0</v>
      </c>
      <c r="W33" s="55">
        <f t="shared" ca="1" si="12"/>
        <v>0</v>
      </c>
      <c r="X33" s="55">
        <f t="shared" ca="1" si="13"/>
        <v>2.3349786587271657</v>
      </c>
      <c r="Y33" s="55">
        <f t="shared" ca="1" si="14"/>
        <v>-3.085997595543176</v>
      </c>
      <c r="Z33">
        <f t="shared" ca="1" si="3"/>
        <v>0</v>
      </c>
      <c r="AA33">
        <f t="shared" ca="1" si="15"/>
        <v>0</v>
      </c>
      <c r="AB33">
        <f t="shared" ca="1" si="4"/>
        <v>0</v>
      </c>
      <c r="AC33">
        <f t="shared" ca="1" si="5"/>
        <v>0</v>
      </c>
      <c r="AD33" s="83">
        <f ca="1"/>
        <v>45307</v>
      </c>
      <c r="AE33" s="55">
        <f t="shared" ca="1" si="20"/>
        <v>45307</v>
      </c>
      <c r="AF33" s="55">
        <f t="shared" ca="1" si="21"/>
        <v>22.972625618409523</v>
      </c>
      <c r="AG33" s="55">
        <f t="shared" ca="1" si="22"/>
        <v>1.6506371518941509</v>
      </c>
      <c r="AH33" s="55">
        <f t="shared" ca="1" si="23"/>
        <v>0</v>
      </c>
      <c r="AI33" s="55">
        <f t="shared" ca="1" si="17"/>
        <v>0</v>
      </c>
      <c r="AJ33" s="55">
        <f t="shared" ca="1" si="18"/>
        <v>4.0794168472014389</v>
      </c>
      <c r="AK33" s="55">
        <f t="shared" ca="1" si="19"/>
        <v>-10.807159920477691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45140</v>
      </c>
      <c r="S34" s="55">
        <f t="shared" ca="1" si="11"/>
        <v>45140</v>
      </c>
      <c r="T34" s="55">
        <f t="shared" ca="1" si="0"/>
        <v>49.134058718394925</v>
      </c>
      <c r="U34" s="55">
        <f t="shared" ca="1" si="1"/>
        <v>0</v>
      </c>
      <c r="V34" s="55">
        <f t="shared" ca="1" si="2"/>
        <v>0</v>
      </c>
      <c r="W34" s="55">
        <f t="shared" ca="1" si="12"/>
        <v>0</v>
      </c>
      <c r="X34" s="55">
        <f t="shared" ca="1" si="13"/>
        <v>2.5077824960567341</v>
      </c>
      <c r="Y34" s="55">
        <f t="shared" ca="1" si="14"/>
        <v>-3.2644405931797351</v>
      </c>
      <c r="Z34">
        <f t="shared" ca="1" si="3"/>
        <v>0</v>
      </c>
      <c r="AA34">
        <f t="shared" ca="1" si="15"/>
        <v>0</v>
      </c>
      <c r="AB34">
        <f t="shared" ca="1" si="4"/>
        <v>0</v>
      </c>
      <c r="AC34">
        <f t="shared" ca="1" si="5"/>
        <v>0</v>
      </c>
      <c r="AD34" s="83">
        <f ca="1"/>
        <v>45308</v>
      </c>
      <c r="AE34" s="55">
        <f t="shared" ca="1" si="20"/>
        <v>45308</v>
      </c>
      <c r="AF34" s="55">
        <f t="shared" ca="1" si="21"/>
        <v>22.496853481239206</v>
      </c>
      <c r="AG34" s="55">
        <f t="shared" ca="1" si="22"/>
        <v>1.7454050042526168</v>
      </c>
      <c r="AH34" s="55">
        <f t="shared" ca="1" si="23"/>
        <v>0</v>
      </c>
      <c r="AI34" s="55">
        <f t="shared" ca="1" si="17"/>
        <v>0</v>
      </c>
      <c r="AJ34" s="55">
        <f t="shared" ca="1" si="18"/>
        <v>4.343812064179243</v>
      </c>
      <c r="AK34" s="55">
        <f t="shared" ca="1" si="19"/>
        <v>-11.452559422267345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45141</v>
      </c>
      <c r="S35" s="55">
        <f t="shared" ca="1" si="11"/>
        <v>45141</v>
      </c>
      <c r="T35" s="55">
        <f t="shared" ca="1" si="0"/>
        <v>49.131066896648093</v>
      </c>
      <c r="U35" s="55">
        <f t="shared" ca="1" si="1"/>
        <v>0</v>
      </c>
      <c r="V35" s="55">
        <f t="shared" ca="1" si="2"/>
        <v>0</v>
      </c>
      <c r="W35" s="55">
        <f t="shared" ca="1" si="12"/>
        <v>0</v>
      </c>
      <c r="X35" s="55">
        <f t="shared" ca="1" si="13"/>
        <v>2.6737140769281185</v>
      </c>
      <c r="Y35" s="55">
        <f t="shared" ca="1" si="14"/>
        <v>-3.4333639957979565</v>
      </c>
      <c r="Z35">
        <f t="shared" ca="1" si="3"/>
        <v>0</v>
      </c>
      <c r="AA35">
        <f t="shared" ca="1" si="15"/>
        <v>0</v>
      </c>
      <c r="AB35">
        <f t="shared" ca="1" si="4"/>
        <v>0</v>
      </c>
      <c r="AC35">
        <f t="shared" ca="1" si="5"/>
        <v>0</v>
      </c>
      <c r="AD35" s="83">
        <f ca="1"/>
        <v>45309</v>
      </c>
      <c r="AE35" s="55">
        <f t="shared" ca="1" si="20"/>
        <v>45309</v>
      </c>
      <c r="AF35" s="55">
        <f t="shared" ca="1" si="21"/>
        <v>21.909147215710011</v>
      </c>
      <c r="AG35" s="55">
        <f t="shared" ca="1" si="22"/>
        <v>1.8491427577454498</v>
      </c>
      <c r="AH35" s="55">
        <f t="shared" ca="1" si="23"/>
        <v>0</v>
      </c>
      <c r="AI35" s="55">
        <f t="shared" ca="1" si="17"/>
        <v>0</v>
      </c>
      <c r="AJ35" s="55">
        <f t="shared" ca="1" si="18"/>
        <v>4.6333845319799014</v>
      </c>
      <c r="AK35" s="55">
        <f t="shared" ca="1" si="19"/>
        <v>-12.226100402104368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138</v>
      </c>
      <c r="D36" s="133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45142</v>
      </c>
      <c r="S36" s="55">
        <f t="shared" ca="1" si="11"/>
        <v>45142</v>
      </c>
      <c r="T36" s="55">
        <f t="shared" ca="1" si="0"/>
        <v>49.138918908062649</v>
      </c>
      <c r="U36" s="55">
        <f t="shared" ca="1" si="1"/>
        <v>0</v>
      </c>
      <c r="V36" s="55">
        <f t="shared" ca="1" si="2"/>
        <v>0</v>
      </c>
      <c r="W36" s="55">
        <f t="shared" ca="1" si="12"/>
        <v>0</v>
      </c>
      <c r="X36" s="55">
        <f t="shared" ca="1" si="13"/>
        <v>2.8505649959537123</v>
      </c>
      <c r="Y36" s="55">
        <f t="shared" ca="1" si="14"/>
        <v>-3.6023629034089986</v>
      </c>
      <c r="Z36">
        <f t="shared" ca="1" si="3"/>
        <v>0</v>
      </c>
      <c r="AA36">
        <f t="shared" ca="1" si="15"/>
        <v>0</v>
      </c>
      <c r="AB36">
        <f t="shared" ca="1" si="4"/>
        <v>0</v>
      </c>
      <c r="AC36">
        <f t="shared" ca="1" si="5"/>
        <v>0</v>
      </c>
      <c r="AD36" s="83">
        <f ca="1"/>
        <v>45310</v>
      </c>
      <c r="AE36" s="55">
        <f t="shared" ca="1" si="20"/>
        <v>45310</v>
      </c>
      <c r="AF36" s="55">
        <f t="shared" ca="1" si="21"/>
        <v>21.372983631471506</v>
      </c>
      <c r="AG36" s="55">
        <f t="shared" ca="1" si="22"/>
        <v>1.95735825283801</v>
      </c>
      <c r="AH36" s="55">
        <f t="shared" ca="1" si="23"/>
        <v>0</v>
      </c>
      <c r="AI36" s="55">
        <f t="shared" ca="1" si="17"/>
        <v>0</v>
      </c>
      <c r="AJ36" s="55">
        <f t="shared" ca="1" si="18"/>
        <v>4.9144637122168326</v>
      </c>
      <c r="AK36" s="55">
        <f t="shared" ca="1" si="19"/>
        <v>-12.935127671487248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45143</v>
      </c>
      <c r="S37" s="55">
        <f t="shared" ca="1" si="11"/>
        <v>45143</v>
      </c>
      <c r="T37" s="55">
        <f t="shared" ca="1" si="0"/>
        <v>49.156790613946441</v>
      </c>
      <c r="U37" s="55">
        <f t="shared" ca="1" si="1"/>
        <v>0</v>
      </c>
      <c r="V37" s="55">
        <f t="shared" ca="1" si="2"/>
        <v>0</v>
      </c>
      <c r="W37" s="55">
        <f t="shared" ca="1" si="12"/>
        <v>0</v>
      </c>
      <c r="X37" s="55">
        <f t="shared" ca="1" si="13"/>
        <v>3.0343676635206096</v>
      </c>
      <c r="Y37" s="55">
        <f t="shared" ca="1" si="14"/>
        <v>-3.7682938650920996</v>
      </c>
      <c r="Z37">
        <f t="shared" ca="1" si="3"/>
        <v>0</v>
      </c>
      <c r="AA37">
        <f t="shared" ca="1" si="15"/>
        <v>0</v>
      </c>
      <c r="AB37">
        <f t="shared" ca="1" si="4"/>
        <v>0</v>
      </c>
      <c r="AC37">
        <f t="shared" ca="1" si="5"/>
        <v>0</v>
      </c>
      <c r="AD37" s="83">
        <f ca="1"/>
        <v>45311</v>
      </c>
      <c r="AE37" s="55">
        <f t="shared" ca="1" si="20"/>
        <v>45311</v>
      </c>
      <c r="AF37" s="55">
        <f t="shared" ca="1" si="21"/>
        <v>20.935021186776652</v>
      </c>
      <c r="AG37" s="55">
        <f t="shared" ca="1" si="22"/>
        <v>2.0641953072884336</v>
      </c>
      <c r="AH37" s="55">
        <f t="shared" ca="1" si="23"/>
        <v>0</v>
      </c>
      <c r="AI37" s="55">
        <f t="shared" ca="1" si="17"/>
        <v>0</v>
      </c>
      <c r="AJ37" s="55">
        <f t="shared" ca="1" si="18"/>
        <v>5.1658954418935661</v>
      </c>
      <c r="AK37" s="55">
        <f t="shared" ca="1" si="19"/>
        <v>-13.51768479140841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45144</v>
      </c>
      <c r="S38" s="55">
        <f t="shared" ca="1" si="11"/>
        <v>45144</v>
      </c>
      <c r="T38" s="55">
        <f t="shared" ca="1" si="0"/>
        <v>49.178936278754243</v>
      </c>
      <c r="U38" s="55">
        <f t="shared" ca="1" si="1"/>
        <v>0</v>
      </c>
      <c r="V38" s="55">
        <f t="shared" ca="1" si="2"/>
        <v>0</v>
      </c>
      <c r="W38" s="55">
        <f t="shared" ca="1" si="12"/>
        <v>0</v>
      </c>
      <c r="X38" s="55">
        <f t="shared" ca="1" si="13"/>
        <v>3.2184647785132623</v>
      </c>
      <c r="Y38" s="55">
        <f t="shared" ca="1" si="14"/>
        <v>-3.9302453152769519</v>
      </c>
      <c r="Z38">
        <f t="shared" ca="1" si="3"/>
        <v>0</v>
      </c>
      <c r="AA38">
        <f t="shared" ca="1" si="15"/>
        <v>0</v>
      </c>
      <c r="AB38">
        <f t="shared" ca="1" si="4"/>
        <v>0</v>
      </c>
      <c r="AC38">
        <f t="shared" ca="1" si="5"/>
        <v>0</v>
      </c>
      <c r="AD38" s="83">
        <f ca="1"/>
        <v>45312</v>
      </c>
      <c r="AE38" s="55">
        <f t="shared" ca="1" si="20"/>
        <v>45312</v>
      </c>
      <c r="AF38" s="55">
        <f t="shared" ca="1" si="21"/>
        <v>20.508534672865526</v>
      </c>
      <c r="AG38" s="55">
        <f t="shared" ca="1" si="22"/>
        <v>2.188002099040367</v>
      </c>
      <c r="AH38" s="55">
        <f t="shared" ca="1" si="23"/>
        <v>0</v>
      </c>
      <c r="AI38" s="55">
        <f t="shared" ca="1" si="17"/>
        <v>0</v>
      </c>
      <c r="AJ38" s="55">
        <f t="shared" ca="1" si="18"/>
        <v>5.4441948160303513</v>
      </c>
      <c r="AK38" s="55">
        <f t="shared" ca="1" si="19"/>
        <v>-14.09866388770439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45145</v>
      </c>
      <c r="S39" s="55">
        <f t="shared" ca="1" si="11"/>
        <v>45145</v>
      </c>
      <c r="T39" s="55">
        <f t="shared" ca="1" si="0"/>
        <v>49.21876506484606</v>
      </c>
      <c r="U39" s="55">
        <f t="shared" ca="1" si="1"/>
        <v>0</v>
      </c>
      <c r="V39" s="55">
        <f t="shared" ca="1" si="2"/>
        <v>0</v>
      </c>
      <c r="W39" s="55">
        <f t="shared" ca="1" si="12"/>
        <v>0</v>
      </c>
      <c r="X39" s="55">
        <f t="shared" ca="1" si="13"/>
        <v>3.4167400996733965</v>
      </c>
      <c r="Y39" s="55">
        <f t="shared" ca="1" si="14"/>
        <v>-4.0886918503452652</v>
      </c>
      <c r="Z39">
        <f t="shared" ca="1" si="3"/>
        <v>0</v>
      </c>
      <c r="AA39">
        <f t="shared" ca="1" si="15"/>
        <v>0</v>
      </c>
      <c r="AB39">
        <f t="shared" ca="1" si="4"/>
        <v>0</v>
      </c>
      <c r="AC39">
        <f t="shared" ca="1" si="5"/>
        <v>0</v>
      </c>
      <c r="AD39" s="83">
        <f ca="1"/>
        <v>45313</v>
      </c>
      <c r="AE39" s="55">
        <f t="shared" ca="1" si="20"/>
        <v>45313</v>
      </c>
      <c r="AF39" s="55">
        <f t="shared" ca="1" si="21"/>
        <v>20.043484735097572</v>
      </c>
      <c r="AG39" s="55">
        <f t="shared" ca="1" si="22"/>
        <v>2.3251084782090214</v>
      </c>
      <c r="AH39" s="55">
        <f t="shared" ca="1" si="23"/>
        <v>0</v>
      </c>
      <c r="AI39" s="55">
        <f t="shared" ca="1" si="17"/>
        <v>0</v>
      </c>
      <c r="AJ39" s="55">
        <f t="shared" ca="1" si="18"/>
        <v>5.7428666271970874</v>
      </c>
      <c r="AK39" s="55">
        <f t="shared" ca="1" si="19"/>
        <v>-14.725279257470429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45146</v>
      </c>
      <c r="S40" s="55">
        <f t="shared" ca="1" si="11"/>
        <v>45146</v>
      </c>
      <c r="T40" s="55">
        <f t="shared" ca="1" si="0"/>
        <v>49.270885649319816</v>
      </c>
      <c r="U40" s="55">
        <f t="shared" ca="1" si="1"/>
        <v>0</v>
      </c>
      <c r="V40" s="55">
        <f t="shared" ca="1" si="2"/>
        <v>0</v>
      </c>
      <c r="W40" s="55">
        <f t="shared" ca="1" si="12"/>
        <v>0</v>
      </c>
      <c r="X40" s="55">
        <f t="shared" ca="1" si="13"/>
        <v>3.6197421130743557</v>
      </c>
      <c r="Y40" s="55">
        <f t="shared" ca="1" si="14"/>
        <v>-4.2395732792724719</v>
      </c>
      <c r="Z40">
        <f t="shared" ca="1" si="3"/>
        <v>0</v>
      </c>
      <c r="AA40">
        <f t="shared" ca="1" si="15"/>
        <v>0</v>
      </c>
      <c r="AB40">
        <f t="shared" ca="1" si="4"/>
        <v>0</v>
      </c>
      <c r="AC40">
        <f t="shared" ca="1" si="5"/>
        <v>0</v>
      </c>
      <c r="AD40" s="83">
        <f ca="1"/>
        <v>45314</v>
      </c>
      <c r="AE40" s="55">
        <f t="shared" ca="1" si="20"/>
        <v>45314</v>
      </c>
      <c r="AF40" s="55">
        <f t="shared" ca="1" si="21"/>
        <v>19.640340248192885</v>
      </c>
      <c r="AG40" s="55">
        <f t="shared" ca="1" si="22"/>
        <v>2.4619288705947913</v>
      </c>
      <c r="AH40" s="55">
        <f t="shared" ca="1" si="23"/>
        <v>0</v>
      </c>
      <c r="AI40" s="55">
        <f t="shared" ca="1" si="17"/>
        <v>0</v>
      </c>
      <c r="AJ40" s="55">
        <f t="shared" ca="1" si="18"/>
        <v>6.0152577580032265</v>
      </c>
      <c r="AK40" s="55">
        <f t="shared" ca="1" si="19"/>
        <v>-15.263994482795486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45147</v>
      </c>
      <c r="S41" s="55">
        <f t="shared" ca="1" si="11"/>
        <v>45147</v>
      </c>
      <c r="T41" s="55">
        <f t="shared" ca="1" si="0"/>
        <v>49.321808077851053</v>
      </c>
      <c r="U41" s="55">
        <f t="shared" ca="1" si="1"/>
        <v>0</v>
      </c>
      <c r="V41" s="55">
        <f t="shared" ca="1" si="2"/>
        <v>0</v>
      </c>
      <c r="W41" s="55">
        <f t="shared" ca="1" si="12"/>
        <v>0</v>
      </c>
      <c r="X41" s="55">
        <f t="shared" ca="1" si="13"/>
        <v>3.8101459166636289</v>
      </c>
      <c r="Y41" s="55">
        <f t="shared" ca="1" si="14"/>
        <v>-4.3790546543305027</v>
      </c>
      <c r="Z41">
        <f t="shared" ca="1" si="3"/>
        <v>0</v>
      </c>
      <c r="AA41">
        <f t="shared" ca="1" si="15"/>
        <v>0</v>
      </c>
      <c r="AB41">
        <f t="shared" ca="1" si="4"/>
        <v>0</v>
      </c>
      <c r="AC41">
        <f t="shared" ca="1" si="5"/>
        <v>0</v>
      </c>
      <c r="AD41" s="83">
        <f ca="1"/>
        <v>45315</v>
      </c>
      <c r="AE41" s="55">
        <f t="shared" ca="1" si="20"/>
        <v>45315</v>
      </c>
      <c r="AF41" s="55">
        <f t="shared" ca="1" si="21"/>
        <v>19.242723416641415</v>
      </c>
      <c r="AG41" s="55">
        <f t="shared" ca="1" si="22"/>
        <v>2.6037588471915387</v>
      </c>
      <c r="AH41" s="55">
        <f t="shared" ca="1" si="23"/>
        <v>0</v>
      </c>
      <c r="AI41" s="55">
        <f t="shared" ca="1" si="17"/>
        <v>0</v>
      </c>
      <c r="AJ41" s="55">
        <f t="shared" ca="1" si="18"/>
        <v>6.2819075304741565</v>
      </c>
      <c r="AK41" s="55">
        <f t="shared" ca="1" si="19"/>
        <v>-15.786431110221141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45148</v>
      </c>
      <c r="S42" s="55">
        <f t="shared" ca="1" si="11"/>
        <v>45148</v>
      </c>
      <c r="T42" s="55">
        <f t="shared" ca="1" si="0"/>
        <v>49.384241831650684</v>
      </c>
      <c r="U42" s="55">
        <f t="shared" ca="1" si="1"/>
        <v>0</v>
      </c>
      <c r="V42" s="55">
        <f t="shared" ca="1" si="2"/>
        <v>0</v>
      </c>
      <c r="W42" s="55">
        <f t="shared" ca="1" si="12"/>
        <v>0</v>
      </c>
      <c r="X42" s="55">
        <f t="shared" ca="1" si="13"/>
        <v>4.0121436631304395</v>
      </c>
      <c r="Y42" s="55">
        <f t="shared" ca="1" si="14"/>
        <v>-4.5186186469976768</v>
      </c>
      <c r="Z42">
        <f t="shared" ca="1" si="3"/>
        <v>0</v>
      </c>
      <c r="AA42">
        <f t="shared" ca="1" si="15"/>
        <v>0</v>
      </c>
      <c r="AB42">
        <f t="shared" ca="1" si="4"/>
        <v>0</v>
      </c>
      <c r="AC42">
        <f t="shared" ca="1" si="5"/>
        <v>0</v>
      </c>
      <c r="AD42" s="83">
        <f ca="1"/>
        <v>45316</v>
      </c>
      <c r="AE42" s="55">
        <f t="shared" ca="1" si="20"/>
        <v>45316</v>
      </c>
      <c r="AF42" s="55">
        <f t="shared" ca="1" si="21"/>
        <v>18.849395331202707</v>
      </c>
      <c r="AG42" s="55">
        <f t="shared" ca="1" si="22"/>
        <v>2.7522840399693789</v>
      </c>
      <c r="AH42" s="55">
        <f t="shared" ca="1" si="23"/>
        <v>0</v>
      </c>
      <c r="AI42" s="55">
        <f t="shared" ca="1" si="17"/>
        <v>0</v>
      </c>
      <c r="AJ42" s="55">
        <f t="shared" ca="1" si="18"/>
        <v>6.5463337151136223</v>
      </c>
      <c r="AK42" s="55">
        <f t="shared" ca="1" si="19"/>
        <v>-16.295660187521474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45149</v>
      </c>
      <c r="S43" s="55">
        <f t="shared" ca="1" si="11"/>
        <v>45149</v>
      </c>
      <c r="T43" s="55">
        <f t="shared" ca="1" si="0"/>
        <v>49.459483548105979</v>
      </c>
      <c r="U43" s="55">
        <f t="shared" ca="1" si="1"/>
        <v>0</v>
      </c>
      <c r="V43" s="55">
        <f t="shared" ca="1" si="2"/>
        <v>0</v>
      </c>
      <c r="W43" s="55">
        <f t="shared" ca="1" si="12"/>
        <v>0</v>
      </c>
      <c r="X43" s="55">
        <f t="shared" ca="1" si="13"/>
        <v>4.2268813679384802</v>
      </c>
      <c r="Y43" s="55">
        <f t="shared" ca="1" si="14"/>
        <v>-4.6581146353504295</v>
      </c>
      <c r="Z43">
        <f t="shared" ca="1" si="3"/>
        <v>0</v>
      </c>
      <c r="AA43">
        <f t="shared" ca="1" si="15"/>
        <v>0</v>
      </c>
      <c r="AB43">
        <f t="shared" ca="1" si="4"/>
        <v>0</v>
      </c>
      <c r="AC43">
        <f t="shared" ca="1" si="5"/>
        <v>0</v>
      </c>
      <c r="AD43" s="83">
        <f ca="1"/>
        <v>45317</v>
      </c>
      <c r="AE43" s="55">
        <f t="shared" ca="1" si="20"/>
        <v>45317</v>
      </c>
      <c r="AF43" s="55">
        <f t="shared" ca="1" si="21"/>
        <v>18.478770200771283</v>
      </c>
      <c r="AG43" s="55">
        <f t="shared" ca="1" si="22"/>
        <v>2.906657779162356</v>
      </c>
      <c r="AH43" s="55">
        <f t="shared" ca="1" si="23"/>
        <v>0</v>
      </c>
      <c r="AI43" s="55">
        <f t="shared" ca="1" si="17"/>
        <v>0</v>
      </c>
      <c r="AJ43" s="55">
        <f t="shared" ca="1" si="18"/>
        <v>6.8038746640186423</v>
      </c>
      <c r="AK43" s="55">
        <f t="shared" ca="1" si="19"/>
        <v>-16.769452527664942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45166</v>
      </c>
      <c r="C44" s="94" t="s">
        <v>149</v>
      </c>
      <c r="D44" s="96">
        <f ca="1">MAX(CurrentEstablishDate,C38:C43,MAX(C29:C34)+1)</f>
        <v>45166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45150</v>
      </c>
      <c r="S44" s="55">
        <f t="shared" ca="1" si="11"/>
        <v>45150</v>
      </c>
      <c r="T44" s="55">
        <f t="shared" ca="1" si="0"/>
        <v>49.542293738704984</v>
      </c>
      <c r="U44" s="55">
        <f t="shared" ca="1" si="1"/>
        <v>0</v>
      </c>
      <c r="V44" s="55">
        <f t="shared" ca="1" si="2"/>
        <v>0</v>
      </c>
      <c r="W44" s="55">
        <f t="shared" ca="1" si="12"/>
        <v>0</v>
      </c>
      <c r="X44" s="55">
        <f t="shared" ca="1" si="13"/>
        <v>4.4469821962491549</v>
      </c>
      <c r="Y44" s="55">
        <f t="shared" ca="1" si="14"/>
        <v>-4.795405273062098</v>
      </c>
      <c r="Z44">
        <f t="shared" ca="1" si="3"/>
        <v>0</v>
      </c>
      <c r="AA44">
        <f t="shared" ca="1" si="15"/>
        <v>0</v>
      </c>
      <c r="AB44">
        <f t="shared" ca="1" si="4"/>
        <v>0</v>
      </c>
      <c r="AC44">
        <f t="shared" ca="1" si="5"/>
        <v>0</v>
      </c>
      <c r="AD44" s="83">
        <f ca="1"/>
        <v>45318</v>
      </c>
      <c r="AE44" s="55">
        <f t="shared" ca="1" si="20"/>
        <v>45318</v>
      </c>
      <c r="AF44" s="55">
        <f t="shared" ca="1" si="21"/>
        <v>18.080194254750129</v>
      </c>
      <c r="AG44" s="55">
        <f t="shared" ca="1" si="22"/>
        <v>3.0685496356141075</v>
      </c>
      <c r="AH44" s="55">
        <f t="shared" ca="1" si="23"/>
        <v>0</v>
      </c>
      <c r="AI44" s="55">
        <f t="shared" ca="1" si="17"/>
        <v>0</v>
      </c>
      <c r="AJ44" s="55">
        <f t="shared" ca="1" si="18"/>
        <v>7.064819650223396</v>
      </c>
      <c r="AK44" s="55">
        <f t="shared" ca="1" si="19"/>
        <v>-17.267081603439099</v>
      </c>
    </row>
    <row r="45" spans="1:37" s="55" customFormat="1">
      <c r="R45" s="83">
        <f ca="1"/>
        <v>45151</v>
      </c>
      <c r="S45" s="55">
        <f t="shared" ca="1" si="11"/>
        <v>45151</v>
      </c>
      <c r="T45" s="55">
        <f t="shared" ca="1" si="0"/>
        <v>49.629189416359971</v>
      </c>
      <c r="U45" s="55">
        <f t="shared" ca="1" si="1"/>
        <v>0</v>
      </c>
      <c r="V45" s="55">
        <f t="shared" ca="1" si="2"/>
        <v>0</v>
      </c>
      <c r="W45" s="55">
        <f t="shared" ca="1" si="12"/>
        <v>0</v>
      </c>
      <c r="X45" s="55">
        <f t="shared" ca="1" si="13"/>
        <v>4.66411139013697</v>
      </c>
      <c r="Y45" s="55">
        <f t="shared" ca="1" si="14"/>
        <v>-4.9256387892949256</v>
      </c>
      <c r="Z45">
        <f t="shared" ca="1" si="3"/>
        <v>0</v>
      </c>
      <c r="AA45">
        <f t="shared" ca="1" si="15"/>
        <v>0</v>
      </c>
      <c r="AB45">
        <f t="shared" ca="1" si="4"/>
        <v>0</v>
      </c>
      <c r="AC45">
        <f t="shared" ca="1" si="5"/>
        <v>0</v>
      </c>
      <c r="AD45" s="83">
        <f ca="1"/>
        <v>45319</v>
      </c>
      <c r="AE45" s="55">
        <f t="shared" ca="1" si="20"/>
        <v>45319</v>
      </c>
      <c r="AF45" s="55">
        <f t="shared" ca="1" si="21"/>
        <v>17.683296168256661</v>
      </c>
      <c r="AG45" s="55">
        <f t="shared" ca="1" si="22"/>
        <v>3.2469574994412067</v>
      </c>
      <c r="AH45" s="55">
        <f t="shared" ca="1" si="23"/>
        <v>0</v>
      </c>
      <c r="AI45" s="55">
        <f t="shared" ca="1" si="17"/>
        <v>0</v>
      </c>
      <c r="AJ45" s="55">
        <f t="shared" ca="1" si="18"/>
        <v>7.3387284767801075</v>
      </c>
      <c r="AK45" s="55">
        <f t="shared" ca="1" si="19"/>
        <v>-17.75948065266218</v>
      </c>
    </row>
    <row r="46" spans="1:37" s="55" customFormat="1" ht="15" thickBot="1">
      <c r="C46" s="129" t="s">
        <v>153</v>
      </c>
      <c r="D46" s="129"/>
      <c r="E46" s="129"/>
      <c r="F46" s="129"/>
      <c r="G46" s="129"/>
      <c r="H46" s="129"/>
      <c r="R46" s="83">
        <f ca="1"/>
        <v>45152</v>
      </c>
      <c r="S46" s="55">
        <f t="shared" ca="1" si="11"/>
        <v>45152</v>
      </c>
      <c r="T46" s="55">
        <f t="shared" ca="1" si="0"/>
        <v>49.723449465007334</v>
      </c>
      <c r="U46" s="55">
        <f t="shared" ca="1" si="1"/>
        <v>0</v>
      </c>
      <c r="V46" s="55">
        <f t="shared" ca="1" si="2"/>
        <v>0</v>
      </c>
      <c r="W46" s="55">
        <f t="shared" ca="1" si="12"/>
        <v>0</v>
      </c>
      <c r="X46" s="55">
        <f t="shared" ca="1" si="13"/>
        <v>4.8834979720516962</v>
      </c>
      <c r="Y46" s="55">
        <f t="shared" ca="1" si="14"/>
        <v>-5.0507653225622882</v>
      </c>
      <c r="Z46">
        <f t="shared" ca="1" si="3"/>
        <v>0</v>
      </c>
      <c r="AA46">
        <f t="shared" ca="1" si="15"/>
        <v>0</v>
      </c>
      <c r="AB46">
        <f t="shared" ca="1" si="4"/>
        <v>0</v>
      </c>
      <c r="AC46">
        <f t="shared" ca="1" si="5"/>
        <v>0</v>
      </c>
      <c r="AD46" s="83">
        <f ca="1"/>
        <v>45320</v>
      </c>
      <c r="AE46" s="55">
        <f t="shared" ca="1" si="20"/>
        <v>45320</v>
      </c>
      <c r="AF46" s="55">
        <f t="shared" ca="1" si="21"/>
        <v>17.326702917151181</v>
      </c>
      <c r="AG46" s="55">
        <f t="shared" ca="1" si="22"/>
        <v>3.4405844412460049</v>
      </c>
      <c r="AH46" s="55">
        <f t="shared" ca="1" si="23"/>
        <v>0</v>
      </c>
      <c r="AI46" s="55">
        <f t="shared" ca="1" si="17"/>
        <v>0</v>
      </c>
      <c r="AJ46" s="55">
        <f t="shared" ca="1" si="18"/>
        <v>7.6146556914553889</v>
      </c>
      <c r="AK46" s="55">
        <f t="shared" ca="1" si="19"/>
        <v>-18.198374176638143</v>
      </c>
    </row>
    <row r="47" spans="1:37" s="55" customFormat="1">
      <c r="C47" s="61" t="s">
        <v>26</v>
      </c>
      <c r="D47" s="88" t="str">
        <f>IF(E47="","Fodder",E47)</f>
        <v>Fodder</v>
      </c>
      <c r="E47" s="87" t="s">
        <v>31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45153</v>
      </c>
      <c r="S47" s="55">
        <f t="shared" ca="1" si="11"/>
        <v>45153</v>
      </c>
      <c r="T47" s="55">
        <f t="shared" ca="1" si="0"/>
        <v>49.820191490573613</v>
      </c>
      <c r="U47" s="55">
        <f t="shared" ca="1" si="1"/>
        <v>0</v>
      </c>
      <c r="V47" s="55">
        <f t="shared" ca="1" si="2"/>
        <v>0</v>
      </c>
      <c r="W47" s="55">
        <f t="shared" ca="1" si="12"/>
        <v>0</v>
      </c>
      <c r="X47" s="55">
        <f t="shared" ca="1" si="13"/>
        <v>5.0985173720534682</v>
      </c>
      <c r="Y47" s="55">
        <f t="shared" ca="1" si="14"/>
        <v>-5.1690426969977823</v>
      </c>
      <c r="Z47">
        <f t="shared" ca="1" si="3"/>
        <v>0</v>
      </c>
      <c r="AA47">
        <f t="shared" ca="1" si="15"/>
        <v>0</v>
      </c>
      <c r="AB47">
        <f t="shared" ca="1" si="4"/>
        <v>0</v>
      </c>
      <c r="AC47">
        <f t="shared" ca="1" si="5"/>
        <v>0</v>
      </c>
      <c r="AD47" s="83">
        <f ca="1"/>
        <v>45321</v>
      </c>
      <c r="AE47" s="55">
        <f t="shared" ca="1" si="20"/>
        <v>45321</v>
      </c>
      <c r="AF47" s="55">
        <f t="shared" ca="1" si="21"/>
        <v>16.986193162043833</v>
      </c>
      <c r="AG47" s="55">
        <f t="shared" ca="1" si="22"/>
        <v>3.6519628944578644</v>
      </c>
      <c r="AH47" s="55">
        <f t="shared" ca="1" si="23"/>
        <v>0</v>
      </c>
      <c r="AI47" s="55">
        <f t="shared" ca="1" si="17"/>
        <v>0</v>
      </c>
      <c r="AJ47" s="55">
        <f t="shared" ca="1" si="18"/>
        <v>7.8978491638998589</v>
      </c>
      <c r="AK47" s="55">
        <f t="shared" ca="1" si="19"/>
        <v>-18.610698950978101</v>
      </c>
    </row>
    <row r="48" spans="1:37" s="55" customFormat="1">
      <c r="C48" s="61" t="s">
        <v>94</v>
      </c>
      <c r="D48" s="84" t="str">
        <f>IF(E48="","Barley",E48)</f>
        <v>Oat</v>
      </c>
      <c r="E48" s="66" t="s">
        <v>32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45154</v>
      </c>
      <c r="S48" s="55">
        <f t="shared" ca="1" si="11"/>
        <v>45154</v>
      </c>
      <c r="T48" s="55">
        <f t="shared" ca="1" si="0"/>
        <v>49.927952090448905</v>
      </c>
      <c r="U48" s="55">
        <f t="shared" ca="1" si="1"/>
        <v>0</v>
      </c>
      <c r="V48" s="55">
        <f t="shared" ca="1" si="2"/>
        <v>0</v>
      </c>
      <c r="W48" s="55">
        <f t="shared" ca="1" si="12"/>
        <v>0</v>
      </c>
      <c r="X48" s="55">
        <f t="shared" ca="1" si="13"/>
        <v>5.3227445459583942</v>
      </c>
      <c r="Y48" s="55">
        <f t="shared" ca="1" si="14"/>
        <v>-5.2855092710274194</v>
      </c>
      <c r="Z48">
        <f t="shared" ca="1" si="3"/>
        <v>0</v>
      </c>
      <c r="AA48">
        <f t="shared" ca="1" si="15"/>
        <v>0</v>
      </c>
      <c r="AB48">
        <f t="shared" ca="1" si="4"/>
        <v>0</v>
      </c>
      <c r="AC48">
        <f t="shared" ca="1" si="5"/>
        <v>0</v>
      </c>
      <c r="AD48" s="83">
        <f ca="1"/>
        <v>45322</v>
      </c>
      <c r="AE48" s="55">
        <f t="shared" ca="1" si="20"/>
        <v>45322</v>
      </c>
      <c r="AF48" s="55">
        <f t="shared" ca="1" si="21"/>
        <v>16.656134132669528</v>
      </c>
      <c r="AG48" s="55">
        <f t="shared" ca="1" si="22"/>
        <v>3.8776331424412329</v>
      </c>
      <c r="AH48" s="55">
        <f t="shared" ca="1" si="23"/>
        <v>0</v>
      </c>
      <c r="AI48" s="55">
        <f t="shared" ca="1" si="17"/>
        <v>0</v>
      </c>
      <c r="AJ48" s="55">
        <f t="shared" ca="1" si="18"/>
        <v>8.1814227758419698</v>
      </c>
      <c r="AK48" s="55">
        <f t="shared" ca="1" si="19"/>
        <v>-18.998661344311145</v>
      </c>
    </row>
    <row r="49" spans="2:37" s="55" customFormat="1">
      <c r="C49" s="61" t="s">
        <v>95</v>
      </c>
      <c r="D49" s="84" t="str">
        <f>IF(E49="","General",E49)</f>
        <v>General</v>
      </c>
      <c r="E49" s="66"/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45155</v>
      </c>
      <c r="S49" s="55">
        <f t="shared" ca="1" si="11"/>
        <v>45155</v>
      </c>
      <c r="T49" s="55">
        <f t="shared" ca="1" si="0"/>
        <v>50.054769564913883</v>
      </c>
      <c r="U49" s="55">
        <f t="shared" ca="1" si="1"/>
        <v>0</v>
      </c>
      <c r="V49" s="55">
        <f t="shared" ca="1" si="2"/>
        <v>0</v>
      </c>
      <c r="W49" s="55">
        <f t="shared" ca="1" si="12"/>
        <v>0</v>
      </c>
      <c r="X49" s="55">
        <f t="shared" ca="1" si="13"/>
        <v>5.5666944902689446</v>
      </c>
      <c r="Y49" s="55">
        <f t="shared" ca="1" si="14"/>
        <v>-5.4026417408729897</v>
      </c>
      <c r="Z49">
        <f t="shared" ca="1" si="3"/>
        <v>0</v>
      </c>
      <c r="AA49">
        <f t="shared" ca="1" si="15"/>
        <v>0</v>
      </c>
      <c r="AB49">
        <f t="shared" ca="1" si="4"/>
        <v>0</v>
      </c>
      <c r="AC49">
        <f t="shared" ca="1" si="5"/>
        <v>0</v>
      </c>
      <c r="AD49" s="83">
        <f ca="1"/>
        <v>45323</v>
      </c>
      <c r="AE49" s="55">
        <f t="shared" ca="1" si="20"/>
        <v>45323</v>
      </c>
      <c r="AF49" s="55">
        <f t="shared" ca="1" si="21"/>
        <v>16.368534031906073</v>
      </c>
      <c r="AG49" s="55">
        <f t="shared" ca="1" si="22"/>
        <v>4.1092419728169611</v>
      </c>
      <c r="AH49" s="55">
        <f t="shared" ca="1" si="23"/>
        <v>0</v>
      </c>
      <c r="AI49" s="55">
        <f t="shared" ca="1" si="17"/>
        <v>0</v>
      </c>
      <c r="AJ49" s="55">
        <f t="shared" ca="1" si="18"/>
        <v>8.4475975088936011</v>
      </c>
      <c r="AK49" s="55">
        <f t="shared" ca="1" si="19"/>
        <v>-19.320827347750505</v>
      </c>
    </row>
    <row r="50" spans="2:37" s="55" customFormat="1">
      <c r="B50" s="90">
        <f>IF(PriorUnits="kg/head",PriorYield*PriorPopulation/1000,IF(PriorUnits="kg/ha",PriorYield/1000,PriorYield))</f>
        <v>10</v>
      </c>
      <c r="C50" s="64" t="s">
        <v>150</v>
      </c>
      <c r="D50" s="65" t="str">
        <f>SUBSTITUTE(PriorCropName&amp;" "&amp;PriorCropType&amp;" "&amp;PriorCropVariety,"_"," ")</f>
        <v>Oat Fodder General</v>
      </c>
      <c r="F50" s="56"/>
      <c r="R50" s="83">
        <f ca="1"/>
        <v>45156</v>
      </c>
      <c r="S50" s="55">
        <f t="shared" ca="1" si="11"/>
        <v>45156</v>
      </c>
      <c r="T50" s="55">
        <f t="shared" ca="1" si="0"/>
        <v>50.193246156212297</v>
      </c>
      <c r="U50" s="55">
        <f t="shared" ca="1" si="1"/>
        <v>0</v>
      </c>
      <c r="V50" s="55">
        <f t="shared" ca="1" si="2"/>
        <v>0</v>
      </c>
      <c r="W50" s="55">
        <f t="shared" ca="1" si="12"/>
        <v>0</v>
      </c>
      <c r="X50" s="55">
        <f t="shared" ca="1" si="13"/>
        <v>5.8189377702830161</v>
      </c>
      <c r="Y50" s="55">
        <f t="shared" ca="1" si="14"/>
        <v>-5.5164084295886493</v>
      </c>
      <c r="Z50">
        <f t="shared" ca="1" si="3"/>
        <v>0</v>
      </c>
      <c r="AA50">
        <f t="shared" ca="1" si="15"/>
        <v>0</v>
      </c>
      <c r="AB50">
        <f t="shared" ca="1" si="4"/>
        <v>0</v>
      </c>
      <c r="AC50">
        <f t="shared" ca="1" si="5"/>
        <v>0</v>
      </c>
      <c r="AD50" s="83">
        <f ca="1"/>
        <v>45324</v>
      </c>
      <c r="AE50" s="55">
        <f t="shared" ca="1" si="20"/>
        <v>45324</v>
      </c>
      <c r="AF50" s="55">
        <f t="shared" ca="1" si="21"/>
        <v>16.090308834508004</v>
      </c>
      <c r="AG50" s="55">
        <f t="shared" ca="1" si="22"/>
        <v>4.3396380098426039</v>
      </c>
      <c r="AH50" s="55">
        <f t="shared" ca="1" si="23"/>
        <v>0</v>
      </c>
      <c r="AI50" s="55">
        <f t="shared" ca="1" si="17"/>
        <v>0</v>
      </c>
      <c r="AJ50" s="55">
        <f t="shared" ca="1" si="18"/>
        <v>8.6934015240113816</v>
      </c>
      <c r="AK50" s="55">
        <f t="shared" ca="1" si="19"/>
        <v>-19.614460523240712</v>
      </c>
    </row>
    <row r="51" spans="2:37" s="55" customFormat="1">
      <c r="C51" s="61" t="s">
        <v>4</v>
      </c>
      <c r="D51" s="68">
        <f>IF(E51="",CurrentEstablishDate-60,E51)</f>
        <v>44999</v>
      </c>
      <c r="E51" s="67">
        <v>44999</v>
      </c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45157</v>
      </c>
      <c r="S51" s="55">
        <f t="shared" ca="1" si="11"/>
        <v>45157</v>
      </c>
      <c r="T51" s="55">
        <f t="shared" ca="1" si="0"/>
        <v>50.333172841798721</v>
      </c>
      <c r="U51" s="55">
        <f t="shared" ca="1" si="1"/>
        <v>0</v>
      </c>
      <c r="V51" s="55">
        <f t="shared" ca="1" si="2"/>
        <v>0</v>
      </c>
      <c r="W51" s="55">
        <f t="shared" ca="1" si="12"/>
        <v>0</v>
      </c>
      <c r="X51" s="55">
        <f t="shared" ca="1" si="13"/>
        <v>6.0667927246343165</v>
      </c>
      <c r="Y51" s="55">
        <f t="shared" ca="1" si="14"/>
        <v>-5.6243366983535195</v>
      </c>
      <c r="Z51">
        <f t="shared" ca="1" si="3"/>
        <v>0</v>
      </c>
      <c r="AA51">
        <f t="shared" ca="1" si="15"/>
        <v>0</v>
      </c>
      <c r="AB51">
        <f t="shared" ca="1" si="4"/>
        <v>0</v>
      </c>
      <c r="AC51">
        <f t="shared" ca="1" si="5"/>
        <v>0</v>
      </c>
      <c r="AD51" s="83">
        <f ca="1"/>
        <v>45325</v>
      </c>
      <c r="AE51" s="55">
        <f t="shared" ca="1" si="20"/>
        <v>45325</v>
      </c>
      <c r="AF51" s="55">
        <f t="shared" ca="1" si="21"/>
        <v>15.821260288738902</v>
      </c>
      <c r="AG51" s="55">
        <f t="shared" ca="1" si="22"/>
        <v>4.5798098068495978</v>
      </c>
      <c r="AH51" s="55">
        <f t="shared" ca="1" si="23"/>
        <v>0</v>
      </c>
      <c r="AI51" s="55">
        <f t="shared" ca="1" si="17"/>
        <v>0</v>
      </c>
      <c r="AJ51" s="55">
        <f t="shared" ca="1" si="18"/>
        <v>8.9336686300470145</v>
      </c>
      <c r="AK51" s="55">
        <f t="shared" ca="1" si="19"/>
        <v>-19.883604378038452</v>
      </c>
    </row>
    <row r="52" spans="2:37" s="55" customFormat="1">
      <c r="C52" s="61" t="s">
        <v>5</v>
      </c>
      <c r="D52" s="68">
        <f>IF(E52="",CurrentEstablishDate-15,E52)</f>
        <v>45124</v>
      </c>
      <c r="E52" s="67">
        <v>45124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45158</v>
      </c>
      <c r="S52" s="55">
        <f t="shared" ca="1" si="11"/>
        <v>45158</v>
      </c>
      <c r="T52" s="55">
        <f t="shared" ca="1" si="0"/>
        <v>50.475868152723542</v>
      </c>
      <c r="U52" s="55">
        <f t="shared" ca="1" si="1"/>
        <v>0</v>
      </c>
      <c r="V52" s="55">
        <f t="shared" ca="1" si="2"/>
        <v>0</v>
      </c>
      <c r="W52" s="55">
        <f t="shared" ca="1" si="12"/>
        <v>0</v>
      </c>
      <c r="X52" s="55">
        <f t="shared" ca="1" si="13"/>
        <v>6.314252179762871</v>
      </c>
      <c r="Y52" s="55">
        <f t="shared" ca="1" si="14"/>
        <v>-5.7291008425572567</v>
      </c>
      <c r="Z52">
        <f t="shared" ca="1" si="3"/>
        <v>0</v>
      </c>
      <c r="AA52">
        <f t="shared" ca="1" si="15"/>
        <v>0</v>
      </c>
      <c r="AB52">
        <f t="shared" ca="1" si="4"/>
        <v>0</v>
      </c>
      <c r="AC52">
        <f t="shared" ca="1" si="5"/>
        <v>0</v>
      </c>
      <c r="AD52" s="83">
        <f ca="1"/>
        <v>45326</v>
      </c>
      <c r="AE52" s="55">
        <f t="shared" ca="1" si="20"/>
        <v>45326</v>
      </c>
      <c r="AF52" s="55">
        <f t="shared" ca="1" si="21"/>
        <v>15.510084167356613</v>
      </c>
      <c r="AG52" s="55">
        <f t="shared" ca="1" si="22"/>
        <v>4.858169231557679</v>
      </c>
      <c r="AH52" s="55">
        <f t="shared" ca="1" si="23"/>
        <v>0</v>
      </c>
      <c r="AI52" s="55">
        <f t="shared" ca="1" si="17"/>
        <v>0</v>
      </c>
      <c r="AJ52" s="55">
        <f t="shared" ca="1" si="18"/>
        <v>9.2068714216317193</v>
      </c>
      <c r="AK52" s="55">
        <f t="shared" ca="1" si="19"/>
        <v>-20.189623866297364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45159</v>
      </c>
      <c r="S53" s="55">
        <f t="shared" ca="1" si="11"/>
        <v>45159</v>
      </c>
      <c r="T53" s="55">
        <f t="shared" ca="1" si="0"/>
        <v>50.623725974780712</v>
      </c>
      <c r="U53" s="55">
        <f t="shared" ca="1" si="1"/>
        <v>0</v>
      </c>
      <c r="V53" s="55">
        <f t="shared" ca="1" si="2"/>
        <v>0</v>
      </c>
      <c r="W53" s="55">
        <f t="shared" ca="1" si="12"/>
        <v>0</v>
      </c>
      <c r="X53" s="55">
        <f t="shared" ca="1" si="13"/>
        <v>6.5613042944841578</v>
      </c>
      <c r="Y53" s="55">
        <f t="shared" ca="1" si="14"/>
        <v>-5.8282951352213725</v>
      </c>
      <c r="Z53">
        <f t="shared" ca="1" si="3"/>
        <v>0</v>
      </c>
      <c r="AA53">
        <f t="shared" ca="1" si="15"/>
        <v>0</v>
      </c>
      <c r="AB53">
        <f t="shared" ca="1" si="4"/>
        <v>0</v>
      </c>
      <c r="AC53">
        <f t="shared" ca="1" si="5"/>
        <v>0</v>
      </c>
      <c r="AD53" s="83">
        <f ca="1"/>
        <v>45327</v>
      </c>
      <c r="AE53" s="55">
        <f t="shared" ca="1" si="20"/>
        <v>45327</v>
      </c>
      <c r="AF53" s="55">
        <f t="shared" ca="1" si="21"/>
        <v>15.194801264737741</v>
      </c>
      <c r="AG53" s="55">
        <f t="shared" ca="1" si="22"/>
        <v>5.1219779413457509</v>
      </c>
      <c r="AH53" s="55">
        <f t="shared" ca="1" si="23"/>
        <v>0</v>
      </c>
      <c r="AI53" s="55">
        <f t="shared" ca="1" si="17"/>
        <v>0</v>
      </c>
      <c r="AJ53" s="55">
        <f t="shared" ca="1" si="18"/>
        <v>9.4478706141339153</v>
      </c>
      <c r="AK53" s="55">
        <f t="shared" ca="1" si="19"/>
        <v>-20.482097251630361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10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45160</v>
      </c>
      <c r="S54" s="55">
        <f t="shared" ca="1" si="11"/>
        <v>45160</v>
      </c>
      <c r="T54" s="55">
        <f t="shared" ca="1" si="0"/>
        <v>50.792900362182763</v>
      </c>
      <c r="U54" s="55">
        <f t="shared" ca="1" si="1"/>
        <v>0</v>
      </c>
      <c r="V54" s="55">
        <f t="shared" ca="1" si="2"/>
        <v>0</v>
      </c>
      <c r="W54" s="55">
        <f t="shared" ca="1" si="12"/>
        <v>0</v>
      </c>
      <c r="X54" s="55">
        <f t="shared" ca="1" si="13"/>
        <v>6.8281019156623444</v>
      </c>
      <c r="Y54" s="55">
        <f t="shared" ca="1" si="14"/>
        <v>-5.9259183689975083</v>
      </c>
      <c r="Z54">
        <f t="shared" ca="1" si="3"/>
        <v>0</v>
      </c>
      <c r="AA54">
        <f t="shared" ca="1" si="15"/>
        <v>0</v>
      </c>
      <c r="AB54">
        <f t="shared" ca="1" si="4"/>
        <v>0</v>
      </c>
      <c r="AC54">
        <f t="shared" ca="1" si="5"/>
        <v>0</v>
      </c>
      <c r="AD54" s="83">
        <f ca="1"/>
        <v>45328</v>
      </c>
      <c r="AE54" s="55">
        <f t="shared" ca="1" si="20"/>
        <v>45328</v>
      </c>
      <c r="AF54" s="55">
        <f t="shared" ca="1" si="21"/>
        <v>14.890432765991328</v>
      </c>
      <c r="AG54" s="55">
        <f t="shared" ca="1" si="22"/>
        <v>5.4079111470874741</v>
      </c>
      <c r="AH54" s="55">
        <f t="shared" ca="1" si="23"/>
        <v>0</v>
      </c>
      <c r="AI54" s="55">
        <f t="shared" ca="1" si="17"/>
        <v>0</v>
      </c>
      <c r="AJ54" s="55">
        <f t="shared" ca="1" si="18"/>
        <v>9.6933272777317825</v>
      </c>
      <c r="AK54" s="55">
        <f t="shared" ca="1" si="19"/>
        <v>-20.745989208232917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45161</v>
      </c>
      <c r="S55" s="55">
        <f t="shared" ca="1" si="11"/>
        <v>45161</v>
      </c>
      <c r="T55" s="55">
        <f t="shared" ca="1" si="0"/>
        <v>50.970838868167455</v>
      </c>
      <c r="U55" s="55">
        <f t="shared" ca="1" si="1"/>
        <v>0</v>
      </c>
      <c r="V55" s="55">
        <f t="shared" ca="1" si="2"/>
        <v>0</v>
      </c>
      <c r="W55" s="55">
        <f t="shared" ca="1" si="12"/>
        <v>0</v>
      </c>
      <c r="X55" s="55">
        <f t="shared" ca="1" si="13"/>
        <v>7.1012573118078643</v>
      </c>
      <c r="Y55" s="55">
        <f t="shared" ca="1" si="14"/>
        <v>-6.0211352591583385</v>
      </c>
      <c r="Z55">
        <f t="shared" ca="1" si="3"/>
        <v>0</v>
      </c>
      <c r="AA55">
        <f t="shared" ca="1" si="15"/>
        <v>0</v>
      </c>
      <c r="AB55">
        <f t="shared" ca="1" si="4"/>
        <v>0</v>
      </c>
      <c r="AC55">
        <f t="shared" ca="1" si="5"/>
        <v>0</v>
      </c>
      <c r="AD55" s="83">
        <f ca="1"/>
        <v>45329</v>
      </c>
      <c r="AE55" s="55">
        <f t="shared" ca="1" si="20"/>
        <v>45329</v>
      </c>
      <c r="AF55" s="55">
        <f t="shared" ca="1" si="21"/>
        <v>14.56388036865739</v>
      </c>
      <c r="AG55" s="55">
        <f t="shared" ca="1" si="22"/>
        <v>5.709195304492571</v>
      </c>
      <c r="AH55" s="55">
        <f t="shared" ca="1" si="23"/>
        <v>0</v>
      </c>
      <c r="AI55" s="55">
        <f t="shared" ca="1" si="17"/>
        <v>0</v>
      </c>
      <c r="AJ55" s="55">
        <f t="shared" ca="1" si="18"/>
        <v>9.9408101901575723</v>
      </c>
      <c r="AK55" s="55">
        <f t="shared" ca="1" si="19"/>
        <v>-21.018740360587547</v>
      </c>
    </row>
    <row r="56" spans="2:37" s="55" customFormat="1">
      <c r="C56" s="64" t="str">
        <f>"Yield "&amp;ROUND(PriorYield_tperHa,0)&amp;" (t/ha)"</f>
        <v>Yield 10 (t/ha)</v>
      </c>
      <c r="D56" s="90" t="str">
        <f ca="1">"Previous crop residues are providing "&amp;ROUND('Model Interface'!M9,0)&amp;" kg N/ha to the current crop"</f>
        <v>Previous crop residues are providing -8 kg N/ha to the current crop</v>
      </c>
      <c r="R56" s="83">
        <f ca="1"/>
        <v>45162</v>
      </c>
      <c r="S56" s="55">
        <f t="shared" ca="1" si="11"/>
        <v>45162</v>
      </c>
      <c r="T56" s="55">
        <f t="shared" ca="1" si="0"/>
        <v>51.153373967008498</v>
      </c>
      <c r="U56" s="55">
        <f t="shared" ca="1" si="1"/>
        <v>0</v>
      </c>
      <c r="V56" s="55">
        <f t="shared" ca="1" si="2"/>
        <v>0</v>
      </c>
      <c r="W56" s="55">
        <f t="shared" ca="1" si="12"/>
        <v>0</v>
      </c>
      <c r="X56" s="55">
        <f t="shared" ca="1" si="13"/>
        <v>7.3787202706251129</v>
      </c>
      <c r="Y56" s="55">
        <f t="shared" ca="1" si="14"/>
        <v>-6.1160631191345418</v>
      </c>
      <c r="Z56">
        <f t="shared" ca="1" si="3"/>
        <v>0</v>
      </c>
      <c r="AA56">
        <f t="shared" ca="1" si="15"/>
        <v>0</v>
      </c>
      <c r="AB56">
        <f t="shared" ca="1" si="4"/>
        <v>0</v>
      </c>
      <c r="AC56">
        <f t="shared" ca="1" si="5"/>
        <v>0</v>
      </c>
      <c r="AD56" s="83">
        <f ca="1"/>
        <v>45330</v>
      </c>
      <c r="AE56" s="55">
        <f t="shared" ca="1" si="20"/>
        <v>45330</v>
      </c>
      <c r="AF56" s="55">
        <f t="shared" ca="1" si="21"/>
        <v>14.242351407653747</v>
      </c>
      <c r="AG56" s="55">
        <f t="shared" ca="1" si="22"/>
        <v>6.0333053119619677</v>
      </c>
      <c r="AH56" s="55">
        <f t="shared" ca="1" si="23"/>
        <v>0</v>
      </c>
      <c r="AI56" s="55">
        <f t="shared" ca="1" si="17"/>
        <v>0</v>
      </c>
      <c r="AJ56" s="55">
        <f t="shared" ca="1" si="18"/>
        <v>10.191074030587396</v>
      </c>
      <c r="AK56" s="55">
        <f t="shared" ca="1" si="19"/>
        <v>-21.266423154551617</v>
      </c>
    </row>
    <row r="57" spans="2:37" s="55" customFormat="1" ht="15" thickBot="1">
      <c r="C57" s="129" t="s">
        <v>154</v>
      </c>
      <c r="D57" s="129"/>
      <c r="E57" s="129"/>
      <c r="F57" s="129"/>
      <c r="G57" s="129"/>
      <c r="H57" s="129"/>
      <c r="R57" s="83">
        <f ca="1"/>
        <v>45163</v>
      </c>
      <c r="S57" s="55">
        <f t="shared" ca="1" si="11"/>
        <v>45163</v>
      </c>
      <c r="T57" s="55">
        <f t="shared" ca="1" si="0"/>
        <v>51.341419609543607</v>
      </c>
      <c r="U57" s="55">
        <f t="shared" ca="1" si="1"/>
        <v>0</v>
      </c>
      <c r="V57" s="55">
        <f t="shared" ca="1" si="2"/>
        <v>0</v>
      </c>
      <c r="W57" s="55">
        <f t="shared" ca="1" si="12"/>
        <v>0</v>
      </c>
      <c r="X57" s="55">
        <f t="shared" ca="1" si="13"/>
        <v>7.6596151103895735</v>
      </c>
      <c r="Y57" s="55">
        <f t="shared" ca="1" si="14"/>
        <v>-6.2089123163638913</v>
      </c>
      <c r="Z57">
        <f t="shared" ca="1" si="3"/>
        <v>0</v>
      </c>
      <c r="AA57">
        <f t="shared" ca="1" si="15"/>
        <v>0</v>
      </c>
      <c r="AB57">
        <f t="shared" ca="1" si="4"/>
        <v>0</v>
      </c>
      <c r="AC57">
        <f t="shared" ca="1" si="5"/>
        <v>0</v>
      </c>
      <c r="AD57" s="83">
        <f ca="1"/>
        <v>45331</v>
      </c>
      <c r="AE57" s="55">
        <f t="shared" ca="1" si="20"/>
        <v>45331</v>
      </c>
      <c r="AF57" s="55">
        <f t="shared" ca="1" si="21"/>
        <v>13.91375987524841</v>
      </c>
      <c r="AG57" s="55">
        <f t="shared" ca="1" si="22"/>
        <v>6.3773509552966727</v>
      </c>
      <c r="AH57" s="55">
        <f t="shared" ca="1" si="23"/>
        <v>0</v>
      </c>
      <c r="AI57" s="55">
        <f t="shared" ca="1" si="17"/>
        <v>0</v>
      </c>
      <c r="AJ57" s="55">
        <f t="shared" ca="1" si="18"/>
        <v>10.442069465282193</v>
      </c>
      <c r="AK57" s="55">
        <f t="shared" ca="1" si="19"/>
        <v>-21.501964478317046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45164</v>
      </c>
      <c r="S58" s="55">
        <f t="shared" ca="1" si="11"/>
        <v>45164</v>
      </c>
      <c r="T58" s="55">
        <f t="shared" ca="1" si="0"/>
        <v>51.537916103755528</v>
      </c>
      <c r="U58" s="55">
        <f t="shared" ca="1" si="1"/>
        <v>0</v>
      </c>
      <c r="V58" s="55">
        <f t="shared" ca="1" si="2"/>
        <v>0</v>
      </c>
      <c r="W58" s="55">
        <f t="shared" ca="1" si="12"/>
        <v>0</v>
      </c>
      <c r="X58" s="55">
        <f t="shared" ca="1" si="13"/>
        <v>7.9452642504586191</v>
      </c>
      <c r="Y58" s="55">
        <f t="shared" ca="1" si="14"/>
        <v>-6.298064962221015</v>
      </c>
      <c r="Z58">
        <f t="shared" ca="1" si="3"/>
        <v>0</v>
      </c>
      <c r="AA58">
        <f t="shared" ca="1" si="15"/>
        <v>0</v>
      </c>
      <c r="AB58">
        <f t="shared" ca="1" si="4"/>
        <v>0</v>
      </c>
      <c r="AC58">
        <f t="shared" ca="1" si="5"/>
        <v>0</v>
      </c>
      <c r="AD58" s="83">
        <f ca="1"/>
        <v>45332</v>
      </c>
      <c r="AE58" s="55">
        <f t="shared" ca="1" si="20"/>
        <v>45332</v>
      </c>
      <c r="AF58" s="55">
        <f t="shared" ca="1" si="21"/>
        <v>13.586098989973138</v>
      </c>
      <c r="AG58" s="55">
        <f t="shared" ca="1" si="22"/>
        <v>6.7384192248051145</v>
      </c>
      <c r="AH58" s="55">
        <f t="shared" ca="1" si="23"/>
        <v>0</v>
      </c>
      <c r="AI58" s="55">
        <f t="shared" ca="1" si="17"/>
        <v>0</v>
      </c>
      <c r="AJ58" s="55">
        <f t="shared" ca="1" si="18"/>
        <v>10.689042419803506</v>
      </c>
      <c r="AK58" s="55">
        <f t="shared" ca="1" si="19"/>
        <v>-21.715530048605189</v>
      </c>
    </row>
    <row r="59" spans="2:37" s="55" customFormat="1">
      <c r="C59" s="61" t="s">
        <v>94</v>
      </c>
      <c r="D59" s="84" t="str">
        <f>IF(E59="","Oat",E59)</f>
        <v>Oat</v>
      </c>
      <c r="E59" s="66"/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45165</v>
      </c>
      <c r="S59" s="55">
        <f t="shared" ca="1" si="11"/>
        <v>45165</v>
      </c>
      <c r="T59" s="55">
        <f t="shared" ca="1" si="0"/>
        <v>51.746033162784499</v>
      </c>
      <c r="U59" s="55">
        <f t="shared" ca="1" si="1"/>
        <v>0</v>
      </c>
      <c r="V59" s="55">
        <f t="shared" ca="1" si="2"/>
        <v>0</v>
      </c>
      <c r="W59" s="55">
        <f t="shared" ca="1" si="12"/>
        <v>0</v>
      </c>
      <c r="X59" s="55">
        <f t="shared" ca="1" si="13"/>
        <v>8.2393806598605117</v>
      </c>
      <c r="Y59" s="55">
        <f t="shared" ca="1" si="14"/>
        <v>-6.3840643125939405</v>
      </c>
      <c r="Z59">
        <f t="shared" ca="1" si="3"/>
        <v>0</v>
      </c>
      <c r="AA59">
        <f t="shared" ca="1" si="15"/>
        <v>0</v>
      </c>
      <c r="AB59">
        <f t="shared" ca="1" si="4"/>
        <v>0</v>
      </c>
      <c r="AC59">
        <f t="shared" ca="1" si="5"/>
        <v>0</v>
      </c>
      <c r="AD59" s="83">
        <f ca="1"/>
        <v>45333</v>
      </c>
      <c r="AE59" s="55">
        <f t="shared" ca="1" si="20"/>
        <v>45333</v>
      </c>
      <c r="AF59" s="55">
        <f t="shared" ca="1" si="21"/>
        <v>13.23624011439038</v>
      </c>
      <c r="AG59" s="55">
        <f t="shared" ca="1" si="22"/>
        <v>7.1336344134491618</v>
      </c>
      <c r="AH59" s="55">
        <f t="shared" ca="1" si="23"/>
        <v>0</v>
      </c>
      <c r="AI59" s="55">
        <f t="shared" ca="1" si="17"/>
        <v>0</v>
      </c>
      <c r="AJ59" s="55">
        <f t="shared" ca="1" si="18"/>
        <v>10.947345219383575</v>
      </c>
      <c r="AK59" s="55">
        <f t="shared" ca="1" si="19"/>
        <v>-21.928476535123966</v>
      </c>
    </row>
    <row r="60" spans="2:37" s="55" customFormat="1">
      <c r="C60" s="61" t="s">
        <v>95</v>
      </c>
      <c r="D60" s="84" t="str">
        <f>IF(E60="","General",E60)</f>
        <v>General</v>
      </c>
      <c r="E60" s="66"/>
      <c r="F60" s="61" t="s">
        <v>134</v>
      </c>
      <c r="G60" s="84">
        <f>IF(H60="",VLOOKUP(FollowingCropFullName,CropCoefficients,26,FALSE),H60)</f>
        <v>0</v>
      </c>
      <c r="H60" s="72"/>
      <c r="R60" s="83">
        <f ca="1"/>
        <v>45166</v>
      </c>
      <c r="S60" s="55">
        <f t="shared" ca="1" si="11"/>
        <v>45166</v>
      </c>
      <c r="T60" s="55">
        <f t="shared" ca="1" si="0"/>
        <v>51.956191487436165</v>
      </c>
      <c r="U60" s="55">
        <f t="shared" ca="1" si="1"/>
        <v>0.96524946299463588</v>
      </c>
      <c r="V60" s="55">
        <f t="shared" ca="1" si="2"/>
        <v>0</v>
      </c>
      <c r="W60" s="55">
        <f t="shared" ca="1" si="12"/>
        <v>0</v>
      </c>
      <c r="X60" s="55">
        <f t="shared" ca="1" si="13"/>
        <v>8.5341782505485497</v>
      </c>
      <c r="Y60" s="55">
        <f t="shared" ca="1" si="14"/>
        <v>-6.4687035786303193</v>
      </c>
      <c r="Z60">
        <f t="shared" ca="1" si="3"/>
        <v>0</v>
      </c>
      <c r="AA60">
        <f t="shared" ca="1" si="15"/>
        <v>0</v>
      </c>
      <c r="AB60">
        <f t="shared" ca="1" si="4"/>
        <v>0</v>
      </c>
      <c r="AC60">
        <f t="shared" ca="1" si="5"/>
        <v>5.0196381932136411E-3</v>
      </c>
      <c r="AD60" s="83">
        <f ca="1"/>
        <v>45334</v>
      </c>
      <c r="AE60" s="55">
        <f t="shared" ca="1" si="20"/>
        <v>45334</v>
      </c>
      <c r="AF60" s="55">
        <f t="shared" ca="1" si="21"/>
        <v>12.835547455190266</v>
      </c>
      <c r="AG60" s="55">
        <f t="shared" ca="1" si="22"/>
        <v>7.5632406842893056</v>
      </c>
      <c r="AH60" s="55">
        <f t="shared" ca="1" si="23"/>
        <v>0</v>
      </c>
      <c r="AI60" s="55">
        <f t="shared" ca="1" si="17"/>
        <v>0</v>
      </c>
      <c r="AJ60" s="55">
        <f t="shared" ca="1" si="18"/>
        <v>11.219775508105318</v>
      </c>
      <c r="AK60" s="55">
        <f t="shared" ca="1" si="19"/>
        <v>-22.171993212205681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150</v>
      </c>
      <c r="D61" s="65" t="str">
        <f>SUBSTITUTE(FollowingCropName&amp;" "&amp;FollowingCropType&amp;" "&amp;FollowingCropVariety,"_"," ")</f>
        <v>Oat Fodder General</v>
      </c>
      <c r="F61" s="56"/>
      <c r="R61" s="83">
        <f ca="1"/>
        <v>45167</v>
      </c>
      <c r="S61" s="55">
        <f t="shared" ca="1" si="11"/>
        <v>45167</v>
      </c>
      <c r="T61" s="55">
        <f t="shared" ca="1" si="0"/>
        <v>52.153885080529697</v>
      </c>
      <c r="U61" s="55">
        <f t="shared" ca="1" si="1"/>
        <v>0.96524946299463588</v>
      </c>
      <c r="V61" s="55">
        <f t="shared" ca="1" si="2"/>
        <v>0</v>
      </c>
      <c r="W61" s="55">
        <f t="shared" ca="1" si="12"/>
        <v>0</v>
      </c>
      <c r="X61" s="55">
        <f t="shared" ca="1" si="13"/>
        <v>8.8114250870428457</v>
      </c>
      <c r="Y61" s="55">
        <f t="shared" ca="1" si="14"/>
        <v>-6.5482568220310808</v>
      </c>
      <c r="Z61">
        <f t="shared" ca="1" si="3"/>
        <v>0</v>
      </c>
      <c r="AA61">
        <f t="shared" ca="1" si="15"/>
        <v>0</v>
      </c>
      <c r="AB61">
        <f t="shared" ca="1" si="4"/>
        <v>0</v>
      </c>
      <c r="AC61">
        <f t="shared" ca="1" si="5"/>
        <v>5.0196381932136411E-3</v>
      </c>
      <c r="AD61" s="83">
        <f ca="1"/>
        <v>45335</v>
      </c>
      <c r="AE61" s="55">
        <f t="shared" ca="1" si="20"/>
        <v>45335</v>
      </c>
      <c r="AF61" s="55">
        <f t="shared" ca="1" si="21"/>
        <v>12.439579138285346</v>
      </c>
      <c r="AG61" s="55">
        <f t="shared" ca="1" si="22"/>
        <v>7.9767736449942337</v>
      </c>
      <c r="AH61" s="55">
        <f t="shared" ca="1" si="23"/>
        <v>0</v>
      </c>
      <c r="AI61" s="55">
        <f t="shared" ca="1" si="17"/>
        <v>0</v>
      </c>
      <c r="AJ61" s="55">
        <f t="shared" ca="1" si="18"/>
        <v>11.462965996813086</v>
      </c>
      <c r="AK61" s="55">
        <f t="shared" ca="1" si="19"/>
        <v>-22.397619057113442</v>
      </c>
    </row>
    <row r="62" spans="2:37" s="55" customFormat="1">
      <c r="C62" s="61" t="s">
        <v>4</v>
      </c>
      <c r="D62" s="68">
        <f ca="1">IF(E62="",CurrentHarvestDate+15,E62)</f>
        <v>45306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45168</v>
      </c>
      <c r="S62" s="55">
        <f t="shared" ca="1" si="11"/>
        <v>45168</v>
      </c>
      <c r="T62" s="55">
        <f t="shared" ca="1" si="0"/>
        <v>52.359457053259703</v>
      </c>
      <c r="U62" s="55">
        <f t="shared" ca="1" si="1"/>
        <v>0.96524946299463588</v>
      </c>
      <c r="V62" s="55">
        <f t="shared" ca="1" si="2"/>
        <v>0</v>
      </c>
      <c r="W62" s="55">
        <f t="shared" ca="1" si="12"/>
        <v>0</v>
      </c>
      <c r="X62" s="55">
        <f t="shared" ca="1" si="13"/>
        <v>9.0967512386743916</v>
      </c>
      <c r="Y62" s="55">
        <f t="shared" ca="1" si="14"/>
        <v>-6.6280110009326201</v>
      </c>
      <c r="Z62">
        <f t="shared" ca="1" si="3"/>
        <v>0</v>
      </c>
      <c r="AA62">
        <f t="shared" ca="1" si="15"/>
        <v>0</v>
      </c>
      <c r="AB62">
        <f t="shared" ca="1" si="4"/>
        <v>0</v>
      </c>
      <c r="AC62">
        <f t="shared" ca="1" si="5"/>
        <v>5.0196381932136411E-3</v>
      </c>
      <c r="AD62" s="83">
        <f ca="1"/>
        <v>45336</v>
      </c>
      <c r="AE62" s="55">
        <f t="shared" ca="1" si="20"/>
        <v>45336</v>
      </c>
      <c r="AF62" s="55">
        <f t="shared" ca="1" si="21"/>
        <v>12.014826096335465</v>
      </c>
      <c r="AG62" s="55">
        <f t="shared" ca="1" si="22"/>
        <v>8.3981494759206559</v>
      </c>
      <c r="AH62" s="55">
        <f t="shared" ca="1" si="23"/>
        <v>0</v>
      </c>
      <c r="AI62" s="55">
        <f t="shared" ca="1" si="17"/>
        <v>0</v>
      </c>
      <c r="AJ62" s="55">
        <f t="shared" ca="1" si="18"/>
        <v>11.701666667212276</v>
      </c>
      <c r="AK62" s="55">
        <f t="shared" ca="1" si="19"/>
        <v>-22.63969693853609</v>
      </c>
    </row>
    <row r="63" spans="2:37" s="55" customFormat="1">
      <c r="C63" s="61" t="s">
        <v>5</v>
      </c>
      <c r="D63" s="68">
        <f ca="1">IF(E63="",FollowingEstablishDate+120,E63)</f>
        <v>45426</v>
      </c>
      <c r="E63" s="67"/>
      <c r="F63" s="61" t="s">
        <v>146</v>
      </c>
      <c r="G63" s="84" t="str">
        <f>IF(H63="",VLOOKUP(FollowingCropFullName,CropCoefficients,15,FALSE),H63)</f>
        <v>EarlyReproductive</v>
      </c>
      <c r="H63" s="72"/>
      <c r="R63" s="83">
        <f ca="1"/>
        <v>45169</v>
      </c>
      <c r="S63" s="55">
        <f t="shared" ca="1" si="11"/>
        <v>45169</v>
      </c>
      <c r="T63" s="55">
        <f t="shared" ca="1" si="0"/>
        <v>52.537367819832653</v>
      </c>
      <c r="U63" s="55">
        <f t="shared" ca="1" si="1"/>
        <v>0.96524946299463588</v>
      </c>
      <c r="V63" s="55">
        <f t="shared" ca="1" si="2"/>
        <v>0</v>
      </c>
      <c r="W63" s="55">
        <f t="shared" ca="1" si="12"/>
        <v>0</v>
      </c>
      <c r="X63" s="55">
        <f t="shared" ca="1" si="13"/>
        <v>9.3467743476935556</v>
      </c>
      <c r="Y63" s="55">
        <f t="shared" ca="1" si="14"/>
        <v>-6.7001233433788343</v>
      </c>
      <c r="Z63">
        <f t="shared" ca="1" si="3"/>
        <v>0</v>
      </c>
      <c r="AA63">
        <f t="shared" ca="1" si="15"/>
        <v>0</v>
      </c>
      <c r="AB63">
        <f t="shared" ca="1" si="4"/>
        <v>0</v>
      </c>
      <c r="AC63">
        <f t="shared" ca="1" si="5"/>
        <v>5.0196381932136411E-3</v>
      </c>
      <c r="AD63" s="83">
        <f ca="1"/>
        <v>45337</v>
      </c>
      <c r="AE63" s="55">
        <f t="shared" ca="1" si="20"/>
        <v>45337</v>
      </c>
      <c r="AF63" s="55">
        <f t="shared" ca="1" si="21"/>
        <v>11.57220235219024</v>
      </c>
      <c r="AG63" s="55">
        <f t="shared" ca="1" si="22"/>
        <v>8.8288723702968497</v>
      </c>
      <c r="AH63" s="55">
        <f t="shared" ca="1" si="23"/>
        <v>0</v>
      </c>
      <c r="AI63" s="55">
        <f t="shared" ca="1" si="17"/>
        <v>0</v>
      </c>
      <c r="AJ63" s="55">
        <f t="shared" ca="1" si="18"/>
        <v>11.935610779919362</v>
      </c>
      <c r="AK63" s="55">
        <f t="shared" ca="1" si="19"/>
        <v>-22.885541901012207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45170</v>
      </c>
      <c r="S64" s="55">
        <f t="shared" ca="1" si="11"/>
        <v>45170</v>
      </c>
      <c r="T64" s="55">
        <f t="shared" ca="1" si="0"/>
        <v>52.723656514669777</v>
      </c>
      <c r="U64" s="55">
        <f t="shared" ca="1" si="1"/>
        <v>0.96524946299463588</v>
      </c>
      <c r="V64" s="55">
        <f t="shared" ca="1" si="2"/>
        <v>0</v>
      </c>
      <c r="W64" s="55">
        <f t="shared" ca="1" si="12"/>
        <v>0</v>
      </c>
      <c r="X64" s="55">
        <f t="shared" ca="1" si="13"/>
        <v>9.6058081278281584</v>
      </c>
      <c r="Y64" s="55">
        <f t="shared" ca="1" si="14"/>
        <v>-6.772868428676313</v>
      </c>
      <c r="Z64">
        <f t="shared" ca="1" si="3"/>
        <v>0</v>
      </c>
      <c r="AA64">
        <f t="shared" ca="1" si="15"/>
        <v>0</v>
      </c>
      <c r="AB64">
        <f t="shared" ca="1" si="4"/>
        <v>0</v>
      </c>
      <c r="AC64">
        <f t="shared" ca="1" si="5"/>
        <v>5.0196381932136411E-3</v>
      </c>
      <c r="AD64" s="83">
        <f ca="1"/>
        <v>45338</v>
      </c>
      <c r="AE64" s="55">
        <f t="shared" ca="1" si="20"/>
        <v>45338</v>
      </c>
      <c r="AF64" s="55">
        <f t="shared" ca="1" si="21"/>
        <v>11.104150050663451</v>
      </c>
      <c r="AG64" s="55">
        <f t="shared" ca="1" si="22"/>
        <v>9.2977812513583054</v>
      </c>
      <c r="AH64" s="55">
        <f t="shared" ca="1" si="23"/>
        <v>0</v>
      </c>
      <c r="AI64" s="55">
        <f t="shared" ca="1" si="17"/>
        <v>0</v>
      </c>
      <c r="AJ64" s="55">
        <f t="shared" ca="1" si="18"/>
        <v>12.179444968437096</v>
      </c>
      <c r="AK64" s="55">
        <f t="shared" ca="1" si="19"/>
        <v>-23.128519509995275</v>
      </c>
    </row>
    <row r="65" spans="2:37" s="55" customFormat="1">
      <c r="C65" s="61" t="s">
        <v>100</v>
      </c>
      <c r="D65" s="70">
        <f>IF(E65="",VLOOKUP(FollowingCropFullName,CropCoefficients,17,FALSE),E65)</f>
        <v>10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45171</v>
      </c>
      <c r="S65" s="55">
        <f t="shared" ca="1" si="11"/>
        <v>45171</v>
      </c>
      <c r="T65" s="55">
        <f t="shared" ca="1" si="0"/>
        <v>52.913615789381382</v>
      </c>
      <c r="U65" s="55">
        <f t="shared" ca="1" si="1"/>
        <v>0.96524946299463588</v>
      </c>
      <c r="V65" s="55">
        <f t="shared" ca="1" si="2"/>
        <v>0</v>
      </c>
      <c r="W65" s="55">
        <f t="shared" ca="1" si="12"/>
        <v>0</v>
      </c>
      <c r="X65" s="55">
        <f t="shared" ca="1" si="13"/>
        <v>9.8678507239730067</v>
      </c>
      <c r="Y65" s="55">
        <f t="shared" ca="1" si="14"/>
        <v>-6.8449517501095549</v>
      </c>
      <c r="Z65">
        <f t="shared" ca="1" si="3"/>
        <v>0</v>
      </c>
      <c r="AA65">
        <f t="shared" ca="1" si="15"/>
        <v>0</v>
      </c>
      <c r="AB65">
        <f t="shared" ca="1" si="4"/>
        <v>0</v>
      </c>
      <c r="AC65">
        <f t="shared" ca="1" si="5"/>
        <v>5.0196381932136411E-3</v>
      </c>
      <c r="AD65" s="83">
        <f ca="1"/>
        <v>45339</v>
      </c>
      <c r="AE65" s="55">
        <f t="shared" ca="1" si="20"/>
        <v>45339</v>
      </c>
      <c r="AF65" s="55">
        <f t="shared" ca="1" si="21"/>
        <v>10.590929530372154</v>
      </c>
      <c r="AG65" s="55">
        <f t="shared" ca="1" si="22"/>
        <v>9.8257544841377733</v>
      </c>
      <c r="AH65" s="55">
        <f t="shared" ca="1" si="23"/>
        <v>0</v>
      </c>
      <c r="AI65" s="55">
        <f t="shared" ca="1" si="17"/>
        <v>0</v>
      </c>
      <c r="AJ65" s="55">
        <f t="shared" ca="1" si="18"/>
        <v>12.444850494974769</v>
      </c>
      <c r="AK65" s="55">
        <f t="shared" ca="1" si="19"/>
        <v>-23.379172324044777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45172</v>
      </c>
      <c r="S66" s="55">
        <f t="shared" ca="1" si="11"/>
        <v>45172</v>
      </c>
      <c r="T66" s="55">
        <f t="shared" ca="1" si="0"/>
        <v>53.092380406715769</v>
      </c>
      <c r="U66" s="55">
        <f t="shared" ca="1" si="1"/>
        <v>0.96524946299463588</v>
      </c>
      <c r="V66" s="55">
        <f t="shared" ca="1" si="2"/>
        <v>0</v>
      </c>
      <c r="W66" s="55">
        <f t="shared" ca="1" si="12"/>
        <v>0</v>
      </c>
      <c r="X66" s="55">
        <f t="shared" ca="1" si="13"/>
        <v>10.11447285781226</v>
      </c>
      <c r="Y66" s="55">
        <f t="shared" ca="1" si="14"/>
        <v>-6.9128092666144223</v>
      </c>
      <c r="Z66">
        <f t="shared" ca="1" si="3"/>
        <v>0</v>
      </c>
      <c r="AA66">
        <f t="shared" ca="1" si="15"/>
        <v>0</v>
      </c>
      <c r="AB66">
        <f t="shared" ca="1" si="4"/>
        <v>0</v>
      </c>
      <c r="AC66">
        <f t="shared" ca="1" si="5"/>
        <v>5.0196381932136411E-3</v>
      </c>
      <c r="AD66" s="83">
        <f ca="1"/>
        <v>45340</v>
      </c>
      <c r="AE66" s="55">
        <f t="shared" ca="1" si="20"/>
        <v>45340</v>
      </c>
      <c r="AF66" s="55">
        <f t="shared" ca="1" si="21"/>
        <v>10.033788930474525</v>
      </c>
      <c r="AG66" s="55">
        <f t="shared" ca="1" si="22"/>
        <v>10.395887073766046</v>
      </c>
      <c r="AH66" s="55">
        <f t="shared" ca="1" si="23"/>
        <v>0</v>
      </c>
      <c r="AI66" s="55">
        <f t="shared" ca="1" si="17"/>
        <v>0</v>
      </c>
      <c r="AJ66" s="55">
        <f t="shared" ca="1" si="18"/>
        <v>12.721792826166382</v>
      </c>
      <c r="AK66" s="55">
        <f t="shared" ca="1" si="19"/>
        <v>-23.643122665505746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Interface'!L9,0)&amp;" kg N/ha"</f>
        <v>Following crop will take up 154 kg N/ha</v>
      </c>
      <c r="R67" s="83">
        <f ca="1"/>
        <v>45173</v>
      </c>
      <c r="S67" s="55">
        <f t="shared" ca="1" si="11"/>
        <v>45173</v>
      </c>
      <c r="T67" s="55">
        <f t="shared" ca="1" si="0"/>
        <v>53.265551700199246</v>
      </c>
      <c r="U67" s="55">
        <f t="shared" ca="1" si="1"/>
        <v>0.96524946299463588</v>
      </c>
      <c r="V67" s="55">
        <f t="shared" ca="1" si="2"/>
        <v>0</v>
      </c>
      <c r="W67" s="55">
        <f t="shared" ca="1" si="12"/>
        <v>0</v>
      </c>
      <c r="X67" s="55">
        <f t="shared" ca="1" si="13"/>
        <v>10.352639811113304</v>
      </c>
      <c r="Y67" s="55">
        <f t="shared" ca="1" si="14"/>
        <v>-6.9778049264319932</v>
      </c>
      <c r="Z67">
        <f t="shared" ca="1" si="3"/>
        <v>0</v>
      </c>
      <c r="AA67">
        <f t="shared" ca="1" si="15"/>
        <v>0</v>
      </c>
      <c r="AB67">
        <f t="shared" ca="1" si="4"/>
        <v>0</v>
      </c>
      <c r="AC67">
        <f t="shared" ca="1" si="5"/>
        <v>5.0196381932136411E-3</v>
      </c>
      <c r="AD67" s="83">
        <f ca="1"/>
        <v>45341</v>
      </c>
      <c r="AE67" s="55">
        <f t="shared" ca="1" si="20"/>
        <v>45341</v>
      </c>
      <c r="AF67" s="55">
        <f t="shared" ca="1" si="21"/>
        <v>9.4873280251468639</v>
      </c>
      <c r="AG67" s="55">
        <f t="shared" ca="1" si="22"/>
        <v>10.976998793933488</v>
      </c>
      <c r="AH67" s="55">
        <f t="shared" ca="1" si="23"/>
        <v>0</v>
      </c>
      <c r="AI67" s="55">
        <f t="shared" ca="1" si="17"/>
        <v>0</v>
      </c>
      <c r="AJ67" s="55">
        <f t="shared" ca="1" si="18"/>
        <v>12.982280535318333</v>
      </c>
      <c r="AK67" s="55">
        <f t="shared" ca="1" si="19"/>
        <v>-23.868959559817917</v>
      </c>
    </row>
    <row r="68" spans="2:37" ht="15" thickBot="1">
      <c r="C68" s="131" t="s">
        <v>185</v>
      </c>
      <c r="D68" s="131"/>
      <c r="E68" s="131"/>
      <c r="F68" s="131"/>
      <c r="G68" s="131"/>
      <c r="H68" s="131"/>
      <c r="R68" s="83">
        <f ca="1"/>
        <v>45174</v>
      </c>
      <c r="S68" s="55">
        <f t="shared" ca="1" si="11"/>
        <v>45174</v>
      </c>
      <c r="T68" s="55">
        <f t="shared" ca="1" si="0"/>
        <v>53.430046303907574</v>
      </c>
      <c r="U68" s="55">
        <f t="shared" ca="1" si="1"/>
        <v>0.96524946299463588</v>
      </c>
      <c r="V68" s="55">
        <f t="shared" ca="1" si="2"/>
        <v>0</v>
      </c>
      <c r="W68" s="55">
        <f t="shared" ca="1" si="12"/>
        <v>0</v>
      </c>
      <c r="X68" s="55">
        <f t="shared" ca="1" si="13"/>
        <v>10.578484361180141</v>
      </c>
      <c r="Y68" s="55">
        <f t="shared" ca="1" si="14"/>
        <v>-7.0391548727905047</v>
      </c>
      <c r="Z68">
        <f t="shared" ca="1" si="3"/>
        <v>0</v>
      </c>
      <c r="AA68">
        <f t="shared" ca="1" si="15"/>
        <v>0</v>
      </c>
      <c r="AB68">
        <f t="shared" ca="1" si="4"/>
        <v>0</v>
      </c>
      <c r="AC68">
        <f t="shared" ca="1" si="5"/>
        <v>5.0196381932136411E-3</v>
      </c>
      <c r="AD68" s="83">
        <f ca="1"/>
        <v>45342</v>
      </c>
      <c r="AE68" s="55">
        <f t="shared" ca="1" si="20"/>
        <v>45342</v>
      </c>
      <c r="AF68" s="55">
        <f t="shared" ca="1" si="21"/>
        <v>8.9091492393266787</v>
      </c>
      <c r="AG68" s="55">
        <f t="shared" ca="1" si="22"/>
        <v>11.576613686565489</v>
      </c>
      <c r="AH68" s="55">
        <f t="shared" ca="1" si="23"/>
        <v>0</v>
      </c>
      <c r="AI68" s="55">
        <f t="shared" ca="1" si="17"/>
        <v>0</v>
      </c>
      <c r="AJ68" s="55">
        <f t="shared" ca="1" si="18"/>
        <v>13.241564046018263</v>
      </c>
      <c r="AK68" s="55">
        <f t="shared" ca="1" si="19"/>
        <v>-24.106806963706031</v>
      </c>
    </row>
    <row r="69" spans="2:37">
      <c r="C69" s="61"/>
      <c r="D69" s="88"/>
      <c r="E69" s="99"/>
      <c r="R69" s="83">
        <f ca="1"/>
        <v>45175</v>
      </c>
      <c r="S69" s="55">
        <f t="shared" ca="1" si="11"/>
        <v>45175</v>
      </c>
      <c r="T69" s="55">
        <f t="shared" ca="1" si="0"/>
        <v>53.598258322870713</v>
      </c>
      <c r="U69" s="55">
        <f t="shared" ca="1" si="1"/>
        <v>0.96524946299463588</v>
      </c>
      <c r="V69" s="55">
        <f t="shared" ca="1" si="2"/>
        <v>0</v>
      </c>
      <c r="W69" s="55">
        <f t="shared" ca="1" si="12"/>
        <v>0</v>
      </c>
      <c r="X69" s="55">
        <f t="shared" ca="1" si="13"/>
        <v>10.807312161015357</v>
      </c>
      <c r="Y69" s="55">
        <f t="shared" ca="1" si="14"/>
        <v>-7.0997706536625804</v>
      </c>
      <c r="Z69">
        <f t="shared" ca="1" si="3"/>
        <v>0</v>
      </c>
      <c r="AA69">
        <f t="shared" ca="1" si="15"/>
        <v>0</v>
      </c>
      <c r="AB69">
        <f t="shared" ca="1" si="4"/>
        <v>0</v>
      </c>
      <c r="AC69">
        <f t="shared" ca="1" si="5"/>
        <v>5.0196381932136411E-3</v>
      </c>
      <c r="AD69" s="83">
        <f ca="1"/>
        <v>45343</v>
      </c>
      <c r="AE69" s="55">
        <f t="shared" ca="1" si="20"/>
        <v>45343</v>
      </c>
      <c r="AF69" s="55">
        <f t="shared" ca="1" si="21"/>
        <v>8.3179263360516575</v>
      </c>
      <c r="AG69" s="55">
        <f t="shared" ca="1" si="22"/>
        <v>12.208621591066404</v>
      </c>
      <c r="AH69" s="55">
        <f t="shared" ca="1" si="23"/>
        <v>0</v>
      </c>
      <c r="AI69" s="55">
        <f t="shared" ca="1" si="17"/>
        <v>0</v>
      </c>
      <c r="AJ69" s="55">
        <f t="shared" ca="1" si="18"/>
        <v>13.498004994418014</v>
      </c>
      <c r="AK69" s="55">
        <f t="shared" ca="1" si="19"/>
        <v>-24.322462910879889</v>
      </c>
    </row>
    <row r="70" spans="2:37">
      <c r="C70" s="61"/>
      <c r="D70" s="84"/>
      <c r="E70" s="69"/>
      <c r="R70" s="83">
        <f ca="1"/>
        <v>45176</v>
      </c>
      <c r="S70" s="55">
        <f t="shared" ca="1" si="11"/>
        <v>45176</v>
      </c>
      <c r="T70" s="55">
        <f t="shared" ca="1" si="0"/>
        <v>53.761861401390298</v>
      </c>
      <c r="U70" s="55">
        <f t="shared" ca="1" si="1"/>
        <v>0.96524946299463588</v>
      </c>
      <c r="V70" s="55">
        <f t="shared" ca="1" si="2"/>
        <v>0</v>
      </c>
      <c r="W70" s="55">
        <f t="shared" ca="1" si="12"/>
        <v>0</v>
      </c>
      <c r="X70" s="55">
        <f t="shared" ca="1" si="13"/>
        <v>11.029217034154703</v>
      </c>
      <c r="Y70" s="55">
        <f t="shared" ca="1" si="14"/>
        <v>-7.158072448282339</v>
      </c>
      <c r="Z70">
        <f t="shared" ca="1" si="3"/>
        <v>0</v>
      </c>
      <c r="AA70">
        <f t="shared" ca="1" si="15"/>
        <v>0</v>
      </c>
      <c r="AB70">
        <f t="shared" ca="1" si="4"/>
        <v>0</v>
      </c>
      <c r="AC70">
        <f t="shared" ca="1" si="5"/>
        <v>5.0196381932136411E-3</v>
      </c>
      <c r="AD70" s="83">
        <f ca="1"/>
        <v>45344</v>
      </c>
      <c r="AE70" s="55">
        <f t="shared" ca="1" si="20"/>
        <v>45344</v>
      </c>
      <c r="AF70" s="55">
        <f t="shared" ca="1" si="21"/>
        <v>7.7097369312304806</v>
      </c>
      <c r="AG70" s="55">
        <f t="shared" ca="1" si="22"/>
        <v>12.860365962906098</v>
      </c>
      <c r="AH70" s="55">
        <f t="shared" ca="1" si="23"/>
        <v>0</v>
      </c>
      <c r="AI70" s="55">
        <f t="shared" ca="1" si="17"/>
        <v>0</v>
      </c>
      <c r="AJ70" s="55">
        <f t="shared" ca="1" si="18"/>
        <v>13.748891458216184</v>
      </c>
      <c r="AK70" s="55">
        <f t="shared" ca="1" si="19"/>
        <v>-24.529794407659541</v>
      </c>
    </row>
    <row r="71" spans="2:37">
      <c r="C71" s="61"/>
      <c r="D71" s="84"/>
      <c r="E71" s="69"/>
      <c r="R71" s="83">
        <f ca="1"/>
        <v>45177</v>
      </c>
      <c r="S71" s="55">
        <f t="shared" ca="1" si="11"/>
        <v>45177</v>
      </c>
      <c r="T71" s="55">
        <f t="shared" ca="1" si="0"/>
        <v>53.914366269600379</v>
      </c>
      <c r="U71" s="55">
        <f t="shared" ca="1" si="1"/>
        <v>0.96524946299463588</v>
      </c>
      <c r="V71" s="55">
        <f t="shared" ca="1" si="2"/>
        <v>0</v>
      </c>
      <c r="W71" s="55">
        <f t="shared" ca="1" si="12"/>
        <v>0</v>
      </c>
      <c r="X71" s="55">
        <f t="shared" ca="1" si="13"/>
        <v>11.236146417788914</v>
      </c>
      <c r="Y71" s="55">
        <f t="shared" ca="1" si="14"/>
        <v>-7.2124969637064726</v>
      </c>
      <c r="Z71">
        <f t="shared" ca="1" si="3"/>
        <v>0</v>
      </c>
      <c r="AA71">
        <f t="shared" ca="1" si="15"/>
        <v>0</v>
      </c>
      <c r="AB71">
        <f t="shared" ca="1" si="4"/>
        <v>0</v>
      </c>
      <c r="AC71">
        <f t="shared" ca="1" si="5"/>
        <v>5.0196381932136411E-3</v>
      </c>
      <c r="AD71" s="83">
        <f ca="1"/>
        <v>45345</v>
      </c>
      <c r="AE71" s="55">
        <f t="shared" ca="1" si="20"/>
        <v>45345</v>
      </c>
      <c r="AF71" s="55">
        <f t="shared" ca="1" si="21"/>
        <v>7.08043233329962</v>
      </c>
      <c r="AG71" s="55">
        <f t="shared" ca="1" si="22"/>
        <v>13.531810216180364</v>
      </c>
      <c r="AH71" s="55">
        <f t="shared" ca="1" si="23"/>
        <v>0</v>
      </c>
      <c r="AI71" s="55">
        <f t="shared" ca="1" si="17"/>
        <v>0</v>
      </c>
      <c r="AJ71" s="55">
        <f t="shared" ca="1" si="18"/>
        <v>13.995864860535804</v>
      </c>
      <c r="AK71" s="55">
        <f t="shared" ca="1" si="19"/>
        <v>-24.734628154635754</v>
      </c>
    </row>
    <row r="72" spans="2:37">
      <c r="C72" s="61"/>
      <c r="D72" s="84"/>
      <c r="E72" s="69"/>
      <c r="R72" s="83">
        <f ca="1"/>
        <v>45178</v>
      </c>
      <c r="S72" s="55">
        <f t="shared" ca="1" si="11"/>
        <v>45178</v>
      </c>
      <c r="T72" s="55">
        <f t="shared" ca="1" si="0"/>
        <v>54.053830177980522</v>
      </c>
      <c r="U72" s="55">
        <f t="shared" ca="1" si="1"/>
        <v>0.96524946299463588</v>
      </c>
      <c r="V72" s="55">
        <f t="shared" ca="1" si="2"/>
        <v>0</v>
      </c>
      <c r="W72" s="55">
        <f t="shared" ca="1" si="12"/>
        <v>0</v>
      </c>
      <c r="X72" s="55">
        <f t="shared" ca="1" si="13"/>
        <v>11.425723842492163</v>
      </c>
      <c r="Y72" s="55">
        <f t="shared" ca="1" si="14"/>
        <v>-7.2626104800295819</v>
      </c>
      <c r="Z72">
        <f t="shared" ca="1" si="3"/>
        <v>0</v>
      </c>
      <c r="AA72">
        <f t="shared" ca="1" si="15"/>
        <v>0</v>
      </c>
      <c r="AB72">
        <f t="shared" ca="1" si="4"/>
        <v>0</v>
      </c>
      <c r="AC72">
        <f t="shared" ca="1" si="5"/>
        <v>5.0196381932136411E-3</v>
      </c>
      <c r="AD72" s="83">
        <f ca="1"/>
        <v>45346</v>
      </c>
      <c r="AE72" s="55">
        <f t="shared" ca="1" si="20"/>
        <v>45346</v>
      </c>
      <c r="AF72" s="55">
        <f t="shared" ca="1" si="21"/>
        <v>6.3950391681549963</v>
      </c>
      <c r="AG72" s="55">
        <f t="shared" ca="1" si="22"/>
        <v>14.266846071466363</v>
      </c>
      <c r="AH72" s="55">
        <f t="shared" ca="1" si="23"/>
        <v>0</v>
      </c>
      <c r="AI72" s="55">
        <f t="shared" ca="1" si="17"/>
        <v>0</v>
      </c>
      <c r="AJ72" s="55">
        <f t="shared" ca="1" si="18"/>
        <v>14.257884184845032</v>
      </c>
      <c r="AK72" s="55">
        <f t="shared" ca="1" si="19"/>
        <v>-24.947004788803607</v>
      </c>
    </row>
    <row r="73" spans="2:37">
      <c r="R73" s="83">
        <f ca="1"/>
        <v>45179</v>
      </c>
      <c r="S73" s="55">
        <f t="shared" ca="1" si="11"/>
        <v>45179</v>
      </c>
      <c r="T73" s="55">
        <f t="shared" ca="1" si="0"/>
        <v>54.206138083695521</v>
      </c>
      <c r="U73" s="55">
        <f t="shared" ca="1" si="1"/>
        <v>0.96524946299463588</v>
      </c>
      <c r="V73" s="55">
        <f t="shared" ca="1" si="2"/>
        <v>0</v>
      </c>
      <c r="W73" s="55">
        <f t="shared" ca="1" si="12"/>
        <v>0</v>
      </c>
      <c r="X73" s="55">
        <f t="shared" ca="1" si="13"/>
        <v>11.629419923624873</v>
      </c>
      <c r="Y73" s="55">
        <f t="shared" ca="1" si="14"/>
        <v>-7.3139986554472936</v>
      </c>
      <c r="Z73">
        <f t="shared" ca="1" si="3"/>
        <v>0</v>
      </c>
      <c r="AA73">
        <f t="shared" ca="1" si="15"/>
        <v>0</v>
      </c>
      <c r="AB73">
        <f t="shared" ca="1" si="4"/>
        <v>0</v>
      </c>
      <c r="AC73">
        <f t="shared" ca="1" si="5"/>
        <v>5.0196381932136411E-3</v>
      </c>
      <c r="AD73" s="83">
        <f ca="1"/>
        <v>45347</v>
      </c>
      <c r="AE73" s="55">
        <f t="shared" ca="1" si="20"/>
        <v>45347</v>
      </c>
      <c r="AF73" s="55">
        <f t="shared" ca="1" si="21"/>
        <v>5.7139025672631973</v>
      </c>
      <c r="AG73" s="55">
        <f t="shared" ca="1" si="22"/>
        <v>15.011109388671077</v>
      </c>
      <c r="AH73" s="55">
        <f t="shared" ca="1" si="23"/>
        <v>0</v>
      </c>
      <c r="AI73" s="55">
        <f t="shared" ca="1" si="17"/>
        <v>0</v>
      </c>
      <c r="AJ73" s="55">
        <f t="shared" ca="1" si="18"/>
        <v>14.504171572702212</v>
      </c>
      <c r="AK73" s="55">
        <f t="shared" ca="1" si="19"/>
        <v>-25.130165460347872</v>
      </c>
    </row>
    <row r="74" spans="2:37">
      <c r="R74" s="83">
        <f ca="1"/>
        <v>45180</v>
      </c>
      <c r="S74" s="55">
        <f t="shared" ca="1" si="11"/>
        <v>45180</v>
      </c>
      <c r="T74" s="55">
        <f t="shared" ca="1" si="0"/>
        <v>54.367896472659993</v>
      </c>
      <c r="U74" s="55">
        <f t="shared" ca="1" si="1"/>
        <v>0.96524946299463588</v>
      </c>
      <c r="V74" s="55">
        <f t="shared" ca="1" si="2"/>
        <v>0</v>
      </c>
      <c r="W74" s="55">
        <f t="shared" ca="1" si="12"/>
        <v>0</v>
      </c>
      <c r="X74" s="55">
        <f t="shared" ca="1" si="13"/>
        <v>11.842656021450718</v>
      </c>
      <c r="Y74" s="55">
        <f t="shared" ca="1" si="14"/>
        <v>-7.3654763643086625</v>
      </c>
      <c r="Z74">
        <f t="shared" ca="1" si="3"/>
        <v>0</v>
      </c>
      <c r="AA74">
        <f t="shared" ca="1" si="15"/>
        <v>0</v>
      </c>
      <c r="AB74">
        <f t="shared" ca="1" si="4"/>
        <v>0</v>
      </c>
      <c r="AC74">
        <f t="shared" ca="1" si="5"/>
        <v>5.0196381932136411E-3</v>
      </c>
      <c r="AD74" s="83">
        <f ca="1"/>
        <v>45348</v>
      </c>
      <c r="AE74" s="55">
        <f t="shared" ca="1" si="20"/>
        <v>45348</v>
      </c>
      <c r="AF74" s="55">
        <f t="shared" ca="1" si="21"/>
        <v>4.9949929771918802</v>
      </c>
      <c r="AG74" s="55">
        <f t="shared" ca="1" si="22"/>
        <v>15.791219083614568</v>
      </c>
      <c r="AH74" s="55">
        <f t="shared" ca="1" si="23"/>
        <v>0</v>
      </c>
      <c r="AI74" s="55">
        <f t="shared" ca="1" si="17"/>
        <v>0</v>
      </c>
      <c r="AJ74" s="55">
        <f t="shared" ca="1" si="18"/>
        <v>14.753391040371236</v>
      </c>
      <c r="AK74" s="55">
        <f t="shared" ca="1" si="19"/>
        <v>-25.318184823144723</v>
      </c>
    </row>
    <row r="75" spans="2:37">
      <c r="R75" s="83">
        <f ca="1"/>
        <v>45181</v>
      </c>
      <c r="S75" s="55">
        <f t="shared" ca="1" si="11"/>
        <v>45181</v>
      </c>
      <c r="T75" s="55">
        <f t="shared" ca="1" si="0"/>
        <v>54.525106570474733</v>
      </c>
      <c r="U75" s="55">
        <f t="shared" ca="1" si="1"/>
        <v>0.96524946299463588</v>
      </c>
      <c r="V75" s="55">
        <f t="shared" ca="1" si="2"/>
        <v>0</v>
      </c>
      <c r="W75" s="55">
        <f t="shared" ca="1" si="12"/>
        <v>0</v>
      </c>
      <c r="X75" s="55">
        <f t="shared" ca="1" si="13"/>
        <v>12.048600988398482</v>
      </c>
      <c r="Y75" s="55">
        <f t="shared" ca="1" si="14"/>
        <v>-7.414211233441681</v>
      </c>
      <c r="Z75">
        <f t="shared" ca="1" si="3"/>
        <v>0</v>
      </c>
      <c r="AA75">
        <f t="shared" ca="1" si="15"/>
        <v>0</v>
      </c>
      <c r="AB75">
        <f t="shared" ca="1" si="4"/>
        <v>0</v>
      </c>
      <c r="AC75">
        <f t="shared" ca="1" si="5"/>
        <v>5.0196381932136411E-3</v>
      </c>
      <c r="AD75" s="83">
        <f ca="1"/>
        <v>45349</v>
      </c>
      <c r="AE75" s="55">
        <f t="shared" ca="1" si="20"/>
        <v>45349</v>
      </c>
      <c r="AF75" s="55">
        <f t="shared" ca="1" si="21"/>
        <v>4.2458749681972776</v>
      </c>
      <c r="AG75" s="55">
        <f t="shared" ca="1" si="22"/>
        <v>16.609619085143873</v>
      </c>
      <c r="AH75" s="55">
        <f t="shared" ca="1" si="23"/>
        <v>0</v>
      </c>
      <c r="AI75" s="55">
        <f t="shared" ca="1" si="17"/>
        <v>0</v>
      </c>
      <c r="AJ75" s="55">
        <f t="shared" ca="1" si="18"/>
        <v>15.00227071225116</v>
      </c>
      <c r="AK75" s="55">
        <f t="shared" ca="1" si="19"/>
        <v>-25.497782502489944</v>
      </c>
    </row>
    <row r="76" spans="2:37">
      <c r="R76" s="83">
        <f ca="1"/>
        <v>45182</v>
      </c>
      <c r="S76" s="55">
        <f t="shared" ca="1" si="11"/>
        <v>45182</v>
      </c>
      <c r="T76" s="55">
        <f t="shared" ca="1" si="0"/>
        <v>54.676670645666391</v>
      </c>
      <c r="U76" s="55">
        <f t="shared" ca="1" si="1"/>
        <v>0.96524946299463588</v>
      </c>
      <c r="V76" s="55">
        <f t="shared" ca="1" si="2"/>
        <v>0</v>
      </c>
      <c r="W76" s="55">
        <f t="shared" ca="1" si="12"/>
        <v>0</v>
      </c>
      <c r="X76" s="55">
        <f t="shared" ca="1" si="13"/>
        <v>12.245815350452085</v>
      </c>
      <c r="Y76" s="55">
        <f t="shared" ca="1" si="14"/>
        <v>-7.4598615203036251</v>
      </c>
      <c r="Z76">
        <f t="shared" ca="1" si="3"/>
        <v>0</v>
      </c>
      <c r="AA76">
        <f t="shared" ca="1" si="15"/>
        <v>0</v>
      </c>
      <c r="AB76">
        <f t="shared" ca="1" si="4"/>
        <v>0</v>
      </c>
      <c r="AC76">
        <f t="shared" ca="1" si="5"/>
        <v>5.0196381932136411E-3</v>
      </c>
      <c r="AD76" s="83">
        <f ca="1"/>
        <v>45350</v>
      </c>
      <c r="AE76" s="55">
        <f t="shared" ca="1" si="20"/>
        <v>45350</v>
      </c>
      <c r="AF76" s="55">
        <f t="shared" ca="1" si="21"/>
        <v>3.4693354090701805</v>
      </c>
      <c r="AG76" s="55">
        <f t="shared" ca="1" si="22"/>
        <v>17.459773623091561</v>
      </c>
      <c r="AH76" s="55">
        <f t="shared" ca="1" si="23"/>
        <v>0</v>
      </c>
      <c r="AI76" s="55">
        <f t="shared" ca="1" si="17"/>
        <v>0</v>
      </c>
      <c r="AJ76" s="55">
        <f t="shared" ca="1" si="18"/>
        <v>15.248800326407281</v>
      </c>
      <c r="AK76" s="55">
        <f t="shared" ca="1" si="19"/>
        <v>-25.670697137825474</v>
      </c>
    </row>
    <row r="77" spans="2:37">
      <c r="R77" s="83">
        <f ca="1"/>
        <v>45183</v>
      </c>
      <c r="S77" s="55">
        <f t="shared" ca="1" si="11"/>
        <v>45183</v>
      </c>
      <c r="T77" s="55">
        <f t="shared" ca="1" si="0"/>
        <v>54.833068675327837</v>
      </c>
      <c r="U77" s="55">
        <f t="shared" ca="1" si="1"/>
        <v>0.96524946299463588</v>
      </c>
      <c r="V77" s="55">
        <f t="shared" ca="1" si="2"/>
        <v>0</v>
      </c>
      <c r="W77" s="55">
        <f t="shared" ca="1" si="12"/>
        <v>0</v>
      </c>
      <c r="X77" s="55">
        <f t="shared" ca="1" si="13"/>
        <v>12.447106740856979</v>
      </c>
      <c r="Y77" s="55">
        <f t="shared" ca="1" si="14"/>
        <v>-7.5047548810470719</v>
      </c>
      <c r="Z77">
        <f t="shared" ca="1" si="3"/>
        <v>0</v>
      </c>
      <c r="AA77">
        <f t="shared" ca="1" si="15"/>
        <v>0</v>
      </c>
      <c r="AB77">
        <f t="shared" ca="1" si="4"/>
        <v>0</v>
      </c>
      <c r="AC77">
        <f t="shared" ca="1" si="5"/>
        <v>5.0196381932136411E-3</v>
      </c>
      <c r="AD77" s="83">
        <f ca="1"/>
        <v>45351</v>
      </c>
      <c r="AE77" s="55">
        <f t="shared" ca="1" si="20"/>
        <v>45351</v>
      </c>
      <c r="AF77" s="55">
        <f t="shared" ca="1" si="21"/>
        <v>2.6585722340153568</v>
      </c>
      <c r="AG77" s="55">
        <f t="shared" ca="1" si="22"/>
        <v>18.359706748547449</v>
      </c>
      <c r="AH77" s="55">
        <f t="shared" ca="1" si="23"/>
        <v>0</v>
      </c>
      <c r="AI77" s="55">
        <f t="shared" ca="1" si="17"/>
        <v>0</v>
      </c>
      <c r="AJ77" s="55">
        <f t="shared" ca="1" si="18"/>
        <v>15.495201251473386</v>
      </c>
      <c r="AK77" s="55">
        <f t="shared" ca="1" si="19"/>
        <v>-25.827928112490515</v>
      </c>
    </row>
    <row r="78" spans="2:37">
      <c r="R78" s="83">
        <f ca="1"/>
        <v>45184</v>
      </c>
      <c r="S78" s="55">
        <f t="shared" ca="1" si="11"/>
        <v>45184</v>
      </c>
      <c r="T78" s="55">
        <f t="shared" ca="1" si="0"/>
        <v>55.00102183318937</v>
      </c>
      <c r="U78" s="55">
        <f t="shared" ca="1" si="1"/>
        <v>0.96524946299463588</v>
      </c>
      <c r="V78" s="55">
        <f t="shared" ca="1" si="2"/>
        <v>0</v>
      </c>
      <c r="W78" s="55">
        <f t="shared" ca="1" si="12"/>
        <v>0</v>
      </c>
      <c r="X78" s="55">
        <f t="shared" ca="1" si="13"/>
        <v>12.658050319946069</v>
      </c>
      <c r="Y78" s="55">
        <f t="shared" ca="1" si="14"/>
        <v>-7.5477453022746266</v>
      </c>
      <c r="Z78">
        <f t="shared" ca="1" si="3"/>
        <v>0</v>
      </c>
      <c r="AA78">
        <f t="shared" ca="1" si="15"/>
        <v>0</v>
      </c>
      <c r="AB78">
        <f t="shared" ca="1" si="4"/>
        <v>0</v>
      </c>
      <c r="AC78">
        <f t="shared" ca="1" si="5"/>
        <v>5.0196381932136411E-3</v>
      </c>
      <c r="AD78" s="83">
        <f ca="1"/>
        <v>45352</v>
      </c>
      <c r="AE78" s="55">
        <f t="shared" ca="1" si="20"/>
        <v>45352</v>
      </c>
      <c r="AF78" s="55">
        <f t="shared" ca="1" si="21"/>
        <v>1.8207130035715551</v>
      </c>
      <c r="AG78" s="55">
        <f t="shared" ca="1" si="22"/>
        <v>19.284430211124477</v>
      </c>
      <c r="AH78" s="55">
        <f t="shared" ca="1" si="23"/>
        <v>0</v>
      </c>
      <c r="AI78" s="55">
        <f t="shared" ca="1" si="17"/>
        <v>0</v>
      </c>
      <c r="AJ78" s="55">
        <f t="shared" ca="1" si="18"/>
        <v>15.73803213596188</v>
      </c>
      <c r="AK78" s="55">
        <f t="shared" ca="1" si="19"/>
        <v>-25.983894764845783</v>
      </c>
    </row>
    <row r="79" spans="2:37">
      <c r="R79" s="83">
        <f ca="1"/>
        <v>45185</v>
      </c>
      <c r="S79" s="55">
        <f t="shared" ca="1" si="11"/>
        <v>45185</v>
      </c>
      <c r="T79" s="55">
        <f t="shared" ca="1" si="0"/>
        <v>55.16362878700253</v>
      </c>
      <c r="U79" s="55">
        <f t="shared" ca="1" si="1"/>
        <v>0.96524946299463588</v>
      </c>
      <c r="V79" s="55">
        <f t="shared" ca="1" si="2"/>
        <v>0</v>
      </c>
      <c r="W79" s="55">
        <f t="shared" ca="1" si="12"/>
        <v>0</v>
      </c>
      <c r="X79" s="55">
        <f t="shared" ca="1" si="13"/>
        <v>12.858884394605933</v>
      </c>
      <c r="Y79" s="55">
        <f t="shared" ca="1" si="14"/>
        <v>-7.5859724231213299</v>
      </c>
      <c r="Z79">
        <f t="shared" ca="1" si="3"/>
        <v>0</v>
      </c>
      <c r="AA79">
        <f t="shared" ca="1" si="15"/>
        <v>0</v>
      </c>
      <c r="AB79">
        <f t="shared" ca="1" si="4"/>
        <v>0</v>
      </c>
      <c r="AC79">
        <f t="shared" ca="1" si="5"/>
        <v>5.0196381932136411E-3</v>
      </c>
      <c r="AD79" s="83">
        <f ca="1"/>
        <v>45353</v>
      </c>
      <c r="AE79" s="55">
        <f t="shared" ca="1" si="20"/>
        <v>45353</v>
      </c>
      <c r="AF79" s="55">
        <f t="shared" ca="1" si="21"/>
        <v>0.96588556143220616</v>
      </c>
      <c r="AG79" s="55">
        <f t="shared" ca="1" si="22"/>
        <v>20.204698178878314</v>
      </c>
      <c r="AH79" s="55">
        <f t="shared" ca="1" si="23"/>
        <v>0</v>
      </c>
      <c r="AI79" s="55">
        <f t="shared" ca="1" si="17"/>
        <v>0</v>
      </c>
      <c r="AJ79" s="55">
        <f t="shared" ca="1" si="18"/>
        <v>15.976896954543182</v>
      </c>
      <c r="AK79" s="55">
        <f t="shared" ca="1" si="19"/>
        <v>-26.157319057812597</v>
      </c>
    </row>
    <row r="80" spans="2:37">
      <c r="R80" s="83">
        <f ca="1"/>
        <v>45186</v>
      </c>
      <c r="S80" s="55">
        <f t="shared" ca="1" si="11"/>
        <v>45186</v>
      </c>
      <c r="T80" s="55">
        <f t="shared" ca="1" si="0"/>
        <v>55.31411993527135</v>
      </c>
      <c r="U80" s="55">
        <f t="shared" ca="1" si="1"/>
        <v>0.96524946299463588</v>
      </c>
      <c r="V80" s="55">
        <f t="shared" ca="1" si="2"/>
        <v>0</v>
      </c>
      <c r="W80" s="55">
        <f t="shared" ca="1" si="12"/>
        <v>0</v>
      </c>
      <c r="X80" s="55">
        <f t="shared" ca="1" si="13"/>
        <v>13.042586080432393</v>
      </c>
      <c r="Y80" s="55">
        <f t="shared" ca="1" si="14"/>
        <v>-7.6191829606789758</v>
      </c>
      <c r="Z80">
        <f t="shared" ca="1" si="3"/>
        <v>0</v>
      </c>
      <c r="AA80">
        <f t="shared" ca="1" si="15"/>
        <v>0</v>
      </c>
      <c r="AB80">
        <f t="shared" ca="1" si="4"/>
        <v>0</v>
      </c>
      <c r="AC80">
        <f t="shared" ca="1" si="5"/>
        <v>5.0196381932136411E-3</v>
      </c>
      <c r="AD80" s="83">
        <f ca="1"/>
        <v>45354</v>
      </c>
      <c r="AE80" s="55">
        <f t="shared" ca="1" si="20"/>
        <v>45354</v>
      </c>
      <c r="AF80" s="55">
        <f t="shared" ca="1" si="21"/>
        <v>0.10763275177569898</v>
      </c>
      <c r="AG80" s="55">
        <f t="shared" ca="1" si="22"/>
        <v>21.125022853926769</v>
      </c>
      <c r="AH80" s="55">
        <f t="shared" ca="1" si="23"/>
        <v>0</v>
      </c>
      <c r="AI80" s="55">
        <f t="shared" ca="1" si="17"/>
        <v>0</v>
      </c>
      <c r="AJ80" s="55">
        <f t="shared" ca="1" si="18"/>
        <v>16.207032939042431</v>
      </c>
      <c r="AK80" s="55">
        <f t="shared" ca="1" si="19"/>
        <v>-26.325383176919896</v>
      </c>
    </row>
    <row r="81" spans="18:37">
      <c r="R81" s="83">
        <f ca="1"/>
        <v>45187</v>
      </c>
      <c r="S81" s="55">
        <f t="shared" ca="1" si="11"/>
        <v>45187</v>
      </c>
      <c r="T81" s="55">
        <f t="shared" ca="1" si="0"/>
        <v>55.45995197209551</v>
      </c>
      <c r="U81" s="55">
        <f t="shared" ca="1" si="1"/>
        <v>0.96524946299463588</v>
      </c>
      <c r="V81" s="55">
        <f t="shared" ca="1" si="2"/>
        <v>0</v>
      </c>
      <c r="W81" s="55">
        <f t="shared" ca="1" si="12"/>
        <v>0</v>
      </c>
      <c r="X81" s="55">
        <f t="shared" ca="1" si="13"/>
        <v>13.218566233207147</v>
      </c>
      <c r="Y81" s="55">
        <f t="shared" ca="1" si="14"/>
        <v>-7.6493310766295677</v>
      </c>
      <c r="Z81">
        <f t="shared" ca="1" si="3"/>
        <v>0</v>
      </c>
      <c r="AA81">
        <f t="shared" ca="1" si="15"/>
        <v>0</v>
      </c>
      <c r="AB81">
        <f t="shared" ca="1" si="4"/>
        <v>0</v>
      </c>
      <c r="AC81">
        <f t="shared" ca="1" si="5"/>
        <v>5.0196381932136411E-3</v>
      </c>
      <c r="AD81" s="83">
        <f ca="1"/>
        <v>45355</v>
      </c>
      <c r="AE81" s="55">
        <f t="shared" ca="1" si="20"/>
        <v>45355</v>
      </c>
      <c r="AF81" s="55">
        <f t="shared" ca="1" si="21"/>
        <v>-0.85660742586947136</v>
      </c>
      <c r="AG81" s="55">
        <f t="shared" ca="1" si="22"/>
        <v>22.160297731536769</v>
      </c>
      <c r="AH81" s="55">
        <f t="shared" ca="1" si="23"/>
        <v>0</v>
      </c>
      <c r="AI81" s="55">
        <f t="shared" ca="1" si="17"/>
        <v>0</v>
      </c>
      <c r="AJ81" s="55">
        <f t="shared" ca="1" si="18"/>
        <v>16.465730938615515</v>
      </c>
      <c r="AK81" s="55">
        <f t="shared" ca="1" si="19"/>
        <v>-26.513046476528149</v>
      </c>
    </row>
    <row r="82" spans="18:37">
      <c r="R82" s="83">
        <f ca="1"/>
        <v>45188</v>
      </c>
      <c r="S82" s="55">
        <f t="shared" ca="1" si="11"/>
        <v>45188</v>
      </c>
      <c r="T82" s="55">
        <f t="shared" ref="T82:T145" ca="1" si="27">VLOOKUP(S82,ModelOutputs,2,FALSE)</f>
        <v>55.609653071433442</v>
      </c>
      <c r="U82" s="55">
        <f t="shared" ref="U82:U145" ca="1" si="28">VLOOKUP(S82,ModelOutputs,7,FALSE)</f>
        <v>0.96524946299463588</v>
      </c>
      <c r="V82" s="55">
        <f t="shared" ref="V82:V145" ca="1" si="29">VLOOKUP(S82,ModelOutputs,6,FALSE)</f>
        <v>0</v>
      </c>
      <c r="W82" s="55">
        <f t="shared" ca="1" si="12"/>
        <v>0</v>
      </c>
      <c r="X82" s="55">
        <f t="shared" ca="1" si="13"/>
        <v>13.396808586888451</v>
      </c>
      <c r="Y82" s="55">
        <f t="shared" ca="1" si="14"/>
        <v>-7.677872330972944</v>
      </c>
      <c r="Z82">
        <f t="shared" ref="Z82:Z145" ca="1" si="30">VLOOKUP(S82,ModelOutputs,10,FALSE)*AWC</f>
        <v>0</v>
      </c>
      <c r="AA82">
        <f t="shared" ca="1" si="15"/>
        <v>0</v>
      </c>
      <c r="AB82">
        <f t="shared" ref="AB82:AB145" ca="1" si="31">VLOOKUP(S82,ModelOutputs,12,FALSE)</f>
        <v>0</v>
      </c>
      <c r="AC82">
        <f t="shared" ref="AC82:AC145" ca="1" si="32">VLOOKUP(S82,ModelOutputs,13,FALSE)</f>
        <v>5.0196381932136411E-3</v>
      </c>
      <c r="AD82" s="83">
        <f ca="1"/>
        <v>45356</v>
      </c>
      <c r="AE82" s="55">
        <f t="shared" ca="1" si="20"/>
        <v>45356</v>
      </c>
      <c r="AF82" s="55">
        <f t="shared" ca="1" si="21"/>
        <v>-1.8638437197778215</v>
      </c>
      <c r="AG82" s="55">
        <f t="shared" ca="1" si="22"/>
        <v>23.25647089122306</v>
      </c>
      <c r="AH82" s="55">
        <f t="shared" ca="1" si="23"/>
        <v>0</v>
      </c>
      <c r="AI82" s="55">
        <f t="shared" ca="1" si="17"/>
        <v>0</v>
      </c>
      <c r="AJ82" s="55">
        <f t="shared" ca="1" si="18"/>
        <v>16.723336385687698</v>
      </c>
      <c r="AK82" s="55">
        <f t="shared" ca="1" si="19"/>
        <v>-26.681715057822391</v>
      </c>
    </row>
    <row r="83" spans="18:37">
      <c r="R83" s="83">
        <f ca="1"/>
        <v>45189</v>
      </c>
      <c r="S83" s="55">
        <f t="shared" ref="S83:S146" ca="1" si="33">IF(R83&gt;1,R83,"")</f>
        <v>45189</v>
      </c>
      <c r="T83" s="55">
        <f t="shared" ca="1" si="27"/>
        <v>55.752818188737443</v>
      </c>
      <c r="U83" s="55">
        <f t="shared" ca="1" si="28"/>
        <v>0.96524946299463588</v>
      </c>
      <c r="V83" s="55">
        <f t="shared" ca="1" si="29"/>
        <v>0</v>
      </c>
      <c r="W83" s="55">
        <f t="shared" ref="W83:W146" ca="1" si="34">-VLOOKUP(S83,ModelOutputs,9,FALSE)+W82</f>
        <v>0</v>
      </c>
      <c r="X83" s="55">
        <f t="shared" ref="X83:X146" ca="1" si="35">VLOOKUP(S83,ModelOutputs,5,FALSE)+X82</f>
        <v>13.565726635509259</v>
      </c>
      <c r="Y83" s="55">
        <f t="shared" ref="Y83:Y146" ca="1" si="36">VLOOKUP(S83,ModelOutputs,4,FALSE)+Y82</f>
        <v>-7.7036252622897514</v>
      </c>
      <c r="Z83">
        <f t="shared" ca="1" si="30"/>
        <v>0</v>
      </c>
      <c r="AA83">
        <f t="shared" ref="AA83:AA146" ca="1" si="37">VLOOKUP(S83,ModelOutputs,11,FALSE)+AA82</f>
        <v>0</v>
      </c>
      <c r="AB83">
        <f t="shared" ca="1" si="31"/>
        <v>0</v>
      </c>
      <c r="AC83">
        <f t="shared" ca="1" si="32"/>
        <v>5.0196381932136411E-3</v>
      </c>
      <c r="AD83" s="83">
        <f ca="1"/>
        <v>45357</v>
      </c>
      <c r="AE83" s="55">
        <f t="shared" ca="1" si="20"/>
        <v>45357</v>
      </c>
      <c r="AF83" s="55">
        <f t="shared" ca="1" si="21"/>
        <v>-2.8456424019323023</v>
      </c>
      <c r="AG83" s="55">
        <f t="shared" ca="1" si="22"/>
        <v>24.328735316712645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16.958349785897681</v>
      </c>
      <c r="AK83" s="55">
        <f t="shared" ref="AK83:AK146" ca="1" si="40">VLOOKUP(AE83,ModelOutputs,4,FALSE)+AK82</f>
        <v>-26.826262714697268</v>
      </c>
    </row>
    <row r="84" spans="18:37">
      <c r="R84" s="83">
        <f ca="1"/>
        <v>45190</v>
      </c>
      <c r="S84" s="55">
        <f t="shared" ca="1" si="33"/>
        <v>45190</v>
      </c>
      <c r="T84" s="55">
        <f t="shared" ca="1" si="27"/>
        <v>55.902221040692176</v>
      </c>
      <c r="U84" s="55">
        <f t="shared" ca="1" si="28"/>
        <v>0.96524946299463588</v>
      </c>
      <c r="V84" s="55">
        <f t="shared" ca="1" si="29"/>
        <v>0</v>
      </c>
      <c r="W84" s="55">
        <f t="shared" ca="1" si="34"/>
        <v>0</v>
      </c>
      <c r="X84" s="55">
        <f t="shared" ca="1" si="35"/>
        <v>13.739692840169809</v>
      </c>
      <c r="Y84" s="55">
        <f t="shared" ca="1" si="36"/>
        <v>-7.7281886149955685</v>
      </c>
      <c r="Z84">
        <f t="shared" ca="1" si="30"/>
        <v>0</v>
      </c>
      <c r="AA84">
        <f t="shared" ca="1" si="37"/>
        <v>0</v>
      </c>
      <c r="AB84">
        <f t="shared" ca="1" si="31"/>
        <v>0</v>
      </c>
      <c r="AC84">
        <f t="shared" ca="1" si="32"/>
        <v>5.0196381932136411E-3</v>
      </c>
      <c r="AD84" s="83">
        <f ca="1"/>
        <v>45358</v>
      </c>
      <c r="AE84" s="55">
        <f t="shared" ca="1" si="20"/>
        <v>45358</v>
      </c>
      <c r="AF84" s="55">
        <f t="shared" ca="1" si="21"/>
        <v>-3.8827226958002061</v>
      </c>
      <c r="AG84" s="55">
        <f t="shared" ca="1" si="22"/>
        <v>25.467525165154157</v>
      </c>
      <c r="AH84" s="55">
        <f t="shared" ca="1" si="23"/>
        <v>0</v>
      </c>
      <c r="AI84" s="55">
        <f t="shared" ca="1" si="38"/>
        <v>0</v>
      </c>
      <c r="AJ84" s="55">
        <f t="shared" ca="1" si="39"/>
        <v>17.197511542245248</v>
      </c>
      <c r="AK84" s="55">
        <f t="shared" ca="1" si="40"/>
        <v>-26.963714916471229</v>
      </c>
    </row>
    <row r="85" spans="18:37">
      <c r="R85" s="83">
        <f ca="1"/>
        <v>45191</v>
      </c>
      <c r="S85" s="55">
        <f t="shared" ca="1" si="33"/>
        <v>45191</v>
      </c>
      <c r="T85" s="55">
        <f t="shared" ca="1" si="27"/>
        <v>56.045648042605457</v>
      </c>
      <c r="U85" s="55">
        <f t="shared" ca="1" si="28"/>
        <v>0.96524946299463588</v>
      </c>
      <c r="V85" s="55">
        <f t="shared" ca="1" si="29"/>
        <v>0</v>
      </c>
      <c r="W85" s="55">
        <f t="shared" ca="1" si="34"/>
        <v>0</v>
      </c>
      <c r="X85" s="55">
        <f t="shared" ca="1" si="35"/>
        <v>13.905333132704401</v>
      </c>
      <c r="Y85" s="55">
        <f t="shared" ca="1" si="36"/>
        <v>-7.7504019056168749</v>
      </c>
      <c r="Z85">
        <f t="shared" ca="1" si="30"/>
        <v>0</v>
      </c>
      <c r="AA85">
        <f t="shared" ca="1" si="37"/>
        <v>0</v>
      </c>
      <c r="AB85">
        <f t="shared" ca="1" si="31"/>
        <v>0</v>
      </c>
      <c r="AC85">
        <f t="shared" ca="1" si="32"/>
        <v>5.0196381932136411E-3</v>
      </c>
      <c r="AD85" s="83">
        <f ca="1"/>
        <v>45359</v>
      </c>
      <c r="AE85" s="55">
        <f t="shared" ref="AE85:AE148" ca="1" si="41">IF(AD85&gt;1,AD85,"")</f>
        <v>45359</v>
      </c>
      <c r="AF85" s="55">
        <f t="shared" ref="AF85:AF148" ca="1" si="42">VLOOKUP(AE85,ModelOutputs,2,FALSE)</f>
        <v>-4.9098077613486133</v>
      </c>
      <c r="AG85" s="55">
        <f t="shared" ref="AG85:AG148" ca="1" si="43">VLOOKUP(AE85,ModelOutputs,7,FALSE)</f>
        <v>26.597237914840662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17.420895323332775</v>
      </c>
      <c r="AK85" s="55">
        <f t="shared" ca="1" si="40"/>
        <v>-27.084471013420657</v>
      </c>
    </row>
    <row r="86" spans="18:37">
      <c r="R86" s="83">
        <f ca="1"/>
        <v>45192</v>
      </c>
      <c r="S86" s="55">
        <f t="shared" ca="1" si="33"/>
        <v>45192</v>
      </c>
      <c r="T86" s="55">
        <f t="shared" ca="1" si="27"/>
        <v>56.184953007427602</v>
      </c>
      <c r="U86" s="55">
        <f t="shared" ca="1" si="28"/>
        <v>0.96524946299463588</v>
      </c>
      <c r="V86" s="55">
        <f t="shared" ca="1" si="29"/>
        <v>0</v>
      </c>
      <c r="W86" s="55">
        <f t="shared" ca="1" si="34"/>
        <v>0</v>
      </c>
      <c r="X86" s="55">
        <f t="shared" ca="1" si="35"/>
        <v>14.064801590866304</v>
      </c>
      <c r="Y86" s="55">
        <f t="shared" ca="1" si="36"/>
        <v>-7.7705653989566326</v>
      </c>
      <c r="Z86">
        <f t="shared" ca="1" si="30"/>
        <v>0</v>
      </c>
      <c r="AA86">
        <f t="shared" ca="1" si="37"/>
        <v>0</v>
      </c>
      <c r="AB86">
        <f t="shared" ca="1" si="31"/>
        <v>0</v>
      </c>
      <c r="AC86">
        <f t="shared" ca="1" si="32"/>
        <v>5.0196381932136411E-3</v>
      </c>
      <c r="AD86" s="83">
        <f ca="1"/>
        <v>45360</v>
      </c>
      <c r="AE86" s="55">
        <f t="shared" ca="1" si="41"/>
        <v>45360</v>
      </c>
      <c r="AF86" s="55">
        <f t="shared" ca="1" si="42"/>
        <v>-6.0584152178432218</v>
      </c>
      <c r="AG86" s="55">
        <f t="shared" ca="1" si="43"/>
        <v>27.864758633459747</v>
      </c>
      <c r="AH86" s="55">
        <f t="shared" ca="1" si="44"/>
        <v>0</v>
      </c>
      <c r="AI86" s="55">
        <f t="shared" ca="1" si="38"/>
        <v>0</v>
      </c>
      <c r="AJ86" s="55">
        <f t="shared" ca="1" si="39"/>
        <v>17.667632697413964</v>
      </c>
      <c r="AK86" s="55">
        <f t="shared" ca="1" si="40"/>
        <v>-27.21229512537737</v>
      </c>
    </row>
    <row r="87" spans="18:37">
      <c r="R87" s="83">
        <f ca="1"/>
        <v>45193</v>
      </c>
      <c r="S87" s="55">
        <f t="shared" ca="1" si="33"/>
        <v>45193</v>
      </c>
      <c r="T87" s="55">
        <f t="shared" ca="1" si="27"/>
        <v>56.331486158810712</v>
      </c>
      <c r="U87" s="55">
        <f t="shared" ca="1" si="28"/>
        <v>0.96524946299463588</v>
      </c>
      <c r="V87" s="55">
        <f t="shared" ca="1" si="29"/>
        <v>0</v>
      </c>
      <c r="W87" s="55">
        <f t="shared" ca="1" si="34"/>
        <v>0</v>
      </c>
      <c r="X87" s="55">
        <f t="shared" ca="1" si="35"/>
        <v>14.230987728140374</v>
      </c>
      <c r="Y87" s="55">
        <f t="shared" ca="1" si="36"/>
        <v>-7.7902183848475897</v>
      </c>
      <c r="Z87">
        <f t="shared" ca="1" si="30"/>
        <v>0</v>
      </c>
      <c r="AA87">
        <f t="shared" ca="1" si="37"/>
        <v>0</v>
      </c>
      <c r="AB87">
        <f t="shared" ca="1" si="31"/>
        <v>0</v>
      </c>
      <c r="AC87">
        <f t="shared" ca="1" si="32"/>
        <v>5.0196381932136411E-3</v>
      </c>
      <c r="AD87" s="83">
        <f ca="1"/>
        <v>45361</v>
      </c>
      <c r="AE87" s="55">
        <f t="shared" ca="1" si="41"/>
        <v>45361</v>
      </c>
      <c r="AF87" s="55">
        <f t="shared" ca="1" si="42"/>
        <v>-7.202148763821083</v>
      </c>
      <c r="AG87" s="55">
        <f t="shared" ca="1" si="43"/>
        <v>29.121451213426599</v>
      </c>
      <c r="AH87" s="55">
        <f t="shared" ca="1" si="44"/>
        <v>0</v>
      </c>
      <c r="AI87" s="55">
        <f t="shared" ca="1" si="38"/>
        <v>0</v>
      </c>
      <c r="AJ87" s="55">
        <f t="shared" ca="1" si="39"/>
        <v>17.903038662044086</v>
      </c>
      <c r="AK87" s="55">
        <f t="shared" ca="1" si="40"/>
        <v>-27.334742056018502</v>
      </c>
    </row>
    <row r="88" spans="18:37">
      <c r="R88" s="83">
        <f ca="1"/>
        <v>45194</v>
      </c>
      <c r="S88" s="55">
        <f t="shared" ca="1" si="33"/>
        <v>45194</v>
      </c>
      <c r="T88" s="55">
        <f t="shared" ca="1" si="27"/>
        <v>56.47127314567021</v>
      </c>
      <c r="U88" s="55">
        <f t="shared" ca="1" si="28"/>
        <v>0.96524946299463588</v>
      </c>
      <c r="V88" s="55">
        <f t="shared" ca="1" si="29"/>
        <v>0</v>
      </c>
      <c r="W88" s="55">
        <f t="shared" ca="1" si="34"/>
        <v>0</v>
      </c>
      <c r="X88" s="55">
        <f t="shared" ca="1" si="35"/>
        <v>14.388837419812521</v>
      </c>
      <c r="Y88" s="55">
        <f t="shared" ca="1" si="36"/>
        <v>-7.8082810896602393</v>
      </c>
      <c r="Z88">
        <f t="shared" ca="1" si="30"/>
        <v>0</v>
      </c>
      <c r="AA88">
        <f t="shared" ca="1" si="37"/>
        <v>0</v>
      </c>
      <c r="AB88">
        <f t="shared" ca="1" si="31"/>
        <v>0</v>
      </c>
      <c r="AC88">
        <f t="shared" ca="1" si="32"/>
        <v>5.0196381932136411E-3</v>
      </c>
      <c r="AD88" s="83">
        <f ca="1"/>
        <v>45362</v>
      </c>
      <c r="AE88" s="55">
        <f t="shared" ca="1" si="41"/>
        <v>45362</v>
      </c>
      <c r="AF88" s="55">
        <f t="shared" ca="1" si="42"/>
        <v>-8.3878926261818627</v>
      </c>
      <c r="AG88" s="55">
        <f t="shared" ca="1" si="43"/>
        <v>30.417025245412198</v>
      </c>
      <c r="AH88" s="55">
        <f t="shared" ca="1" si="44"/>
        <v>0</v>
      </c>
      <c r="AI88" s="55">
        <f t="shared" ca="1" si="38"/>
        <v>0</v>
      </c>
      <c r="AJ88" s="55">
        <f t="shared" ca="1" si="39"/>
        <v>18.145663942970181</v>
      </c>
      <c r="AK88" s="55">
        <f t="shared" ca="1" si="40"/>
        <v>-27.467537167319779</v>
      </c>
    </row>
    <row r="89" spans="18:37">
      <c r="R89" s="83">
        <f ca="1"/>
        <v>45195</v>
      </c>
      <c r="S89" s="55">
        <f t="shared" ca="1" si="33"/>
        <v>45195</v>
      </c>
      <c r="T89" s="55">
        <f t="shared" ca="1" si="27"/>
        <v>56.622149734161269</v>
      </c>
      <c r="U89" s="55">
        <f t="shared" ca="1" si="28"/>
        <v>0.96524946299463588</v>
      </c>
      <c r="V89" s="55">
        <f t="shared" ca="1" si="29"/>
        <v>0</v>
      </c>
      <c r="W89" s="55">
        <f t="shared" ca="1" si="34"/>
        <v>0</v>
      </c>
      <c r="X89" s="55">
        <f t="shared" ca="1" si="35"/>
        <v>14.557416309365635</v>
      </c>
      <c r="Y89" s="55">
        <f t="shared" ca="1" si="36"/>
        <v>-7.8259833907222927</v>
      </c>
      <c r="Z89">
        <f t="shared" ca="1" si="30"/>
        <v>0</v>
      </c>
      <c r="AA89">
        <f t="shared" ca="1" si="37"/>
        <v>0</v>
      </c>
      <c r="AB89">
        <f t="shared" ca="1" si="31"/>
        <v>0</v>
      </c>
      <c r="AC89">
        <f t="shared" ca="1" si="32"/>
        <v>5.0196381932136411E-3</v>
      </c>
      <c r="AD89" s="83">
        <f ca="1"/>
        <v>45363</v>
      </c>
      <c r="AE89" s="55">
        <f t="shared" ca="1" si="41"/>
        <v>45363</v>
      </c>
      <c r="AF89" s="55">
        <f t="shared" ca="1" si="42"/>
        <v>-9.6391472052795759</v>
      </c>
      <c r="AG89" s="55">
        <f t="shared" ca="1" si="43"/>
        <v>31.783515190923623</v>
      </c>
      <c r="AH89" s="55">
        <f t="shared" ca="1" si="44"/>
        <v>0</v>
      </c>
      <c r="AI89" s="55">
        <f t="shared" ca="1" si="38"/>
        <v>0</v>
      </c>
      <c r="AJ89" s="55">
        <f t="shared" ca="1" si="39"/>
        <v>18.400599376213997</v>
      </c>
      <c r="AK89" s="55">
        <f t="shared" ca="1" si="40"/>
        <v>-27.607237234149881</v>
      </c>
    </row>
    <row r="90" spans="18:37">
      <c r="R90" s="83">
        <f ca="1"/>
        <v>45196</v>
      </c>
      <c r="S90" s="55">
        <f t="shared" ca="1" si="33"/>
        <v>45196</v>
      </c>
      <c r="T90" s="55">
        <f t="shared" ca="1" si="27"/>
        <v>56.774500239729193</v>
      </c>
      <c r="U90" s="55">
        <f t="shared" ca="1" si="28"/>
        <v>0.96524946299463588</v>
      </c>
      <c r="V90" s="55">
        <f t="shared" ca="1" si="29"/>
        <v>0</v>
      </c>
      <c r="W90" s="55">
        <f t="shared" ca="1" si="34"/>
        <v>0</v>
      </c>
      <c r="X90" s="55">
        <f t="shared" ca="1" si="35"/>
        <v>14.72610357518367</v>
      </c>
      <c r="Y90" s="55">
        <f t="shared" ca="1" si="36"/>
        <v>-7.8423201509724088</v>
      </c>
      <c r="Z90">
        <f t="shared" ca="1" si="30"/>
        <v>0</v>
      </c>
      <c r="AA90">
        <f t="shared" ca="1" si="37"/>
        <v>0</v>
      </c>
      <c r="AB90">
        <f t="shared" ca="1" si="31"/>
        <v>0</v>
      </c>
      <c r="AC90">
        <f t="shared" ca="1" si="32"/>
        <v>5.0196381932136411E-3</v>
      </c>
      <c r="AD90" s="83">
        <f ca="1"/>
        <v>45364</v>
      </c>
      <c r="AE90" s="55">
        <f t="shared" ca="1" si="41"/>
        <v>45364</v>
      </c>
      <c r="AF90" s="55">
        <f t="shared" ca="1" si="42"/>
        <v>-10.908112637713932</v>
      </c>
      <c r="AG90" s="55">
        <f t="shared" ca="1" si="43"/>
        <v>33.170302693916653</v>
      </c>
      <c r="AH90" s="55">
        <f t="shared" ca="1" si="44"/>
        <v>0</v>
      </c>
      <c r="AI90" s="55">
        <f t="shared" ca="1" si="38"/>
        <v>0</v>
      </c>
      <c r="AJ90" s="55">
        <f t="shared" ca="1" si="39"/>
        <v>18.652211492906638</v>
      </c>
      <c r="AK90" s="55">
        <f t="shared" ca="1" si="40"/>
        <v>-27.741027280283848</v>
      </c>
    </row>
    <row r="91" spans="18:37">
      <c r="R91" s="83">
        <f ca="1"/>
        <v>45197</v>
      </c>
      <c r="S91" s="55">
        <f t="shared" ca="1" si="33"/>
        <v>45197</v>
      </c>
      <c r="T91" s="55">
        <f t="shared" ca="1" si="27"/>
        <v>56.92339123750569</v>
      </c>
      <c r="U91" s="55">
        <f t="shared" ca="1" si="28"/>
        <v>0.96524946299463588</v>
      </c>
      <c r="V91" s="55">
        <f t="shared" ca="1" si="29"/>
        <v>0</v>
      </c>
      <c r="W91" s="55">
        <f t="shared" ca="1" si="34"/>
        <v>0</v>
      </c>
      <c r="X91" s="55">
        <f t="shared" ca="1" si="35"/>
        <v>14.890259213948433</v>
      </c>
      <c r="Y91" s="55">
        <f t="shared" ca="1" si="36"/>
        <v>-7.8575847919606741</v>
      </c>
      <c r="Z91">
        <f t="shared" ca="1" si="30"/>
        <v>0</v>
      </c>
      <c r="AA91">
        <f t="shared" ca="1" si="37"/>
        <v>0</v>
      </c>
      <c r="AB91">
        <f t="shared" ca="1" si="31"/>
        <v>0</v>
      </c>
      <c r="AC91">
        <f t="shared" ca="1" si="32"/>
        <v>5.0196381932136411E-3</v>
      </c>
      <c r="AD91" s="83">
        <f ca="1"/>
        <v>45365</v>
      </c>
      <c r="AE91" s="55">
        <f t="shared" ca="1" si="41"/>
        <v>45365</v>
      </c>
      <c r="AF91" s="55">
        <f t="shared" ca="1" si="42"/>
        <v>-12.223721581070786</v>
      </c>
      <c r="AG91" s="55">
        <f t="shared" ca="1" si="43"/>
        <v>34.615307094518606</v>
      </c>
      <c r="AH91" s="55">
        <f t="shared" ca="1" si="44"/>
        <v>0</v>
      </c>
      <c r="AI91" s="55">
        <f t="shared" ca="1" si="38"/>
        <v>0</v>
      </c>
      <c r="AJ91" s="55">
        <f t="shared" ca="1" si="39"/>
        <v>18.898180991874202</v>
      </c>
      <c r="AK91" s="55">
        <f t="shared" ca="1" si="40"/>
        <v>-27.857601322006314</v>
      </c>
    </row>
    <row r="92" spans="18:37">
      <c r="R92" s="83">
        <f ca="1"/>
        <v>45198</v>
      </c>
      <c r="S92" s="55">
        <f t="shared" ca="1" si="33"/>
        <v>45198</v>
      </c>
      <c r="T92" s="55">
        <f t="shared" ca="1" si="27"/>
        <v>57.070229194962238</v>
      </c>
      <c r="U92" s="55">
        <f t="shared" ca="1" si="28"/>
        <v>0.96524946299463588</v>
      </c>
      <c r="V92" s="55">
        <f t="shared" ca="1" si="29"/>
        <v>0</v>
      </c>
      <c r="W92" s="55">
        <f t="shared" ca="1" si="34"/>
        <v>0</v>
      </c>
      <c r="X92" s="55">
        <f t="shared" ca="1" si="35"/>
        <v>15.051354765568931</v>
      </c>
      <c r="Y92" s="55">
        <f t="shared" ca="1" si="36"/>
        <v>-7.8718423861246238</v>
      </c>
      <c r="Z92">
        <f t="shared" ca="1" si="30"/>
        <v>0</v>
      </c>
      <c r="AA92">
        <f t="shared" ca="1" si="37"/>
        <v>0</v>
      </c>
      <c r="AB92">
        <f t="shared" ca="1" si="31"/>
        <v>0</v>
      </c>
      <c r="AC92">
        <f t="shared" ca="1" si="32"/>
        <v>5.0196381932136411E-3</v>
      </c>
      <c r="AD92" s="83">
        <f ca="1"/>
        <v>45366</v>
      </c>
      <c r="AE92" s="55">
        <f t="shared" ca="1" si="41"/>
        <v>45366</v>
      </c>
      <c r="AF92" s="55">
        <f t="shared" ca="1" si="42"/>
        <v>-13.585015746809816</v>
      </c>
      <c r="AG92" s="55">
        <f t="shared" ca="1" si="43"/>
        <v>36.113126105640774</v>
      </c>
      <c r="AH92" s="55">
        <f t="shared" ca="1" si="44"/>
        <v>0</v>
      </c>
      <c r="AI92" s="55">
        <f t="shared" ca="1" si="38"/>
        <v>0</v>
      </c>
      <c r="AJ92" s="55">
        <f t="shared" ca="1" si="39"/>
        <v>19.143296875913034</v>
      </c>
      <c r="AK92" s="55">
        <f t="shared" ca="1" si="40"/>
        <v>-27.96619236066201</v>
      </c>
    </row>
    <row r="93" spans="18:37">
      <c r="R93" s="83">
        <f ca="1"/>
        <v>45199</v>
      </c>
      <c r="S93" s="55">
        <f t="shared" ca="1" si="33"/>
        <v>45199</v>
      </c>
      <c r="T93" s="55">
        <f t="shared" ca="1" si="27"/>
        <v>57.233061396276263</v>
      </c>
      <c r="U93" s="55">
        <f t="shared" ca="1" si="28"/>
        <v>0.96524946299463588</v>
      </c>
      <c r="V93" s="55">
        <f t="shared" ca="1" si="29"/>
        <v>0</v>
      </c>
      <c r="W93" s="55">
        <f t="shared" ca="1" si="34"/>
        <v>0</v>
      </c>
      <c r="X93" s="55">
        <f t="shared" ca="1" si="35"/>
        <v>15.228151548840948</v>
      </c>
      <c r="Y93" s="55">
        <f t="shared" ca="1" si="36"/>
        <v>-7.8858069680826173</v>
      </c>
      <c r="Z93">
        <f t="shared" ca="1" si="30"/>
        <v>0</v>
      </c>
      <c r="AA93">
        <f t="shared" ca="1" si="37"/>
        <v>0</v>
      </c>
      <c r="AB93">
        <f t="shared" ca="1" si="31"/>
        <v>0</v>
      </c>
      <c r="AC93">
        <f t="shared" ca="1" si="32"/>
        <v>5.0196381932136411E-3</v>
      </c>
      <c r="AD93" s="83">
        <f ca="1"/>
        <v>45367</v>
      </c>
      <c r="AE93" s="55">
        <f t="shared" ca="1" si="41"/>
        <v>45367</v>
      </c>
      <c r="AF93" s="55">
        <f t="shared" ca="1" si="42"/>
        <v>-14.975257556728753</v>
      </c>
      <c r="AG93" s="55">
        <f t="shared" ca="1" si="43"/>
        <v>37.643688435834321</v>
      </c>
      <c r="AH93" s="55">
        <f t="shared" ca="1" si="44"/>
        <v>0</v>
      </c>
      <c r="AI93" s="55">
        <f t="shared" ca="1" si="38"/>
        <v>0</v>
      </c>
      <c r="AJ93" s="55">
        <f t="shared" ca="1" si="39"/>
        <v>19.384383015027176</v>
      </c>
      <c r="AK93" s="55">
        <f t="shared" ca="1" si="40"/>
        <v>-28.066957979501542</v>
      </c>
    </row>
    <row r="94" spans="18:37">
      <c r="R94" s="83">
        <f ca="1"/>
        <v>45200</v>
      </c>
      <c r="S94" s="55">
        <f t="shared" ca="1" si="33"/>
        <v>45200</v>
      </c>
      <c r="T94" s="55">
        <f t="shared" ca="1" si="27"/>
        <v>57.342683595288619</v>
      </c>
      <c r="U94" s="55">
        <f t="shared" ca="1" si="28"/>
        <v>1.0171401489728715</v>
      </c>
      <c r="V94" s="55">
        <f t="shared" ca="1" si="29"/>
        <v>0</v>
      </c>
      <c r="W94" s="55">
        <f t="shared" ca="1" si="34"/>
        <v>0</v>
      </c>
      <c r="X94" s="55">
        <f t="shared" ca="1" si="35"/>
        <v>15.402295627639129</v>
      </c>
      <c r="Y94" s="55">
        <f t="shared" ca="1" si="36"/>
        <v>-7.8984381618902066</v>
      </c>
      <c r="Z94">
        <f t="shared" ca="1" si="30"/>
        <v>0</v>
      </c>
      <c r="AA94">
        <f t="shared" ca="1" si="37"/>
        <v>0</v>
      </c>
      <c r="AB94">
        <f t="shared" ca="1" si="31"/>
        <v>0</v>
      </c>
      <c r="AC94">
        <f t="shared" ca="1" si="32"/>
        <v>5.7214945691144645E-3</v>
      </c>
      <c r="AD94" s="83">
        <f ca="1"/>
        <v>45368</v>
      </c>
      <c r="AE94" s="55">
        <f t="shared" ca="1" si="41"/>
        <v>45368</v>
      </c>
      <c r="AF94" s="55">
        <f t="shared" ca="1" si="42"/>
        <v>-16.308551266990001</v>
      </c>
      <c r="AG94" s="55">
        <f t="shared" ca="1" si="43"/>
        <v>39.108289861833811</v>
      </c>
      <c r="AH94" s="55">
        <f t="shared" ca="1" si="44"/>
        <v>0</v>
      </c>
      <c r="AI94" s="55">
        <f t="shared" ca="1" si="38"/>
        <v>0</v>
      </c>
      <c r="AJ94" s="55">
        <f t="shared" ca="1" si="39"/>
        <v>19.605730497860019</v>
      </c>
      <c r="AK94" s="55">
        <f t="shared" ca="1" si="40"/>
        <v>-28.156997746596144</v>
      </c>
    </row>
    <row r="95" spans="18:37">
      <c r="R95" s="83">
        <f ca="1"/>
        <v>45201</v>
      </c>
      <c r="S95" s="55">
        <f t="shared" ca="1" si="33"/>
        <v>45201</v>
      </c>
      <c r="T95" s="55">
        <f t="shared" ca="1" si="27"/>
        <v>57.446897705309688</v>
      </c>
      <c r="U95" s="55">
        <f t="shared" ca="1" si="28"/>
        <v>1.0777450016683026</v>
      </c>
      <c r="V95" s="55">
        <f t="shared" ca="1" si="29"/>
        <v>0</v>
      </c>
      <c r="W95" s="55">
        <f t="shared" ca="1" si="34"/>
        <v>0</v>
      </c>
      <c r="X95" s="55">
        <f t="shared" ca="1" si="35"/>
        <v>15.578898326306994</v>
      </c>
      <c r="Y95" s="55">
        <f t="shared" ca="1" si="36"/>
        <v>-7.9102218978415673</v>
      </c>
      <c r="Z95">
        <f t="shared" ca="1" si="30"/>
        <v>0</v>
      </c>
      <c r="AA95">
        <f t="shared" ca="1" si="37"/>
        <v>0</v>
      </c>
      <c r="AB95">
        <f t="shared" ca="1" si="31"/>
        <v>0</v>
      </c>
      <c r="AC95">
        <f t="shared" ca="1" si="32"/>
        <v>6.6113112022474947E-3</v>
      </c>
      <c r="AD95" s="83">
        <f ca="1"/>
        <v>45369</v>
      </c>
      <c r="AE95" s="55">
        <f t="shared" ca="1" si="41"/>
        <v>45369</v>
      </c>
      <c r="AF95" s="55">
        <f t="shared" ca="1" si="42"/>
        <v>-17.76407582651261</v>
      </c>
      <c r="AG95" s="55">
        <f t="shared" ca="1" si="43"/>
        <v>40.711991812456546</v>
      </c>
      <c r="AH95" s="55">
        <f t="shared" ca="1" si="44"/>
        <v>0</v>
      </c>
      <c r="AI95" s="55">
        <f t="shared" ca="1" si="38"/>
        <v>0</v>
      </c>
      <c r="AJ95" s="55">
        <f t="shared" ca="1" si="39"/>
        <v>19.841598534009886</v>
      </c>
      <c r="AK95" s="55">
        <f t="shared" ca="1" si="40"/>
        <v>-28.244688391645884</v>
      </c>
    </row>
    <row r="96" spans="18:37">
      <c r="R96" s="83">
        <f ca="1"/>
        <v>45202</v>
      </c>
      <c r="S96" s="55">
        <f t="shared" ca="1" si="33"/>
        <v>45202</v>
      </c>
      <c r="T96" s="55">
        <f t="shared" ca="1" si="27"/>
        <v>57.544106704561884</v>
      </c>
      <c r="U96" s="55">
        <f t="shared" ca="1" si="28"/>
        <v>1.134539482223573</v>
      </c>
      <c r="V96" s="55">
        <f t="shared" ca="1" si="29"/>
        <v>0</v>
      </c>
      <c r="W96" s="55">
        <f t="shared" ca="1" si="34"/>
        <v>0</v>
      </c>
      <c r="X96" s="55">
        <f t="shared" ca="1" si="35"/>
        <v>15.743646793522256</v>
      </c>
      <c r="Y96" s="55">
        <f t="shared" ca="1" si="36"/>
        <v>-7.9209668852493635</v>
      </c>
      <c r="Z96">
        <f t="shared" ca="1" si="30"/>
        <v>0</v>
      </c>
      <c r="AA96">
        <f t="shared" ca="1" si="37"/>
        <v>0</v>
      </c>
      <c r="AB96">
        <f t="shared" ca="1" si="31"/>
        <v>0</v>
      </c>
      <c r="AC96">
        <f t="shared" ca="1" si="32"/>
        <v>7.5153462546830438E-3</v>
      </c>
      <c r="AD96" s="83">
        <f ca="1"/>
        <v>45370</v>
      </c>
      <c r="AE96" s="55">
        <f t="shared" ca="1" si="41"/>
        <v>45370</v>
      </c>
      <c r="AF96" s="55">
        <f t="shared" ca="1" si="42"/>
        <v>-19.341967716299436</v>
      </c>
      <c r="AG96" s="55">
        <f t="shared" ca="1" si="43"/>
        <v>42.454756305041769</v>
      </c>
      <c r="AH96" s="55">
        <f t="shared" ca="1" si="44"/>
        <v>0</v>
      </c>
      <c r="AI96" s="55">
        <f t="shared" ca="1" si="38"/>
        <v>0</v>
      </c>
      <c r="AJ96" s="55">
        <f t="shared" ca="1" si="39"/>
        <v>20.088503177605769</v>
      </c>
      <c r="AK96" s="55">
        <f t="shared" ca="1" si="40"/>
        <v>-28.32672043244337</v>
      </c>
    </row>
    <row r="97" spans="18:37">
      <c r="R97" s="83">
        <f ca="1"/>
        <v>45203</v>
      </c>
      <c r="S97" s="55">
        <f t="shared" ca="1" si="33"/>
        <v>45203</v>
      </c>
      <c r="T97" s="55">
        <f t="shared" ca="1" si="27"/>
        <v>57.637907672287831</v>
      </c>
      <c r="U97" s="55">
        <f t="shared" ca="1" si="28"/>
        <v>1.1914761658417179</v>
      </c>
      <c r="V97" s="55">
        <f t="shared" ca="1" si="29"/>
        <v>0</v>
      </c>
      <c r="W97" s="55">
        <f t="shared" ca="1" si="34"/>
        <v>0</v>
      </c>
      <c r="X97" s="55">
        <f t="shared" ca="1" si="35"/>
        <v>15.904592974161387</v>
      </c>
      <c r="Y97" s="55">
        <f t="shared" ca="1" si="36"/>
        <v>-7.9311754145444011</v>
      </c>
      <c r="Z97">
        <f t="shared" ca="1" si="30"/>
        <v>0</v>
      </c>
      <c r="AA97">
        <f t="shared" ca="1" si="37"/>
        <v>0</v>
      </c>
      <c r="AB97">
        <f t="shared" ca="1" si="31"/>
        <v>0</v>
      </c>
      <c r="AC97">
        <f t="shared" ca="1" si="32"/>
        <v>8.4913011964490304E-3</v>
      </c>
      <c r="AD97" s="83">
        <f ca="1"/>
        <v>45371</v>
      </c>
      <c r="AE97" s="55">
        <f t="shared" ca="1" si="41"/>
        <v>45371</v>
      </c>
      <c r="AF97" s="55">
        <f t="shared" ca="1" si="42"/>
        <v>-20.928322932941711</v>
      </c>
      <c r="AG97" s="55">
        <f t="shared" ca="1" si="43"/>
        <v>44.204960098053981</v>
      </c>
      <c r="AH97" s="55">
        <f t="shared" ca="1" si="44"/>
        <v>0</v>
      </c>
      <c r="AI97" s="55">
        <f t="shared" ca="1" si="38"/>
        <v>0</v>
      </c>
      <c r="AJ97" s="55">
        <f t="shared" ca="1" si="39"/>
        <v>20.324862795423346</v>
      </c>
      <c r="AK97" s="55">
        <f t="shared" ca="1" si="40"/>
        <v>-28.39923147389101</v>
      </c>
    </row>
    <row r="98" spans="18:37">
      <c r="R98" s="83">
        <f ca="1"/>
        <v>45204</v>
      </c>
      <c r="S98" s="55">
        <f t="shared" ca="1" si="33"/>
        <v>45204</v>
      </c>
      <c r="T98" s="55">
        <f t="shared" ca="1" si="27"/>
        <v>57.727833814842221</v>
      </c>
      <c r="U98" s="55">
        <f t="shared" ca="1" si="28"/>
        <v>1.2503676651620435</v>
      </c>
      <c r="V98" s="55">
        <f t="shared" ca="1" si="29"/>
        <v>0</v>
      </c>
      <c r="W98" s="55">
        <f t="shared" ca="1" si="34"/>
        <v>0</v>
      </c>
      <c r="X98" s="55">
        <f t="shared" ca="1" si="35"/>
        <v>16.062838036989056</v>
      </c>
      <c r="Y98" s="55">
        <f t="shared" ca="1" si="36"/>
        <v>-7.940602835497355</v>
      </c>
      <c r="Z98">
        <f t="shared" ca="1" si="30"/>
        <v>0</v>
      </c>
      <c r="AA98">
        <f t="shared" ca="1" si="37"/>
        <v>0</v>
      </c>
      <c r="AB98">
        <f t="shared" ca="1" si="31"/>
        <v>0</v>
      </c>
      <c r="AC98">
        <f t="shared" ca="1" si="32"/>
        <v>9.5756173386439842E-3</v>
      </c>
      <c r="AD98" s="83">
        <f ca="1"/>
        <v>45372</v>
      </c>
      <c r="AE98" s="55">
        <f t="shared" ca="1" si="41"/>
        <v>45372</v>
      </c>
      <c r="AF98" s="55">
        <f t="shared" ca="1" si="42"/>
        <v>-22.519771072604513</v>
      </c>
      <c r="AG98" s="55">
        <f t="shared" ca="1" si="43"/>
        <v>45.958441944480263</v>
      </c>
      <c r="AH98" s="55">
        <f t="shared" ca="1" si="44"/>
        <v>0</v>
      </c>
      <c r="AI98" s="55">
        <f t="shared" ca="1" si="38"/>
        <v>0</v>
      </c>
      <c r="AJ98" s="55">
        <f t="shared" ca="1" si="39"/>
        <v>20.551825815577242</v>
      </c>
      <c r="AK98" s="55">
        <f t="shared" ca="1" si="40"/>
        <v>-28.464160787281426</v>
      </c>
    </row>
    <row r="99" spans="18:37">
      <c r="R99" s="83">
        <f ca="1"/>
        <v>45205</v>
      </c>
      <c r="S99" s="55">
        <f t="shared" ca="1" si="33"/>
        <v>45205</v>
      </c>
      <c r="T99" s="55">
        <f t="shared" ca="1" si="27"/>
        <v>57.815588662322554</v>
      </c>
      <c r="U99" s="55">
        <f t="shared" ca="1" si="28"/>
        <v>1.3188315534411081</v>
      </c>
      <c r="V99" s="55">
        <f t="shared" ca="1" si="29"/>
        <v>0</v>
      </c>
      <c r="W99" s="55">
        <f t="shared" ca="1" si="34"/>
        <v>0</v>
      </c>
      <c r="X99" s="55">
        <f t="shared" ca="1" si="35"/>
        <v>16.228045246079031</v>
      </c>
      <c r="Y99" s="55">
        <f t="shared" ca="1" si="36"/>
        <v>-7.949591308827932</v>
      </c>
      <c r="Z99">
        <f t="shared" ca="1" si="30"/>
        <v>0</v>
      </c>
      <c r="AA99">
        <f t="shared" ca="1" si="37"/>
        <v>0</v>
      </c>
      <c r="AB99">
        <f t="shared" ca="1" si="31"/>
        <v>0</v>
      </c>
      <c r="AC99">
        <f t="shared" ca="1" si="32"/>
        <v>1.0933733541352898E-2</v>
      </c>
      <c r="AD99" s="83">
        <f ca="1"/>
        <v>45373</v>
      </c>
      <c r="AE99" s="55">
        <f t="shared" ca="1" si="41"/>
        <v>45373</v>
      </c>
      <c r="AF99" s="55">
        <f t="shared" ca="1" si="42"/>
        <v>-24.095832711299948</v>
      </c>
      <c r="AG99" s="55">
        <f t="shared" ca="1" si="43"/>
        <v>47.692159965855929</v>
      </c>
      <c r="AH99" s="55">
        <f t="shared" ca="1" si="44"/>
        <v>0</v>
      </c>
      <c r="AI99" s="55">
        <f t="shared" ca="1" si="38"/>
        <v>0</v>
      </c>
      <c r="AJ99" s="55">
        <f t="shared" ca="1" si="39"/>
        <v>20.771909247429043</v>
      </c>
      <c r="AK99" s="55">
        <f t="shared" ca="1" si="40"/>
        <v>-28.526587836452993</v>
      </c>
    </row>
    <row r="100" spans="18:37">
      <c r="R100" s="83">
        <f ca="1"/>
        <v>45206</v>
      </c>
      <c r="S100" s="55">
        <f t="shared" ca="1" si="33"/>
        <v>45206</v>
      </c>
      <c r="T100" s="55">
        <f t="shared" ca="1" si="27"/>
        <v>57.898873654142029</v>
      </c>
      <c r="U100" s="55">
        <f t="shared" ca="1" si="28"/>
        <v>1.391983011161291</v>
      </c>
      <c r="V100" s="55">
        <f t="shared" ca="1" si="29"/>
        <v>0</v>
      </c>
      <c r="W100" s="55">
        <f t="shared" ca="1" si="34"/>
        <v>0</v>
      </c>
      <c r="X100" s="55">
        <f t="shared" ca="1" si="35"/>
        <v>16.392805251259571</v>
      </c>
      <c r="Y100" s="55">
        <f t="shared" ca="1" si="36"/>
        <v>-7.9579148644688074</v>
      </c>
      <c r="Z100">
        <f t="shared" ca="1" si="30"/>
        <v>0</v>
      </c>
      <c r="AA100">
        <f t="shared" ca="1" si="37"/>
        <v>0</v>
      </c>
      <c r="AB100">
        <f t="shared" ca="1" si="31"/>
        <v>0</v>
      </c>
      <c r="AC100">
        <f t="shared" ca="1" si="32"/>
        <v>1.2502959693193462E-2</v>
      </c>
      <c r="AD100" s="83">
        <f ca="1"/>
        <v>45374</v>
      </c>
      <c r="AE100" s="55">
        <f t="shared" ca="1" si="41"/>
        <v>45374</v>
      </c>
      <c r="AF100" s="55">
        <f t="shared" ca="1" si="42"/>
        <v>-25.728799985095733</v>
      </c>
      <c r="AG100" s="55">
        <f t="shared" ca="1" si="43"/>
        <v>49.48817699366586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20.992358291972856</v>
      </c>
      <c r="AK100" s="55">
        <f t="shared" ca="1" si="40"/>
        <v>-28.58398712698266</v>
      </c>
    </row>
    <row r="101" spans="18:37">
      <c r="R101" s="83">
        <f ca="1"/>
        <v>45207</v>
      </c>
      <c r="S101" s="55">
        <f t="shared" ca="1" si="33"/>
        <v>45207</v>
      </c>
      <c r="T101" s="55">
        <f t="shared" ca="1" si="27"/>
        <v>57.978219897741972</v>
      </c>
      <c r="U101" s="55">
        <f t="shared" ca="1" si="28"/>
        <v>1.459916544469138</v>
      </c>
      <c r="V101" s="55">
        <f t="shared" ca="1" si="29"/>
        <v>0</v>
      </c>
      <c r="W101" s="55">
        <f t="shared" ca="1" si="34"/>
        <v>0</v>
      </c>
      <c r="X101" s="55">
        <f t="shared" ca="1" si="35"/>
        <v>16.547953232672082</v>
      </c>
      <c r="Y101" s="55">
        <f t="shared" ca="1" si="36"/>
        <v>-7.9657830689735301</v>
      </c>
      <c r="Z101">
        <f t="shared" ca="1" si="30"/>
        <v>0</v>
      </c>
      <c r="AA101">
        <f t="shared" ca="1" si="37"/>
        <v>0</v>
      </c>
      <c r="AB101">
        <f t="shared" ca="1" si="31"/>
        <v>0</v>
      </c>
      <c r="AC101">
        <f t="shared" ca="1" si="32"/>
        <v>1.4071485524441421E-2</v>
      </c>
      <c r="AD101" s="83">
        <f ca="1"/>
        <v>45375</v>
      </c>
      <c r="AE101" s="55">
        <f t="shared" ca="1" si="41"/>
        <v>45375</v>
      </c>
      <c r="AF101" s="55">
        <f t="shared" ca="1" si="42"/>
        <v>-27.440262967394531</v>
      </c>
      <c r="AG101" s="55">
        <f t="shared" ca="1" si="43"/>
        <v>51.371420525923973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21.221705180152561</v>
      </c>
      <c r="AK101" s="55">
        <f t="shared" ca="1" si="40"/>
        <v>-28.641553465203049</v>
      </c>
    </row>
    <row r="102" spans="18:37">
      <c r="R102" s="83">
        <f ca="1"/>
        <v>45208</v>
      </c>
      <c r="S102" s="55">
        <f t="shared" ca="1" si="33"/>
        <v>45208</v>
      </c>
      <c r="T102" s="55">
        <f t="shared" ca="1" si="27"/>
        <v>58.0546738385612</v>
      </c>
      <c r="U102" s="55">
        <f t="shared" ca="1" si="28"/>
        <v>1.5269810214645214</v>
      </c>
      <c r="V102" s="55">
        <f t="shared" ca="1" si="29"/>
        <v>0</v>
      </c>
      <c r="W102" s="55">
        <f t="shared" ca="1" si="34"/>
        <v>0</v>
      </c>
      <c r="X102" s="55">
        <f t="shared" ca="1" si="35"/>
        <v>16.698944798728412</v>
      </c>
      <c r="Y102" s="55">
        <f t="shared" ca="1" si="36"/>
        <v>-7.9732562172152459</v>
      </c>
      <c r="Z102">
        <f t="shared" ca="1" si="30"/>
        <v>0</v>
      </c>
      <c r="AA102">
        <f t="shared" ca="1" si="37"/>
        <v>0</v>
      </c>
      <c r="AB102">
        <f t="shared" ca="1" si="31"/>
        <v>0</v>
      </c>
      <c r="AC102">
        <f t="shared" ca="1" si="32"/>
        <v>1.5726651707334994E-2</v>
      </c>
      <c r="AD102" s="83">
        <f ca="1"/>
        <v>45376</v>
      </c>
      <c r="AE102" s="55">
        <f t="shared" ca="1" si="41"/>
        <v>45376</v>
      </c>
      <c r="AF102" s="55">
        <f t="shared" ca="1" si="42"/>
        <v>-29.102988953591606</v>
      </c>
      <c r="AG102" s="55">
        <f t="shared" ca="1" si="43"/>
        <v>53.196638166748293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21.431327968862149</v>
      </c>
      <c r="AK102" s="55">
        <f t="shared" ca="1" si="40"/>
        <v>-28.688684599285391</v>
      </c>
    </row>
    <row r="103" spans="18:37">
      <c r="R103" s="83">
        <f ca="1"/>
        <v>45209</v>
      </c>
      <c r="S103" s="55">
        <f t="shared" ca="1" si="33"/>
        <v>45209</v>
      </c>
      <c r="T103" s="55">
        <f t="shared" ca="1" si="27"/>
        <v>58.128409994891172</v>
      </c>
      <c r="U103" s="55">
        <f t="shared" ca="1" si="28"/>
        <v>1.5961140147998156</v>
      </c>
      <c r="V103" s="55">
        <f t="shared" ca="1" si="29"/>
        <v>0</v>
      </c>
      <c r="W103" s="55">
        <f t="shared" ca="1" si="34"/>
        <v>0</v>
      </c>
      <c r="X103" s="55">
        <f t="shared" ca="1" si="35"/>
        <v>16.848949930366068</v>
      </c>
      <c r="Y103" s="55">
        <f t="shared" ca="1" si="36"/>
        <v>-7.980392199187639</v>
      </c>
      <c r="Z103">
        <f t="shared" ca="1" si="30"/>
        <v>0</v>
      </c>
      <c r="AA103">
        <f t="shared" ca="1" si="37"/>
        <v>0</v>
      </c>
      <c r="AB103">
        <f t="shared" ca="1" si="31"/>
        <v>0</v>
      </c>
      <c r="AC103">
        <f t="shared" ca="1" si="32"/>
        <v>1.7545311995583186E-2</v>
      </c>
      <c r="AD103" s="83">
        <f ca="1"/>
        <v>45377</v>
      </c>
      <c r="AE103" s="55">
        <f t="shared" ca="1" si="41"/>
        <v>45377</v>
      </c>
      <c r="AF103" s="55">
        <f t="shared" ca="1" si="42"/>
        <v>-30.912889369005285</v>
      </c>
      <c r="AG103" s="55">
        <f t="shared" ca="1" si="43"/>
        <v>55.185081979765009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21.655717162057257</v>
      </c>
      <c r="AK103" s="55">
        <f t="shared" ca="1" si="40"/>
        <v>-28.734530394877464</v>
      </c>
    </row>
    <row r="104" spans="18:37">
      <c r="R104" s="83">
        <f ca="1"/>
        <v>45210</v>
      </c>
      <c r="S104" s="55">
        <f t="shared" ca="1" si="33"/>
        <v>45210</v>
      </c>
      <c r="T104" s="55">
        <f t="shared" ca="1" si="27"/>
        <v>58.198478482549007</v>
      </c>
      <c r="U104" s="55">
        <f t="shared" ca="1" si="28"/>
        <v>1.67843646406084</v>
      </c>
      <c r="V104" s="55">
        <f t="shared" ca="1" si="29"/>
        <v>0</v>
      </c>
      <c r="W104" s="55">
        <f t="shared" ca="1" si="34"/>
        <v>0</v>
      </c>
      <c r="X104" s="55">
        <f t="shared" ca="1" si="35"/>
        <v>17.008331217362073</v>
      </c>
      <c r="Y104" s="55">
        <f t="shared" ca="1" si="36"/>
        <v>-7.9873825492647832</v>
      </c>
      <c r="Z104">
        <f t="shared" ca="1" si="30"/>
        <v>0</v>
      </c>
      <c r="AA104">
        <f t="shared" ca="1" si="37"/>
        <v>0</v>
      </c>
      <c r="AB104">
        <f t="shared" ca="1" si="31"/>
        <v>0</v>
      </c>
      <c r="AC104">
        <f t="shared" ca="1" si="32"/>
        <v>1.986162856856543E-2</v>
      </c>
      <c r="AD104" s="83">
        <f ca="1"/>
        <v>45378</v>
      </c>
      <c r="AE104" s="55">
        <f t="shared" ca="1" si="41"/>
        <v>45378</v>
      </c>
      <c r="AF104" s="55">
        <f t="shared" ca="1" si="42"/>
        <v>-32.827082447686372</v>
      </c>
      <c r="AG104" s="55">
        <f t="shared" ca="1" si="43"/>
        <v>57.287915717293671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21.887180295940905</v>
      </c>
      <c r="AK104" s="55">
        <f t="shared" ca="1" si="40"/>
        <v>-28.777352869913532</v>
      </c>
    </row>
    <row r="105" spans="18:37">
      <c r="R105" s="83">
        <f ca="1"/>
        <v>45211</v>
      </c>
      <c r="S105" s="55">
        <f t="shared" ca="1" si="33"/>
        <v>45211</v>
      </c>
      <c r="T105" s="55">
        <f t="shared" ca="1" si="27"/>
        <v>58.263138806612496</v>
      </c>
      <c r="U105" s="55">
        <f t="shared" ca="1" si="28"/>
        <v>1.7844910521447728</v>
      </c>
      <c r="V105" s="55">
        <f t="shared" ca="1" si="29"/>
        <v>0</v>
      </c>
      <c r="W105" s="55">
        <f t="shared" ca="1" si="34"/>
        <v>0</v>
      </c>
      <c r="X105" s="55">
        <f t="shared" ca="1" si="35"/>
        <v>17.186060547374503</v>
      </c>
      <c r="Y105" s="55">
        <f t="shared" ca="1" si="36"/>
        <v>-7.9943969671297861</v>
      </c>
      <c r="Z105">
        <f t="shared" ca="1" si="30"/>
        <v>0</v>
      </c>
      <c r="AA105">
        <f t="shared" ca="1" si="37"/>
        <v>0</v>
      </c>
      <c r="AB105">
        <f t="shared" ca="1" si="31"/>
        <v>0</v>
      </c>
      <c r="AC105">
        <f t="shared" ca="1" si="32"/>
        <v>2.3089906010695344E-2</v>
      </c>
      <c r="AD105" s="83">
        <f ca="1"/>
        <v>45379</v>
      </c>
      <c r="AE105" s="55">
        <f t="shared" ca="1" si="41"/>
        <v>45379</v>
      </c>
      <c r="AF105" s="55">
        <f t="shared" ca="1" si="42"/>
        <v>-34.782012140789547</v>
      </c>
      <c r="AG105" s="55">
        <f t="shared" ca="1" si="43"/>
        <v>59.433224446862852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22.11646033767439</v>
      </c>
      <c r="AK105" s="55">
        <f t="shared" ca="1" si="40"/>
        <v>-28.816253875181015</v>
      </c>
    </row>
    <row r="106" spans="18:37">
      <c r="R106" s="83">
        <f ca="1"/>
        <v>45212</v>
      </c>
      <c r="S106" s="55">
        <f t="shared" ca="1" si="33"/>
        <v>45212</v>
      </c>
      <c r="T106" s="55">
        <f t="shared" ca="1" si="27"/>
        <v>58.322132378615677</v>
      </c>
      <c r="U106" s="55">
        <f t="shared" ca="1" si="28"/>
        <v>1.8879049132415922</v>
      </c>
      <c r="V106" s="55">
        <f t="shared" ca="1" si="29"/>
        <v>0</v>
      </c>
      <c r="W106" s="55">
        <f t="shared" ca="1" si="34"/>
        <v>0</v>
      </c>
      <c r="X106" s="55">
        <f t="shared" ca="1" si="35"/>
        <v>17.354909879931235</v>
      </c>
      <c r="Y106" s="55">
        <f t="shared" ca="1" si="36"/>
        <v>-8.000838866586518</v>
      </c>
      <c r="Z106">
        <f t="shared" ca="1" si="30"/>
        <v>0</v>
      </c>
      <c r="AA106">
        <f t="shared" ca="1" si="37"/>
        <v>0</v>
      </c>
      <c r="AB106">
        <f t="shared" ca="1" si="31"/>
        <v>0</v>
      </c>
      <c r="AC106">
        <f t="shared" ca="1" si="32"/>
        <v>2.6505124513430796E-2</v>
      </c>
      <c r="AD106" s="83">
        <f ca="1"/>
        <v>45380</v>
      </c>
      <c r="AE106" s="55">
        <f t="shared" ca="1" si="41"/>
        <v>45380</v>
      </c>
      <c r="AF106" s="55">
        <f t="shared" ca="1" si="42"/>
        <v>-36.790333463328466</v>
      </c>
      <c r="AG106" s="55">
        <f t="shared" ca="1" si="43"/>
        <v>61.638896032500284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22.354181436279319</v>
      </c>
      <c r="AK106" s="55">
        <f t="shared" ca="1" si="40"/>
        <v>-28.856624710687431</v>
      </c>
    </row>
    <row r="107" spans="18:37">
      <c r="R107" s="83">
        <f ca="1"/>
        <v>45213</v>
      </c>
      <c r="S107" s="55">
        <f t="shared" ca="1" si="33"/>
        <v>45213</v>
      </c>
      <c r="T107" s="55">
        <f t="shared" ca="1" si="27"/>
        <v>58.375358049202013</v>
      </c>
      <c r="U107" s="55">
        <f t="shared" ca="1" si="28"/>
        <v>1.9909647706198159</v>
      </c>
      <c r="V107" s="55">
        <f t="shared" ca="1" si="29"/>
        <v>0</v>
      </c>
      <c r="W107" s="55">
        <f t="shared" ca="1" si="34"/>
        <v>0</v>
      </c>
      <c r="X107" s="55">
        <f t="shared" ca="1" si="35"/>
        <v>17.517009754037321</v>
      </c>
      <c r="Y107" s="55">
        <f t="shared" ca="1" si="36"/>
        <v>-8.0066532127280432</v>
      </c>
      <c r="Z107">
        <f t="shared" ca="1" si="30"/>
        <v>0</v>
      </c>
      <c r="AA107">
        <f t="shared" ca="1" si="37"/>
        <v>0</v>
      </c>
      <c r="AB107">
        <f t="shared" ca="1" si="31"/>
        <v>0</v>
      </c>
      <c r="AC107">
        <f t="shared" ca="1" si="32"/>
        <v>3.017294102038998E-2</v>
      </c>
      <c r="AD107" s="83">
        <f ca="1"/>
        <v>45381</v>
      </c>
      <c r="AE107" s="55">
        <f t="shared" ca="1" si="41"/>
        <v>45381</v>
      </c>
      <c r="AF107" s="55">
        <f t="shared" ca="1" si="42"/>
        <v>-38.720048314650356</v>
      </c>
      <c r="AG107" s="55">
        <f t="shared" ca="1" si="43"/>
        <v>63.755117881815622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22.576440381718079</v>
      </c>
      <c r="AK107" s="55">
        <f t="shared" ca="1" si="40"/>
        <v>-28.892376658132743</v>
      </c>
    </row>
    <row r="108" spans="18:37">
      <c r="R108" s="83">
        <f ca="1"/>
        <v>45214</v>
      </c>
      <c r="S108" s="55">
        <f t="shared" ca="1" si="33"/>
        <v>45214</v>
      </c>
      <c r="T108" s="55">
        <f t="shared" ca="1" si="27"/>
        <v>58.422914708611955</v>
      </c>
      <c r="U108" s="55">
        <f t="shared" ca="1" si="28"/>
        <v>2.0946313576020863</v>
      </c>
      <c r="V108" s="55">
        <f t="shared" ca="1" si="29"/>
        <v>0</v>
      </c>
      <c r="W108" s="55">
        <f t="shared" ca="1" si="34"/>
        <v>0</v>
      </c>
      <c r="X108" s="55">
        <f t="shared" ca="1" si="35"/>
        <v>17.673442756679048</v>
      </c>
      <c r="Y108" s="55">
        <f t="shared" ca="1" si="36"/>
        <v>-8.0118629689775567</v>
      </c>
      <c r="Z108">
        <f t="shared" ca="1" si="30"/>
        <v>0</v>
      </c>
      <c r="AA108">
        <f t="shared" ca="1" si="37"/>
        <v>0</v>
      </c>
      <c r="AB108">
        <f t="shared" ca="1" si="31"/>
        <v>0</v>
      </c>
      <c r="AC108">
        <f t="shared" ca="1" si="32"/>
        <v>3.4129179258995591E-2</v>
      </c>
      <c r="AD108" s="83">
        <f ca="1"/>
        <v>45382</v>
      </c>
      <c r="AE108" s="55">
        <f t="shared" ca="1" si="41"/>
        <v>45382</v>
      </c>
      <c r="AF108" s="55">
        <f t="shared" ca="1" si="42"/>
        <v>-40.610752373334527</v>
      </c>
      <c r="AG108" s="55">
        <f t="shared" ca="1" si="43"/>
        <v>65.825246344542379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22.786405063691088</v>
      </c>
      <c r="AK108" s="55">
        <f t="shared" ca="1" si="40"/>
        <v>-28.922916936063164</v>
      </c>
    </row>
    <row r="109" spans="18:37">
      <c r="R109" s="83">
        <f ca="1"/>
        <v>45215</v>
      </c>
      <c r="S109" s="55">
        <f t="shared" ca="1" si="33"/>
        <v>45215</v>
      </c>
      <c r="T109" s="55">
        <f t="shared" ca="1" si="27"/>
        <v>58.461368508538243</v>
      </c>
      <c r="U109" s="55">
        <f t="shared" ca="1" si="28"/>
        <v>2.2143880721082572</v>
      </c>
      <c r="V109" s="55">
        <f t="shared" ca="1" si="29"/>
        <v>0</v>
      </c>
      <c r="W109" s="55">
        <f t="shared" ca="1" si="34"/>
        <v>0</v>
      </c>
      <c r="X109" s="55">
        <f t="shared" ca="1" si="35"/>
        <v>17.836555309718555</v>
      </c>
      <c r="Y109" s="55">
        <f t="shared" ca="1" si="36"/>
        <v>-8.0167650075846009</v>
      </c>
      <c r="Z109">
        <f t="shared" ca="1" si="30"/>
        <v>0</v>
      </c>
      <c r="AA109">
        <f t="shared" ca="1" si="37"/>
        <v>0</v>
      </c>
      <c r="AB109">
        <f t="shared" ca="1" si="31"/>
        <v>0</v>
      </c>
      <c r="AC109">
        <f t="shared" ca="1" si="32"/>
        <v>3.9032085129152294E-2</v>
      </c>
      <c r="AD109" s="83">
        <f ca="1"/>
        <v>45383</v>
      </c>
      <c r="AE109" s="55">
        <f t="shared" ca="1" si="41"/>
        <v>45383</v>
      </c>
      <c r="AF109" s="55">
        <f t="shared" ca="1" si="42"/>
        <v>-42.617047224394994</v>
      </c>
      <c r="AG109" s="55">
        <f t="shared" ca="1" si="43"/>
        <v>68.021884895680969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23.004618715841595</v>
      </c>
      <c r="AK109" s="55">
        <f t="shared" ca="1" si="40"/>
        <v>-28.95078688813555</v>
      </c>
    </row>
    <row r="110" spans="18:37">
      <c r="R110" s="83">
        <f ca="1"/>
        <v>45216</v>
      </c>
      <c r="S110" s="55">
        <f t="shared" ca="1" si="33"/>
        <v>45216</v>
      </c>
      <c r="T110" s="55">
        <f t="shared" ca="1" si="27"/>
        <v>58.48796134444396</v>
      </c>
      <c r="U110" s="55">
        <f t="shared" ca="1" si="28"/>
        <v>2.3570278971267289</v>
      </c>
      <c r="V110" s="55">
        <f t="shared" ca="1" si="29"/>
        <v>0</v>
      </c>
      <c r="W110" s="55">
        <f t="shared" ca="1" si="34"/>
        <v>0</v>
      </c>
      <c r="X110" s="55">
        <f t="shared" ca="1" si="35"/>
        <v>18.01051184703331</v>
      </c>
      <c r="Y110" s="55">
        <f t="shared" ca="1" si="36"/>
        <v>-8.0214888839751612</v>
      </c>
      <c r="Z110">
        <f t="shared" ca="1" si="30"/>
        <v>0</v>
      </c>
      <c r="AA110">
        <f t="shared" ca="1" si="37"/>
        <v>0</v>
      </c>
      <c r="AB110">
        <f t="shared" ca="1" si="31"/>
        <v>0</v>
      </c>
      <c r="AC110">
        <f t="shared" ca="1" si="32"/>
        <v>4.5333963371154203E-2</v>
      </c>
      <c r="AD110" s="83">
        <f ca="1"/>
        <v>45384</v>
      </c>
      <c r="AE110" s="55">
        <f t="shared" ca="1" si="41"/>
        <v>45384</v>
      </c>
      <c r="AF110" s="55">
        <f t="shared" ca="1" si="42"/>
        <v>-44.601176574262169</v>
      </c>
      <c r="AG110" s="55">
        <f t="shared" ca="1" si="43"/>
        <v>70.19246791877876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23.215736065820092</v>
      </c>
      <c r="AK110" s="55">
        <f t="shared" ca="1" si="40"/>
        <v>-28.975450564883435</v>
      </c>
    </row>
    <row r="111" spans="18:37">
      <c r="R111" s="83">
        <f ca="1"/>
        <v>45217</v>
      </c>
      <c r="S111" s="55">
        <f t="shared" ca="1" si="33"/>
        <v>45217</v>
      </c>
      <c r="T111" s="55">
        <f t="shared" ca="1" si="27"/>
        <v>58.507931686810686</v>
      </c>
      <c r="U111" s="55">
        <f t="shared" ca="1" si="28"/>
        <v>2.4954256049383763</v>
      </c>
      <c r="V111" s="55">
        <f t="shared" ca="1" si="29"/>
        <v>0</v>
      </c>
      <c r="W111" s="55">
        <f t="shared" ca="1" si="34"/>
        <v>0</v>
      </c>
      <c r="X111" s="55">
        <f t="shared" ca="1" si="35"/>
        <v>18.17290904073657</v>
      </c>
      <c r="Y111" s="55">
        <f t="shared" ca="1" si="36"/>
        <v>-8.0255180275000484</v>
      </c>
      <c r="Z111">
        <f t="shared" ca="1" si="30"/>
        <v>0</v>
      </c>
      <c r="AA111">
        <f t="shared" ca="1" si="37"/>
        <v>0</v>
      </c>
      <c r="AB111">
        <f t="shared" ca="1" si="31"/>
        <v>0</v>
      </c>
      <c r="AC111">
        <f t="shared" ca="1" si="32"/>
        <v>5.1922264103989438E-2</v>
      </c>
      <c r="AD111" s="83">
        <f ca="1"/>
        <v>45385</v>
      </c>
      <c r="AE111" s="55">
        <f t="shared" ca="1" si="41"/>
        <v>45385</v>
      </c>
      <c r="AF111" s="55">
        <f t="shared" ca="1" si="42"/>
        <v>-46.541804086040536</v>
      </c>
      <c r="AG111" s="55">
        <f t="shared" ca="1" si="43"/>
        <v>72.314355832319706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23.418862855719173</v>
      </c>
      <c r="AK111" s="55">
        <f t="shared" ca="1" si="40"/>
        <v>-28.997316953019936</v>
      </c>
    </row>
    <row r="112" spans="18:37">
      <c r="R112" s="83">
        <f ca="1"/>
        <v>45218</v>
      </c>
      <c r="S112" s="55">
        <f t="shared" ca="1" si="33"/>
        <v>45218</v>
      </c>
      <c r="T112" s="55">
        <f t="shared" ca="1" si="27"/>
        <v>58.519612193915137</v>
      </c>
      <c r="U112" s="55">
        <f t="shared" ca="1" si="28"/>
        <v>2.6411100892572494</v>
      </c>
      <c r="V112" s="55">
        <f t="shared" ca="1" si="29"/>
        <v>0</v>
      </c>
      <c r="W112" s="55">
        <f t="shared" ca="1" si="34"/>
        <v>0</v>
      </c>
      <c r="X112" s="55">
        <f t="shared" ca="1" si="35"/>
        <v>18.333999743590372</v>
      </c>
      <c r="Y112" s="55">
        <f t="shared" ca="1" si="36"/>
        <v>-8.029243738930532</v>
      </c>
      <c r="Z112">
        <f t="shared" ca="1" si="30"/>
        <v>0</v>
      </c>
      <c r="AA112">
        <f t="shared" ca="1" si="37"/>
        <v>0</v>
      </c>
      <c r="AB112">
        <f t="shared" ca="1" si="31"/>
        <v>0</v>
      </c>
      <c r="AC112">
        <f t="shared" ca="1" si="32"/>
        <v>5.9351064640878359E-2</v>
      </c>
      <c r="AD112" s="83">
        <f ca="1"/>
        <v>45386</v>
      </c>
      <c r="AE112" s="55">
        <f t="shared" ca="1" si="41"/>
        <v>45386</v>
      </c>
      <c r="AF112" s="55">
        <f t="shared" ca="1" si="42"/>
        <v>-48.476684042081445</v>
      </c>
      <c r="AG112" s="55">
        <f t="shared" ca="1" si="43"/>
        <v>74.428728473741756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23.617382062847387</v>
      </c>
      <c r="AK112" s="55">
        <f t="shared" ca="1" si="40"/>
        <v>-29.016343474767009</v>
      </c>
    </row>
    <row r="113" spans="18:37">
      <c r="R113" s="83">
        <f ca="1"/>
        <v>45219</v>
      </c>
      <c r="S113" s="55">
        <f t="shared" ca="1" si="33"/>
        <v>45219</v>
      </c>
      <c r="T113" s="55">
        <f t="shared" ca="1" si="27"/>
        <v>58.520783683989542</v>
      </c>
      <c r="U113" s="55">
        <f t="shared" ca="1" si="28"/>
        <v>2.7965872500748685</v>
      </c>
      <c r="V113" s="55">
        <f t="shared" ca="1" si="29"/>
        <v>0</v>
      </c>
      <c r="W113" s="55">
        <f t="shared" ca="1" si="34"/>
        <v>0</v>
      </c>
      <c r="X113" s="55">
        <f t="shared" ca="1" si="35"/>
        <v>18.493946742922709</v>
      </c>
      <c r="Y113" s="55">
        <f t="shared" ca="1" si="36"/>
        <v>-8.0325420873708424</v>
      </c>
      <c r="Z113">
        <f t="shared" ca="1" si="30"/>
        <v>0</v>
      </c>
      <c r="AA113">
        <f t="shared" ca="1" si="37"/>
        <v>0</v>
      </c>
      <c r="AB113">
        <f t="shared" ca="1" si="31"/>
        <v>0</v>
      </c>
      <c r="AC113">
        <f t="shared" ca="1" si="32"/>
        <v>6.7821420820023043E-2</v>
      </c>
      <c r="AD113" s="83">
        <f ca="1"/>
        <v>45387</v>
      </c>
      <c r="AE113" s="55">
        <f t="shared" ca="1" si="41"/>
        <v>45387</v>
      </c>
      <c r="AF113" s="55">
        <f t="shared" ca="1" si="42"/>
        <v>-50.457570772213224</v>
      </c>
      <c r="AG113" s="55">
        <f t="shared" ca="1" si="43"/>
        <v>76.596392412557208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23.822041059814062</v>
      </c>
      <c r="AK113" s="55">
        <f t="shared" ca="1" si="40"/>
        <v>-29.034225263050008</v>
      </c>
    </row>
    <row r="114" spans="18:37">
      <c r="R114" s="83">
        <f ca="1"/>
        <v>45220</v>
      </c>
      <c r="S114" s="55">
        <f t="shared" ca="1" si="33"/>
        <v>45220</v>
      </c>
      <c r="T114" s="55">
        <f t="shared" ca="1" si="27"/>
        <v>58.499898444525634</v>
      </c>
      <c r="U114" s="55">
        <f t="shared" ca="1" si="28"/>
        <v>2.9888628072996775</v>
      </c>
      <c r="V114" s="55">
        <f t="shared" ca="1" si="29"/>
        <v>0</v>
      </c>
      <c r="W114" s="55">
        <f t="shared" ca="1" si="34"/>
        <v>0</v>
      </c>
      <c r="X114" s="55">
        <f t="shared" ca="1" si="35"/>
        <v>18.668472630730207</v>
      </c>
      <c r="Y114" s="55">
        <f t="shared" ca="1" si="36"/>
        <v>-8.0356776574174393</v>
      </c>
      <c r="Z114">
        <f t="shared" ca="1" si="30"/>
        <v>0</v>
      </c>
      <c r="AA114">
        <f t="shared" ca="1" si="37"/>
        <v>0</v>
      </c>
      <c r="AB114">
        <f t="shared" ca="1" si="31"/>
        <v>0</v>
      </c>
      <c r="AC114">
        <f t="shared" ca="1" si="32"/>
        <v>7.9038315740497828E-2</v>
      </c>
      <c r="AD114" s="83">
        <f ca="1"/>
        <v>45388</v>
      </c>
      <c r="AE114" s="55">
        <f t="shared" ca="1" si="41"/>
        <v>45388</v>
      </c>
      <c r="AF114" s="55">
        <f t="shared" ca="1" si="42"/>
        <v>-52.442569595949998</v>
      </c>
      <c r="AG114" s="55">
        <f t="shared" ca="1" si="43"/>
        <v>78.776004340103796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24.03374845301375</v>
      </c>
      <c r="AK114" s="55">
        <f t="shared" ca="1" si="40"/>
        <v>-29.051319552439882</v>
      </c>
    </row>
    <row r="115" spans="18:37">
      <c r="R115" s="83">
        <f ca="1"/>
        <v>45221</v>
      </c>
      <c r="S115" s="55">
        <f t="shared" ca="1" si="33"/>
        <v>45221</v>
      </c>
      <c r="T115" s="55">
        <f t="shared" ca="1" si="27"/>
        <v>58.478441742108437</v>
      </c>
      <c r="U115" s="55">
        <f t="shared" ca="1" si="28"/>
        <v>3.1646277762411401</v>
      </c>
      <c r="V115" s="55">
        <f t="shared" ca="1" si="29"/>
        <v>0</v>
      </c>
      <c r="W115" s="55">
        <f t="shared" ca="1" si="34"/>
        <v>0</v>
      </c>
      <c r="X115" s="55">
        <f t="shared" ca="1" si="35"/>
        <v>18.825383408981285</v>
      </c>
      <c r="Y115" s="55">
        <f t="shared" ca="1" si="36"/>
        <v>-8.0382801691442456</v>
      </c>
      <c r="Z115">
        <f t="shared" ca="1" si="30"/>
        <v>0</v>
      </c>
      <c r="AA115">
        <f t="shared" ca="1" si="37"/>
        <v>0</v>
      </c>
      <c r="AB115">
        <f t="shared" ca="1" si="31"/>
        <v>0</v>
      </c>
      <c r="AC115">
        <f t="shared" ca="1" si="32"/>
        <v>8.9969927397968608E-2</v>
      </c>
      <c r="AD115" s="83">
        <f ca="1"/>
        <v>45389</v>
      </c>
      <c r="AE115" s="55">
        <f t="shared" ca="1" si="41"/>
        <v>45389</v>
      </c>
      <c r="AF115" s="55">
        <f t="shared" ca="1" si="42"/>
        <v>-54.454503576092783</v>
      </c>
      <c r="AG115" s="55">
        <f t="shared" ca="1" si="43"/>
        <v>80.98778428838564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24.247872263704519</v>
      </c>
      <c r="AK115" s="55">
        <f t="shared" ca="1" si="40"/>
        <v>-29.065597394991595</v>
      </c>
    </row>
    <row r="116" spans="18:37">
      <c r="R116" s="83">
        <f ca="1"/>
        <v>45222</v>
      </c>
      <c r="S116" s="55">
        <f t="shared" ca="1" si="33"/>
        <v>45222</v>
      </c>
      <c r="T116" s="55">
        <f t="shared" ca="1" si="27"/>
        <v>58.447234103328633</v>
      </c>
      <c r="U116" s="55">
        <f t="shared" ca="1" si="28"/>
        <v>3.3484576510320294</v>
      </c>
      <c r="V116" s="55">
        <f t="shared" ca="1" si="29"/>
        <v>0</v>
      </c>
      <c r="W116" s="55">
        <f t="shared" ca="1" si="34"/>
        <v>0</v>
      </c>
      <c r="X116" s="55">
        <f t="shared" ca="1" si="35"/>
        <v>18.980374369071455</v>
      </c>
      <c r="Y116" s="55">
        <f t="shared" ca="1" si="36"/>
        <v>-8.0406488932233344</v>
      </c>
      <c r="Z116">
        <f t="shared" ca="1" si="30"/>
        <v>0</v>
      </c>
      <c r="AA116">
        <f t="shared" ca="1" si="37"/>
        <v>0</v>
      </c>
      <c r="AB116">
        <f t="shared" ca="1" si="31"/>
        <v>0</v>
      </c>
      <c r="AC116">
        <f t="shared" ca="1" si="32"/>
        <v>0.10204664311766795</v>
      </c>
      <c r="AD116" s="83">
        <f ca="1"/>
        <v>45390</v>
      </c>
      <c r="AE116" s="55">
        <f t="shared" ca="1" si="41"/>
        <v>45390</v>
      </c>
      <c r="AF116" s="55">
        <f t="shared" ca="1" si="42"/>
        <v>-56.397090407679592</v>
      </c>
      <c r="AG116" s="55">
        <f t="shared" ca="1" si="43"/>
        <v>83.127594566206795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24.456377927826509</v>
      </c>
      <c r="AK116" s="55">
        <f t="shared" ca="1" si="40"/>
        <v>-29.076879612879235</v>
      </c>
    </row>
    <row r="117" spans="18:37">
      <c r="R117" s="83">
        <f ca="1"/>
        <v>45223</v>
      </c>
      <c r="S117" s="55">
        <f t="shared" ca="1" si="33"/>
        <v>45223</v>
      </c>
      <c r="T117" s="55">
        <f t="shared" ca="1" si="27"/>
        <v>58.40310586863248</v>
      </c>
      <c r="U117" s="55">
        <f t="shared" ca="1" si="28"/>
        <v>3.5451443211644933</v>
      </c>
      <c r="V117" s="55">
        <f t="shared" ca="1" si="29"/>
        <v>0</v>
      </c>
      <c r="W117" s="55">
        <f t="shared" ca="1" si="34"/>
        <v>0</v>
      </c>
      <c r="X117" s="55">
        <f t="shared" ca="1" si="35"/>
        <v>19.135022525618048</v>
      </c>
      <c r="Y117" s="55">
        <f t="shared" ca="1" si="36"/>
        <v>-8.0427386143336168</v>
      </c>
      <c r="Z117">
        <f t="shared" ca="1" si="30"/>
        <v>0</v>
      </c>
      <c r="AA117">
        <f t="shared" ca="1" si="37"/>
        <v>0</v>
      </c>
      <c r="AB117">
        <f t="shared" ca="1" si="31"/>
        <v>0</v>
      </c>
      <c r="AC117">
        <f t="shared" ca="1" si="32"/>
        <v>0.11563379022270277</v>
      </c>
      <c r="AD117" s="83">
        <f ca="1"/>
        <v>45391</v>
      </c>
      <c r="AE117" s="55">
        <f t="shared" ca="1" si="41"/>
        <v>45391</v>
      </c>
      <c r="AF117" s="55">
        <f t="shared" ca="1" si="42"/>
        <v>-58.199673574473074</v>
      </c>
      <c r="AG117" s="55">
        <f t="shared" ca="1" si="43"/>
        <v>85.113591262753644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24.647480957528032</v>
      </c>
      <c r="AK117" s="55">
        <f t="shared" ca="1" si="40"/>
        <v>-29.084569112827392</v>
      </c>
    </row>
    <row r="118" spans="18:37">
      <c r="R118" s="83">
        <f ca="1"/>
        <v>45224</v>
      </c>
      <c r="S118" s="55">
        <f t="shared" ca="1" si="33"/>
        <v>45224</v>
      </c>
      <c r="T118" s="55">
        <f t="shared" ca="1" si="27"/>
        <v>58.342281362736969</v>
      </c>
      <c r="U118" s="55">
        <f t="shared" ca="1" si="28"/>
        <v>3.759873440132536</v>
      </c>
      <c r="V118" s="55">
        <f t="shared" ca="1" si="29"/>
        <v>0</v>
      </c>
      <c r="W118" s="55">
        <f t="shared" ca="1" si="34"/>
        <v>0</v>
      </c>
      <c r="X118" s="55">
        <f t="shared" ca="1" si="35"/>
        <v>19.290694878207514</v>
      </c>
      <c r="Y118" s="55">
        <f t="shared" ca="1" si="36"/>
        <v>-8.0445063538505419</v>
      </c>
      <c r="Z118">
        <f t="shared" ca="1" si="30"/>
        <v>0</v>
      </c>
      <c r="AA118">
        <f t="shared" ca="1" si="37"/>
        <v>0</v>
      </c>
      <c r="AB118">
        <f t="shared" ca="1" si="31"/>
        <v>0</v>
      </c>
      <c r="AC118">
        <f t="shared" ca="1" si="32"/>
        <v>0.13116710246359767</v>
      </c>
      <c r="AD118" s="83">
        <f ca="1"/>
        <v>45392</v>
      </c>
      <c r="AE118" s="55">
        <f t="shared" ca="1" si="41"/>
        <v>45392</v>
      </c>
      <c r="AF118" s="55">
        <f t="shared" ca="1" si="42"/>
        <v>-60.056978591997115</v>
      </c>
      <c r="AG118" s="55">
        <f t="shared" ca="1" si="43"/>
        <v>87.159339458255417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24.840786970007283</v>
      </c>
      <c r="AK118" s="55">
        <f t="shared" ca="1" si="40"/>
        <v>-29.089431947328908</v>
      </c>
    </row>
    <row r="119" spans="18:37">
      <c r="R119" s="83">
        <f ca="1"/>
        <v>45225</v>
      </c>
      <c r="S119" s="55">
        <f t="shared" ca="1" si="33"/>
        <v>45225</v>
      </c>
      <c r="T119" s="55">
        <f t="shared" ca="1" si="27"/>
        <v>58.246874202704454</v>
      </c>
      <c r="U119" s="55">
        <f t="shared" ca="1" si="28"/>
        <v>4.0234118470743292</v>
      </c>
      <c r="V119" s="55">
        <f t="shared" ca="1" si="29"/>
        <v>0</v>
      </c>
      <c r="W119" s="55">
        <f t="shared" ca="1" si="34"/>
        <v>0</v>
      </c>
      <c r="X119" s="55">
        <f t="shared" ca="1" si="35"/>
        <v>19.460465869019213</v>
      </c>
      <c r="Y119" s="55">
        <f t="shared" ca="1" si="36"/>
        <v>-8.0461460977529633</v>
      </c>
      <c r="Z119">
        <f t="shared" ca="1" si="30"/>
        <v>0</v>
      </c>
      <c r="AA119">
        <f t="shared" ca="1" si="37"/>
        <v>0</v>
      </c>
      <c r="AB119">
        <f t="shared" ca="1" si="31"/>
        <v>0</v>
      </c>
      <c r="AC119">
        <f t="shared" ca="1" si="32"/>
        <v>0.15108154009643635</v>
      </c>
      <c r="AD119" s="83">
        <f ca="1"/>
        <v>45393</v>
      </c>
      <c r="AE119" s="55">
        <f t="shared" ca="1" si="41"/>
        <v>45393</v>
      </c>
      <c r="AF119" s="55">
        <f t="shared" ca="1" si="42"/>
        <v>-61.90422887928635</v>
      </c>
      <c r="AG119" s="55">
        <f t="shared" ca="1" si="43"/>
        <v>89.194969273973157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25.031363435914457</v>
      </c>
      <c r="AK119" s="55">
        <f t="shared" ca="1" si="40"/>
        <v>-29.09162888480758</v>
      </c>
    </row>
    <row r="120" spans="18:37">
      <c r="R120" s="83">
        <f ca="1"/>
        <v>45226</v>
      </c>
      <c r="S120" s="55">
        <f t="shared" ca="1" si="33"/>
        <v>45226</v>
      </c>
      <c r="T120" s="55">
        <f t="shared" ca="1" si="27"/>
        <v>58.143655757925892</v>
      </c>
      <c r="U120" s="55">
        <f t="shared" ca="1" si="28"/>
        <v>4.2871570941077923</v>
      </c>
      <c r="V120" s="55">
        <f t="shared" ca="1" si="29"/>
        <v>0</v>
      </c>
      <c r="W120" s="55">
        <f t="shared" ca="1" si="34"/>
        <v>0</v>
      </c>
      <c r="X120" s="55">
        <f t="shared" ca="1" si="35"/>
        <v>19.622439871958196</v>
      </c>
      <c r="Y120" s="55">
        <f t="shared" ca="1" si="36"/>
        <v>-8.0475932984370466</v>
      </c>
      <c r="Z120">
        <f t="shared" ca="1" si="30"/>
        <v>0</v>
      </c>
      <c r="AA120">
        <f t="shared" ca="1" si="37"/>
        <v>0</v>
      </c>
      <c r="AB120">
        <f t="shared" ca="1" si="31"/>
        <v>0</v>
      </c>
      <c r="AC120">
        <f t="shared" ca="1" si="32"/>
        <v>0.17176351443187476</v>
      </c>
      <c r="AD120" s="83">
        <f ca="1"/>
        <v>45394</v>
      </c>
      <c r="AE120" s="55">
        <f t="shared" ca="1" si="41"/>
        <v>45394</v>
      </c>
      <c r="AF120" s="55">
        <f t="shared" ca="1" si="42"/>
        <v>-63.838385306538903</v>
      </c>
      <c r="AG120" s="55">
        <f t="shared" ca="1" si="43"/>
        <v>91.326363884271657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25.228263577728605</v>
      </c>
      <c r="AK120" s="55">
        <f t="shared" ca="1" si="40"/>
        <v>-29.091290843575781</v>
      </c>
    </row>
    <row r="121" spans="18:37">
      <c r="R121" s="83">
        <f ca="1"/>
        <v>45227</v>
      </c>
      <c r="S121" s="55">
        <f t="shared" ca="1" si="33"/>
        <v>45227</v>
      </c>
      <c r="T121" s="55">
        <f t="shared" ca="1" si="27"/>
        <v>58.00790588692098</v>
      </c>
      <c r="U121" s="55">
        <f t="shared" ca="1" si="28"/>
        <v>4.5923435586185608</v>
      </c>
      <c r="V121" s="55">
        <f t="shared" ca="1" si="29"/>
        <v>0</v>
      </c>
      <c r="W121" s="55">
        <f t="shared" ca="1" si="34"/>
        <v>0</v>
      </c>
      <c r="X121" s="55">
        <f t="shared" ca="1" si="35"/>
        <v>19.793269499572869</v>
      </c>
      <c r="Y121" s="55">
        <f t="shared" ca="1" si="36"/>
        <v>-8.0489863325458639</v>
      </c>
      <c r="Z121">
        <f t="shared" ca="1" si="30"/>
        <v>0</v>
      </c>
      <c r="AA121">
        <f t="shared" ca="1" si="37"/>
        <v>0</v>
      </c>
      <c r="AB121">
        <f t="shared" ca="1" si="31"/>
        <v>0</v>
      </c>
      <c r="AC121">
        <f t="shared" ca="1" si="32"/>
        <v>0.19637094778040354</v>
      </c>
      <c r="AD121" s="83">
        <f ca="1"/>
        <v>45395</v>
      </c>
      <c r="AE121" s="55">
        <f t="shared" ca="1" si="41"/>
        <v>45395</v>
      </c>
      <c r="AF121" s="55">
        <f t="shared" ca="1" si="42"/>
        <v>-65.721774066018043</v>
      </c>
      <c r="AG121" s="55">
        <f t="shared" ca="1" si="43"/>
        <v>93.399948511208365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25.415855013901524</v>
      </c>
      <c r="AK121" s="55">
        <f t="shared" ca="1" si="40"/>
        <v>-29.088686412291135</v>
      </c>
    </row>
    <row r="122" spans="18:37">
      <c r="R122" s="83">
        <f ca="1"/>
        <v>45228</v>
      </c>
      <c r="S122" s="55">
        <f t="shared" ca="1" si="33"/>
        <v>45228</v>
      </c>
      <c r="T122" s="55">
        <f t="shared" ca="1" si="27"/>
        <v>57.845381979639491</v>
      </c>
      <c r="U122" s="55">
        <f t="shared" ca="1" si="28"/>
        <v>4.9264830851946098</v>
      </c>
      <c r="V122" s="55">
        <f t="shared" ca="1" si="29"/>
        <v>0</v>
      </c>
      <c r="W122" s="55">
        <f t="shared" ca="1" si="34"/>
        <v>0</v>
      </c>
      <c r="X122" s="55">
        <f t="shared" ca="1" si="35"/>
        <v>19.966137913835965</v>
      </c>
      <c r="Y122" s="55">
        <f t="shared" ca="1" si="36"/>
        <v>-8.050239127514395</v>
      </c>
      <c r="Z122">
        <f t="shared" ca="1" si="30"/>
        <v>0</v>
      </c>
      <c r="AA122">
        <f t="shared" ca="1" si="37"/>
        <v>0</v>
      </c>
      <c r="AB122">
        <f t="shared" ca="1" si="31"/>
        <v>0</v>
      </c>
      <c r="AC122">
        <f t="shared" ca="1" si="32"/>
        <v>0.22380254295341784</v>
      </c>
      <c r="AD122" s="83">
        <f ca="1"/>
        <v>45396</v>
      </c>
      <c r="AE122" s="55">
        <f t="shared" ca="1" si="41"/>
        <v>45396</v>
      </c>
      <c r="AF122" s="55">
        <f t="shared" ca="1" si="42"/>
        <v>-67.777942570024862</v>
      </c>
      <c r="AG122" s="55">
        <f t="shared" ca="1" si="43"/>
        <v>95.660298767241571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25.615321941040225</v>
      </c>
      <c r="AK122" s="55">
        <f t="shared" ca="1" si="40"/>
        <v>-29.083971587403443</v>
      </c>
    </row>
    <row r="123" spans="18:37">
      <c r="R123" s="83">
        <f ca="1"/>
        <v>45229</v>
      </c>
      <c r="S123" s="55">
        <f t="shared" ca="1" si="33"/>
        <v>45229</v>
      </c>
      <c r="T123" s="55">
        <f t="shared" ca="1" si="27"/>
        <v>57.669334952564625</v>
      </c>
      <c r="U123" s="55">
        <f t="shared" ca="1" si="28"/>
        <v>5.2687246912191155</v>
      </c>
      <c r="V123" s="55">
        <f t="shared" ca="1" si="29"/>
        <v>0</v>
      </c>
      <c r="W123" s="55">
        <f t="shared" ca="1" si="34"/>
        <v>0</v>
      </c>
      <c r="X123" s="55">
        <f t="shared" ca="1" si="35"/>
        <v>20.133464564410634</v>
      </c>
      <c r="Y123" s="55">
        <f t="shared" ca="1" si="36"/>
        <v>-8.0513711991394281</v>
      </c>
      <c r="Z123">
        <f t="shared" ca="1" si="30"/>
        <v>0</v>
      </c>
      <c r="AA123">
        <f t="shared" ca="1" si="37"/>
        <v>0</v>
      </c>
      <c r="AB123">
        <f t="shared" ca="1" si="31"/>
        <v>0</v>
      </c>
      <c r="AC123">
        <f t="shared" ca="1" si="32"/>
        <v>0.25205288190091402</v>
      </c>
      <c r="AD123" s="83">
        <f ca="1"/>
        <v>45397</v>
      </c>
      <c r="AE123" s="55">
        <f t="shared" ca="1" si="41"/>
        <v>45397</v>
      </c>
      <c r="AF123" s="55">
        <f t="shared" ca="1" si="42"/>
        <v>-69.783939365362215</v>
      </c>
      <c r="AG123" s="55">
        <f t="shared" ca="1" si="43"/>
        <v>97.863564251045048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25.806222981706476</v>
      </c>
      <c r="AK123" s="55">
        <f t="shared" ca="1" si="40"/>
        <v>-29.077603939603566</v>
      </c>
    </row>
    <row r="124" spans="18:37">
      <c r="R124" s="83">
        <f ca="1"/>
        <v>45230</v>
      </c>
      <c r="S124" s="55">
        <f t="shared" ca="1" si="33"/>
        <v>45230</v>
      </c>
      <c r="T124" s="55">
        <f t="shared" ca="1" si="27"/>
        <v>57.471975534378174</v>
      </c>
      <c r="U124" s="55">
        <f t="shared" ca="1" si="28"/>
        <v>5.6304285842395636</v>
      </c>
      <c r="V124" s="55">
        <f t="shared" ca="1" si="29"/>
        <v>0</v>
      </c>
      <c r="W124" s="55">
        <f t="shared" ca="1" si="34"/>
        <v>0</v>
      </c>
      <c r="X124" s="55">
        <f t="shared" ca="1" si="35"/>
        <v>20.298768029940504</v>
      </c>
      <c r="Y124" s="55">
        <f t="shared" ca="1" si="36"/>
        <v>-8.0523301898353097</v>
      </c>
      <c r="Z124">
        <f t="shared" ca="1" si="30"/>
        <v>0</v>
      </c>
      <c r="AA124">
        <f t="shared" ca="1" si="37"/>
        <v>0</v>
      </c>
      <c r="AB124">
        <f t="shared" ca="1" si="31"/>
        <v>0</v>
      </c>
      <c r="AC124">
        <f t="shared" ca="1" si="32"/>
        <v>0.28168605562414567</v>
      </c>
      <c r="AD124" s="83">
        <f ca="1"/>
        <v>45398</v>
      </c>
      <c r="AE124" s="55">
        <f t="shared" ca="1" si="41"/>
        <v>45398</v>
      </c>
      <c r="AF124" s="55">
        <f t="shared" ca="1" si="42"/>
        <v>-71.835462724090235</v>
      </c>
      <c r="AG124" s="55">
        <f t="shared" ca="1" si="43"/>
        <v>100.1189613408379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26.001705658034123</v>
      </c>
      <c r="AK124" s="55">
        <f t="shared" ca="1" si="40"/>
        <v>-29.069212884866378</v>
      </c>
    </row>
    <row r="125" spans="18:37">
      <c r="R125" s="83">
        <f ca="1"/>
        <v>45231</v>
      </c>
      <c r="S125" s="55">
        <f t="shared" ca="1" si="33"/>
        <v>45231</v>
      </c>
      <c r="T125" s="55">
        <f t="shared" ca="1" si="27"/>
        <v>57.227220922887021</v>
      </c>
      <c r="U125" s="55">
        <f t="shared" ca="1" si="28"/>
        <v>6.0486138425658025</v>
      </c>
      <c r="V125" s="55">
        <f t="shared" ca="1" si="29"/>
        <v>0</v>
      </c>
      <c r="W125" s="55">
        <f t="shared" ca="1" si="34"/>
        <v>0</v>
      </c>
      <c r="X125" s="55">
        <f t="shared" ca="1" si="35"/>
        <v>20.473096123316079</v>
      </c>
      <c r="Y125" s="55">
        <f t="shared" ca="1" si="36"/>
        <v>-8.0532276363758015</v>
      </c>
      <c r="Z125">
        <f t="shared" ca="1" si="30"/>
        <v>0</v>
      </c>
      <c r="AA125">
        <f t="shared" ca="1" si="37"/>
        <v>0</v>
      </c>
      <c r="AB125">
        <f t="shared" ca="1" si="31"/>
        <v>0</v>
      </c>
      <c r="AC125">
        <f t="shared" ca="1" si="32"/>
        <v>0.31519943935613359</v>
      </c>
      <c r="AD125" s="83">
        <f ca="1"/>
        <v>45399</v>
      </c>
      <c r="AE125" s="55">
        <f t="shared" ca="1" si="41"/>
        <v>45399</v>
      </c>
      <c r="AF125" s="55">
        <f t="shared" ca="1" si="42"/>
        <v>-73.777386498006905</v>
      </c>
      <c r="AG125" s="55">
        <f t="shared" ca="1" si="43"/>
        <v>102.25200781920844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26.183387423555313</v>
      </c>
      <c r="AK125" s="55">
        <f t="shared" ca="1" si="40"/>
        <v>-29.059771945933694</v>
      </c>
    </row>
    <row r="126" spans="18:37">
      <c r="R126" s="83">
        <f ca="1"/>
        <v>45232</v>
      </c>
      <c r="S126" s="55">
        <f t="shared" ca="1" si="33"/>
        <v>45232</v>
      </c>
      <c r="T126" s="55">
        <f t="shared" ca="1" si="27"/>
        <v>56.97999069435911</v>
      </c>
      <c r="U126" s="55">
        <f t="shared" ca="1" si="28"/>
        <v>6.459184684915682</v>
      </c>
      <c r="V126" s="55">
        <f t="shared" ca="1" si="29"/>
        <v>0</v>
      </c>
      <c r="W126" s="55">
        <f t="shared" ca="1" si="34"/>
        <v>0</v>
      </c>
      <c r="X126" s="55">
        <f t="shared" ca="1" si="35"/>
        <v>20.637275613491891</v>
      </c>
      <c r="Y126" s="55">
        <f t="shared" ca="1" si="36"/>
        <v>-8.0540665127296496</v>
      </c>
      <c r="Z126">
        <f t="shared" ca="1" si="30"/>
        <v>0</v>
      </c>
      <c r="AA126">
        <f t="shared" ca="1" si="37"/>
        <v>0</v>
      </c>
      <c r="AB126">
        <f t="shared" ca="1" si="31"/>
        <v>0</v>
      </c>
      <c r="AC126">
        <f t="shared" ca="1" si="32"/>
        <v>0.34691693635859666</v>
      </c>
      <c r="AD126" s="83">
        <f ca="1"/>
        <v>45400</v>
      </c>
      <c r="AE126" s="55">
        <f t="shared" ca="1" si="41"/>
        <v>45400</v>
      </c>
      <c r="AF126" s="55">
        <f t="shared" ca="1" si="42"/>
        <v>-75.744977811284102</v>
      </c>
      <c r="AG126" s="55">
        <f t="shared" ca="1" si="43"/>
        <v>104.41123870985776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26.364455744772389</v>
      </c>
      <c r="AK126" s="55">
        <f t="shared" ca="1" si="40"/>
        <v>-29.049200689778655</v>
      </c>
    </row>
    <row r="127" spans="18:37">
      <c r="R127" s="83">
        <f ca="1"/>
        <v>45233</v>
      </c>
      <c r="S127" s="55">
        <f t="shared" ca="1" si="33"/>
        <v>45233</v>
      </c>
      <c r="T127" s="55">
        <f t="shared" ca="1" si="27"/>
        <v>56.69726305398305</v>
      </c>
      <c r="U127" s="55">
        <f t="shared" ca="1" si="28"/>
        <v>6.9078610448153697</v>
      </c>
      <c r="V127" s="55">
        <f t="shared" ca="1" si="29"/>
        <v>0</v>
      </c>
      <c r="W127" s="55">
        <f t="shared" ca="1" si="34"/>
        <v>0</v>
      </c>
      <c r="X127" s="55">
        <f t="shared" ca="1" si="35"/>
        <v>20.803999874793156</v>
      </c>
      <c r="Y127" s="55">
        <f t="shared" ca="1" si="36"/>
        <v>-8.0548420545072901</v>
      </c>
      <c r="Z127">
        <f t="shared" ca="1" si="30"/>
        <v>0</v>
      </c>
      <c r="AA127">
        <f t="shared" ca="1" si="37"/>
        <v>0</v>
      </c>
      <c r="AB127">
        <f t="shared" ca="1" si="31"/>
        <v>0</v>
      </c>
      <c r="AC127">
        <f t="shared" ca="1" si="32"/>
        <v>0.37987296715553309</v>
      </c>
      <c r="AD127" s="83">
        <f ca="1"/>
        <v>45401</v>
      </c>
      <c r="AE127" s="55">
        <f t="shared" ca="1" si="41"/>
        <v>45401</v>
      </c>
      <c r="AF127" s="55">
        <f t="shared" ca="1" si="42"/>
        <v>-77.778309559171007</v>
      </c>
      <c r="AG127" s="55">
        <f t="shared" ca="1" si="43"/>
        <v>106.64506639367684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26.552515349675677</v>
      </c>
      <c r="AK127" s="55">
        <f t="shared" ca="1" si="40"/>
        <v>-29.036764358749753</v>
      </c>
    </row>
    <row r="128" spans="18:37">
      <c r="R128" s="83">
        <f ca="1"/>
        <v>45234</v>
      </c>
      <c r="S128" s="55">
        <f t="shared" ca="1" si="33"/>
        <v>45234</v>
      </c>
      <c r="T128" s="55">
        <f t="shared" ca="1" si="27"/>
        <v>56.381996371803851</v>
      </c>
      <c r="U128" s="55">
        <f t="shared" ca="1" si="28"/>
        <v>7.3897535652384496</v>
      </c>
      <c r="V128" s="55">
        <f t="shared" ca="1" si="29"/>
        <v>0</v>
      </c>
      <c r="W128" s="55">
        <f t="shared" ca="1" si="34"/>
        <v>0</v>
      </c>
      <c r="X128" s="55">
        <f t="shared" ca="1" si="35"/>
        <v>20.971351916977227</v>
      </c>
      <c r="Y128" s="55">
        <f t="shared" ca="1" si="36"/>
        <v>-8.055568258447483</v>
      </c>
      <c r="Z128">
        <f t="shared" ca="1" si="30"/>
        <v>0</v>
      </c>
      <c r="AA128">
        <f t="shared" ca="1" si="37"/>
        <v>0</v>
      </c>
      <c r="AB128">
        <f t="shared" ca="1" si="31"/>
        <v>0</v>
      </c>
      <c r="AC128">
        <f t="shared" ca="1" si="32"/>
        <v>0.41300015830743519</v>
      </c>
      <c r="AD128" s="83">
        <f ca="1"/>
        <v>45402</v>
      </c>
      <c r="AE128" s="55">
        <f t="shared" ca="1" si="41"/>
        <v>45402</v>
      </c>
      <c r="AF128" s="55">
        <f t="shared" ca="1" si="42"/>
        <v>-79.661644652284707</v>
      </c>
      <c r="AG128" s="55">
        <f t="shared" ca="1" si="43"/>
        <v>108.71512297975006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26.726071171849089</v>
      </c>
      <c r="AK128" s="55">
        <f t="shared" ca="1" si="40"/>
        <v>-29.023598687963645</v>
      </c>
    </row>
    <row r="129" spans="18:37">
      <c r="R129" s="83">
        <f ca="1"/>
        <v>45235</v>
      </c>
      <c r="S129" s="55">
        <f t="shared" ca="1" si="33"/>
        <v>45235</v>
      </c>
      <c r="T129" s="55">
        <f t="shared" ca="1" si="27"/>
        <v>56.044487997353016</v>
      </c>
      <c r="U129" s="55">
        <f t="shared" ca="1" si="28"/>
        <v>7.8914409296686951</v>
      </c>
      <c r="V129" s="55">
        <f t="shared" ca="1" si="29"/>
        <v>0</v>
      </c>
      <c r="W129" s="55">
        <f t="shared" ca="1" si="34"/>
        <v>0</v>
      </c>
      <c r="X129" s="55">
        <f t="shared" ca="1" si="35"/>
        <v>21.136263041716425</v>
      </c>
      <c r="Y129" s="55">
        <f t="shared" ca="1" si="36"/>
        <v>-8.0563003932072661</v>
      </c>
      <c r="Z129">
        <f t="shared" ca="1" si="30"/>
        <v>0</v>
      </c>
      <c r="AA129">
        <f t="shared" ca="1" si="37"/>
        <v>0</v>
      </c>
      <c r="AB129">
        <f t="shared" ca="1" si="31"/>
        <v>0</v>
      </c>
      <c r="AC129">
        <f t="shared" ca="1" si="32"/>
        <v>0.44481845933252007</v>
      </c>
      <c r="AD129" s="83">
        <f ca="1"/>
        <v>45403</v>
      </c>
      <c r="AE129" s="55">
        <f t="shared" ca="1" si="41"/>
        <v>45403</v>
      </c>
      <c r="AF129" s="55">
        <f t="shared" ca="1" si="42"/>
        <v>-81.515814735637093</v>
      </c>
      <c r="AG129" s="55">
        <f t="shared" ca="1" si="43"/>
        <v>110.75093340791932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26.89413694236735</v>
      </c>
      <c r="AK129" s="55">
        <f t="shared" ca="1" si="40"/>
        <v>-29.010024113665043</v>
      </c>
    </row>
    <row r="130" spans="18:37">
      <c r="R130" s="83">
        <f ca="1"/>
        <v>45236</v>
      </c>
      <c r="S130" s="55">
        <f t="shared" ca="1" si="33"/>
        <v>45236</v>
      </c>
      <c r="T130" s="55">
        <f t="shared" ca="1" si="27"/>
        <v>55.703891431242198</v>
      </c>
      <c r="U130" s="55">
        <f t="shared" ca="1" si="28"/>
        <v>8.3886711974813526</v>
      </c>
      <c r="V130" s="55">
        <f t="shared" ca="1" si="29"/>
        <v>0</v>
      </c>
      <c r="W130" s="55">
        <f t="shared" ca="1" si="34"/>
        <v>0</v>
      </c>
      <c r="X130" s="55">
        <f t="shared" ca="1" si="35"/>
        <v>21.293579408617948</v>
      </c>
      <c r="Y130" s="55">
        <f t="shared" ca="1" si="36"/>
        <v>-8.0569830584069599</v>
      </c>
      <c r="Z130">
        <f t="shared" ca="1" si="30"/>
        <v>0</v>
      </c>
      <c r="AA130">
        <f t="shared" ca="1" si="37"/>
        <v>0</v>
      </c>
      <c r="AB130">
        <f t="shared" ca="1" si="31"/>
        <v>0</v>
      </c>
      <c r="AC130">
        <f t="shared" ca="1" si="32"/>
        <v>0.47362421332409399</v>
      </c>
      <c r="AD130" s="83">
        <f ca="1"/>
        <v>45404</v>
      </c>
      <c r="AE130" s="55">
        <f t="shared" ca="1" si="41"/>
        <v>45404</v>
      </c>
      <c r="AF130" s="55">
        <f t="shared" ca="1" si="42"/>
        <v>-83.470360533455221</v>
      </c>
      <c r="AG130" s="55">
        <f t="shared" ca="1" si="43"/>
        <v>112.89536129536293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27.069425812348243</v>
      </c>
      <c r="AK130" s="55">
        <f t="shared" ca="1" si="40"/>
        <v>-28.995430894020455</v>
      </c>
    </row>
    <row r="131" spans="18:37">
      <c r="R131" s="83">
        <f ca="1"/>
        <v>45237</v>
      </c>
      <c r="S131" s="55">
        <f t="shared" ca="1" si="33"/>
        <v>45237</v>
      </c>
      <c r="T131" s="55">
        <f t="shared" ca="1" si="27"/>
        <v>55.317793991748502</v>
      </c>
      <c r="U131" s="55">
        <f t="shared" ca="1" si="28"/>
        <v>8.9359233490498013</v>
      </c>
      <c r="V131" s="55">
        <f t="shared" ca="1" si="29"/>
        <v>0</v>
      </c>
      <c r="W131" s="55">
        <f t="shared" ca="1" si="34"/>
        <v>0</v>
      </c>
      <c r="X131" s="55">
        <f t="shared" ca="1" si="35"/>
        <v>21.455489977719402</v>
      </c>
      <c r="Y131" s="55">
        <f t="shared" ca="1" si="36"/>
        <v>-8.0577389154336601</v>
      </c>
      <c r="Z131">
        <f t="shared" ca="1" si="30"/>
        <v>0</v>
      </c>
      <c r="AA131">
        <f t="shared" ca="1" si="37"/>
        <v>0</v>
      </c>
      <c r="AB131">
        <f t="shared" ca="1" si="31"/>
        <v>0</v>
      </c>
      <c r="AC131">
        <f t="shared" ca="1" si="32"/>
        <v>0.50226009174281461</v>
      </c>
      <c r="AD131" s="83">
        <f ca="1"/>
        <v>45405</v>
      </c>
      <c r="AE131" s="55">
        <f t="shared" ca="1" si="41"/>
        <v>45405</v>
      </c>
      <c r="AF131" s="55">
        <f t="shared" ca="1" si="42"/>
        <v>-85.321024589987417</v>
      </c>
      <c r="AG131" s="55">
        <f t="shared" ca="1" si="43"/>
        <v>114.92862293490847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27.236563204434074</v>
      </c>
      <c r="AK131" s="55">
        <f t="shared" ca="1" si="40"/>
        <v>-28.979970703092935</v>
      </c>
    </row>
    <row r="132" spans="18:37">
      <c r="R132" s="83">
        <f ca="1"/>
        <v>45238</v>
      </c>
      <c r="S132" s="55">
        <f t="shared" ca="1" si="33"/>
        <v>45238</v>
      </c>
      <c r="T132" s="55">
        <f t="shared" ca="1" si="27"/>
        <v>54.901492555686175</v>
      </c>
      <c r="U132" s="55">
        <f t="shared" ca="1" si="28"/>
        <v>9.5124445234674706</v>
      </c>
      <c r="V132" s="55">
        <f t="shared" ca="1" si="29"/>
        <v>0</v>
      </c>
      <c r="W132" s="55">
        <f t="shared" ca="1" si="34"/>
        <v>0</v>
      </c>
      <c r="X132" s="55">
        <f t="shared" ca="1" si="35"/>
        <v>21.61641234538352</v>
      </c>
      <c r="Y132" s="55">
        <f t="shared" ca="1" si="36"/>
        <v>-8.0584415447424274</v>
      </c>
      <c r="Z132">
        <f t="shared" ca="1" si="30"/>
        <v>0</v>
      </c>
      <c r="AA132">
        <f t="shared" ca="1" si="37"/>
        <v>0</v>
      </c>
      <c r="AB132">
        <f t="shared" ca="1" si="31"/>
        <v>0</v>
      </c>
      <c r="AC132">
        <f t="shared" ca="1" si="32"/>
        <v>0.52913917939647925</v>
      </c>
      <c r="AD132" s="83">
        <f ca="1"/>
        <v>45406</v>
      </c>
      <c r="AE132" s="55">
        <f t="shared" ca="1" si="41"/>
        <v>45406</v>
      </c>
      <c r="AF132" s="55">
        <f t="shared" ca="1" si="42"/>
        <v>-87.257709704003986</v>
      </c>
      <c r="AG132" s="55">
        <f t="shared" ca="1" si="43"/>
        <v>117.05990483342202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27.413640032598142</v>
      </c>
      <c r="AK132" s="55">
        <f t="shared" ca="1" si="40"/>
        <v>-28.962450746760023</v>
      </c>
    </row>
    <row r="133" spans="18:37">
      <c r="R133" s="83">
        <f ca="1"/>
        <v>45239</v>
      </c>
      <c r="S133" s="55">
        <f t="shared" ca="1" si="33"/>
        <v>45239</v>
      </c>
      <c r="T133" s="55">
        <f t="shared" ca="1" si="27"/>
        <v>54.432056277500472</v>
      </c>
      <c r="U133" s="55">
        <f t="shared" ca="1" si="28"/>
        <v>10.145884282991846</v>
      </c>
      <c r="V133" s="55">
        <f t="shared" ca="1" si="29"/>
        <v>0</v>
      </c>
      <c r="W133" s="55">
        <f t="shared" ca="1" si="34"/>
        <v>0</v>
      </c>
      <c r="X133" s="55">
        <f t="shared" ca="1" si="35"/>
        <v>21.781093178760827</v>
      </c>
      <c r="Y133" s="55">
        <f t="shared" ca="1" si="36"/>
        <v>-8.0591188967810723</v>
      </c>
      <c r="Z133">
        <f t="shared" ca="1" si="30"/>
        <v>0</v>
      </c>
      <c r="AA133">
        <f t="shared" ca="1" si="37"/>
        <v>0</v>
      </c>
      <c r="AB133">
        <f t="shared" ca="1" si="31"/>
        <v>0</v>
      </c>
      <c r="AC133">
        <f t="shared" ca="1" si="32"/>
        <v>0.5551012511620862</v>
      </c>
      <c r="AD133" s="83">
        <f ca="1"/>
        <v>45407</v>
      </c>
      <c r="AE133" s="55">
        <f t="shared" ca="1" si="41"/>
        <v>45407</v>
      </c>
      <c r="AF133" s="55">
        <f t="shared" ca="1" si="42"/>
        <v>-89.21789704779404</v>
      </c>
      <c r="AG133" s="55">
        <f t="shared" ca="1" si="43"/>
        <v>119.21345413438128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27.589541576295737</v>
      </c>
      <c r="AK133" s="55">
        <f t="shared" ca="1" si="40"/>
        <v>-28.94499033328842</v>
      </c>
    </row>
    <row r="134" spans="18:37">
      <c r="R134" s="83">
        <f ca="1"/>
        <v>45240</v>
      </c>
      <c r="S134" s="55">
        <f t="shared" ca="1" si="33"/>
        <v>45240</v>
      </c>
      <c r="T134" s="55">
        <f t="shared" ca="1" si="27"/>
        <v>53.811971045063039</v>
      </c>
      <c r="U134" s="55">
        <f t="shared" ca="1" si="28"/>
        <v>10.952551766060184</v>
      </c>
      <c r="V134" s="55">
        <f t="shared" ca="1" si="29"/>
        <v>0</v>
      </c>
      <c r="W134" s="55">
        <f t="shared" ca="1" si="34"/>
        <v>0</v>
      </c>
      <c r="X134" s="55">
        <f t="shared" ca="1" si="35"/>
        <v>21.96834767783869</v>
      </c>
      <c r="Y134" s="55">
        <f t="shared" ca="1" si="36"/>
        <v>-8.0597911452280329</v>
      </c>
      <c r="Z134">
        <f t="shared" ca="1" si="30"/>
        <v>0</v>
      </c>
      <c r="AA134">
        <f t="shared" ca="1" si="37"/>
        <v>0</v>
      </c>
      <c r="AB134">
        <f t="shared" ca="1" si="31"/>
        <v>0</v>
      </c>
      <c r="AC134">
        <f t="shared" ca="1" si="32"/>
        <v>0.58336638368207683</v>
      </c>
      <c r="AD134" s="83">
        <f ca="1"/>
        <v>45408</v>
      </c>
      <c r="AE134" s="55">
        <f t="shared" ca="1" si="41"/>
        <v>45408</v>
      </c>
      <c r="AF134" s="55">
        <f t="shared" ca="1" si="42"/>
        <v>-91.189187200631139</v>
      </c>
      <c r="AG134" s="55">
        <f t="shared" ca="1" si="43"/>
        <v>121.38372683131844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27.769252275768856</v>
      </c>
      <c r="AK134" s="55">
        <f t="shared" ca="1" si="40"/>
        <v>-28.925718488661477</v>
      </c>
    </row>
    <row r="135" spans="18:37">
      <c r="R135" s="83">
        <f ca="1"/>
        <v>45241</v>
      </c>
      <c r="S135" s="55">
        <f t="shared" ca="1" si="33"/>
        <v>45241</v>
      </c>
      <c r="T135" s="55">
        <f t="shared" ca="1" si="27"/>
        <v>53.187011318250129</v>
      </c>
      <c r="U135" s="55">
        <f t="shared" ca="1" si="28"/>
        <v>11.753554276764355</v>
      </c>
      <c r="V135" s="55">
        <f t="shared" ca="1" si="29"/>
        <v>0</v>
      </c>
      <c r="W135" s="55">
        <f t="shared" ca="1" si="34"/>
        <v>0</v>
      </c>
      <c r="X135" s="55">
        <f t="shared" ca="1" si="35"/>
        <v>22.144998410648267</v>
      </c>
      <c r="Y135" s="55">
        <f t="shared" ca="1" si="36"/>
        <v>-8.0603990941463515</v>
      </c>
      <c r="Z135">
        <f t="shared" ca="1" si="30"/>
        <v>0</v>
      </c>
      <c r="AA135">
        <f t="shared" ca="1" si="37"/>
        <v>0</v>
      </c>
      <c r="AB135">
        <f t="shared" ca="1" si="31"/>
        <v>0</v>
      </c>
      <c r="AC135">
        <f t="shared" ca="1" si="32"/>
        <v>0.6068683964268764</v>
      </c>
      <c r="AD135" s="83">
        <f ca="1"/>
        <v>45409</v>
      </c>
      <c r="AE135" s="55">
        <f t="shared" ca="1" si="41"/>
        <v>45409</v>
      </c>
      <c r="AF135" s="55">
        <f t="shared" ca="1" si="42"/>
        <v>-93.195587337187121</v>
      </c>
      <c r="AG135" s="55">
        <f t="shared" ca="1" si="43"/>
        <v>123.59976743678571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27.956945255975352</v>
      </c>
      <c r="AK135" s="55">
        <f t="shared" ca="1" si="40"/>
        <v>-28.903770999956681</v>
      </c>
    </row>
    <row r="136" spans="18:37">
      <c r="R136" s="83">
        <f ca="1"/>
        <v>45242</v>
      </c>
      <c r="S136" s="55">
        <f t="shared" ca="1" si="33"/>
        <v>45242</v>
      </c>
      <c r="T136" s="55">
        <f t="shared" ca="1" si="27"/>
        <v>52.54077221471929</v>
      </c>
      <c r="U136" s="55">
        <f t="shared" ca="1" si="28"/>
        <v>12.571001013002761</v>
      </c>
      <c r="V136" s="55">
        <f t="shared" ca="1" si="29"/>
        <v>0</v>
      </c>
      <c r="W136" s="55">
        <f t="shared" ca="1" si="34"/>
        <v>0</v>
      </c>
      <c r="X136" s="55">
        <f t="shared" ca="1" si="35"/>
        <v>22.316864722555561</v>
      </c>
      <c r="Y136" s="55">
        <f t="shared" ca="1" si="36"/>
        <v>-8.0610577733460733</v>
      </c>
      <c r="Z136">
        <f t="shared" ca="1" si="30"/>
        <v>0</v>
      </c>
      <c r="AA136">
        <f t="shared" ca="1" si="37"/>
        <v>0</v>
      </c>
      <c r="AB136">
        <f t="shared" ca="1" si="31"/>
        <v>0</v>
      </c>
      <c r="AC136">
        <f t="shared" ca="1" si="32"/>
        <v>0.62693343472540841</v>
      </c>
      <c r="AD136" s="83">
        <f ca="1"/>
        <v>45410</v>
      </c>
      <c r="AE136" s="55">
        <f t="shared" ca="1" si="41"/>
        <v>45410</v>
      </c>
      <c r="AF136" s="55">
        <f t="shared" ca="1" si="42"/>
        <v>-94.956634199783835</v>
      </c>
      <c r="AG136" s="55">
        <f t="shared" ca="1" si="43"/>
        <v>125.56894640730567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28.138064003044683</v>
      </c>
      <c r="AK136" s="55">
        <f t="shared" ca="1" si="40"/>
        <v>-28.876757639102767</v>
      </c>
    </row>
    <row r="137" spans="18:37">
      <c r="R137" s="83">
        <f ca="1"/>
        <v>45243</v>
      </c>
      <c r="S137" s="55">
        <f t="shared" ca="1" si="33"/>
        <v>45243</v>
      </c>
      <c r="T137" s="55">
        <f t="shared" ca="1" si="27"/>
        <v>51.925106608162451</v>
      </c>
      <c r="U137" s="55">
        <f t="shared" ca="1" si="28"/>
        <v>13.344954987705664</v>
      </c>
      <c r="V137" s="55">
        <f t="shared" ca="1" si="29"/>
        <v>0</v>
      </c>
      <c r="W137" s="55">
        <f t="shared" ca="1" si="34"/>
        <v>0</v>
      </c>
      <c r="X137" s="55">
        <f t="shared" ca="1" si="35"/>
        <v>22.475754511031099</v>
      </c>
      <c r="Y137" s="55">
        <f t="shared" ca="1" si="36"/>
        <v>-8.0616591936755366</v>
      </c>
      <c r="Z137">
        <f t="shared" ca="1" si="30"/>
        <v>0</v>
      </c>
      <c r="AA137">
        <f t="shared" ca="1" si="37"/>
        <v>0</v>
      </c>
      <c r="AB137">
        <f t="shared" ca="1" si="31"/>
        <v>0</v>
      </c>
      <c r="AC137">
        <f t="shared" ca="1" si="32"/>
        <v>0.64289942334649774</v>
      </c>
      <c r="AD137" s="83">
        <f ca="1"/>
        <v>45411</v>
      </c>
      <c r="AE137" s="55">
        <f t="shared" ca="1" si="41"/>
        <v>45411</v>
      </c>
      <c r="AF137" s="55">
        <f t="shared" ca="1" si="42"/>
        <v>-96.65565519910821</v>
      </c>
      <c r="AG137" s="55">
        <f t="shared" ca="1" si="43"/>
        <v>127.47749142326875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28.318153740379092</v>
      </c>
      <c r="AK137" s="55">
        <f t="shared" ca="1" si="40"/>
        <v>-28.847323359798484</v>
      </c>
    </row>
    <row r="138" spans="18:37">
      <c r="R138" s="83">
        <f ca="1"/>
        <v>45244</v>
      </c>
      <c r="S138" s="55">
        <f t="shared" ca="1" si="33"/>
        <v>45244</v>
      </c>
      <c r="T138" s="55">
        <f t="shared" ca="1" si="27"/>
        <v>51.209246594638309</v>
      </c>
      <c r="U138" s="55">
        <f t="shared" ca="1" si="28"/>
        <v>14.227096273824337</v>
      </c>
      <c r="V138" s="55">
        <f t="shared" ca="1" si="29"/>
        <v>0</v>
      </c>
      <c r="W138" s="55">
        <f t="shared" ca="1" si="34"/>
        <v>0</v>
      </c>
      <c r="X138" s="55">
        <f t="shared" ca="1" si="35"/>
        <v>22.642588819172577</v>
      </c>
      <c r="Y138" s="55">
        <f t="shared" ca="1" si="36"/>
        <v>-8.0622122292224887</v>
      </c>
      <c r="Z138">
        <f t="shared" ca="1" si="30"/>
        <v>0</v>
      </c>
      <c r="AA138">
        <f t="shared" ca="1" si="37"/>
        <v>0</v>
      </c>
      <c r="AB138">
        <f t="shared" ca="1" si="31"/>
        <v>0</v>
      </c>
      <c r="AC138">
        <f t="shared" ca="1" si="32"/>
        <v>0.65814004029362172</v>
      </c>
      <c r="AD138" s="83">
        <f ca="1"/>
        <v>45412</v>
      </c>
      <c r="AE138" s="55">
        <f t="shared" ca="1" si="41"/>
        <v>45412</v>
      </c>
      <c r="AF138" s="55">
        <f t="shared" ca="1" si="42"/>
        <v>-98.289564478947383</v>
      </c>
      <c r="AG138" s="55">
        <f t="shared" ca="1" si="43"/>
        <v>129.31253296676732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28.489967194751522</v>
      </c>
      <c r="AK138" s="55">
        <f t="shared" ca="1" si="40"/>
        <v>-28.818004550511514</v>
      </c>
    </row>
    <row r="139" spans="18:37">
      <c r="R139" s="83">
        <f ca="1"/>
        <v>45245</v>
      </c>
      <c r="S139" s="55">
        <f t="shared" ca="1" si="33"/>
        <v>45245</v>
      </c>
      <c r="T139" s="55">
        <f t="shared" ca="1" si="27"/>
        <v>50.396233193637435</v>
      </c>
      <c r="U139" s="55">
        <f t="shared" ca="1" si="28"/>
        <v>15.212482156273923</v>
      </c>
      <c r="V139" s="55">
        <f t="shared" ca="1" si="29"/>
        <v>0</v>
      </c>
      <c r="W139" s="55">
        <f t="shared" ca="1" si="34"/>
        <v>0</v>
      </c>
      <c r="X139" s="55">
        <f t="shared" ca="1" si="35"/>
        <v>22.815475984256867</v>
      </c>
      <c r="Y139" s="55">
        <f t="shared" ca="1" si="36"/>
        <v>-8.0627269128580679</v>
      </c>
      <c r="Z139">
        <f t="shared" ca="1" si="30"/>
        <v>0</v>
      </c>
      <c r="AA139">
        <f t="shared" ca="1" si="37"/>
        <v>0</v>
      </c>
      <c r="AB139">
        <f t="shared" ca="1" si="31"/>
        <v>0</v>
      </c>
      <c r="AC139">
        <f t="shared" ca="1" si="32"/>
        <v>0.67214285202494517</v>
      </c>
      <c r="AD139" s="83">
        <f ca="1"/>
        <v>45413</v>
      </c>
      <c r="AE139" s="55">
        <f t="shared" ca="1" si="41"/>
        <v>45413</v>
      </c>
      <c r="AF139" s="55">
        <f t="shared" ca="1" si="42"/>
        <v>-99.933633009851491</v>
      </c>
      <c r="AG139" s="55">
        <f t="shared" ca="1" si="43"/>
        <v>131.1579477077558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28.661408446507156</v>
      </c>
      <c r="AK139" s="55">
        <f t="shared" ca="1" si="40"/>
        <v>-28.788099592182792</v>
      </c>
    </row>
    <row r="140" spans="18:37">
      <c r="R140" s="83">
        <f ca="1"/>
        <v>45246</v>
      </c>
      <c r="S140" s="55">
        <f t="shared" ca="1" si="33"/>
        <v>45246</v>
      </c>
      <c r="T140" s="55">
        <f t="shared" ca="1" si="27"/>
        <v>49.485660367771004</v>
      </c>
      <c r="U140" s="55">
        <f t="shared" ca="1" si="28"/>
        <v>16.301020145458779</v>
      </c>
      <c r="V140" s="55">
        <f t="shared" ca="1" si="29"/>
        <v>0</v>
      </c>
      <c r="W140" s="55">
        <f t="shared" ca="1" si="34"/>
        <v>0</v>
      </c>
      <c r="X140" s="55">
        <f t="shared" ca="1" si="35"/>
        <v>22.994006273490729</v>
      </c>
      <c r="Y140" s="55">
        <f t="shared" ca="1" si="36"/>
        <v>-8.0632920387735041</v>
      </c>
      <c r="Z140">
        <f t="shared" ca="1" si="30"/>
        <v>0</v>
      </c>
      <c r="AA140">
        <f t="shared" ca="1" si="37"/>
        <v>0</v>
      </c>
      <c r="AB140">
        <f t="shared" ca="1" si="31"/>
        <v>0</v>
      </c>
      <c r="AC140">
        <f t="shared" ca="1" si="32"/>
        <v>0.68467428703483701</v>
      </c>
      <c r="AD140" s="83">
        <f ca="1"/>
        <v>45414</v>
      </c>
      <c r="AE140" s="55">
        <f t="shared" ca="1" si="41"/>
        <v>45414</v>
      </c>
      <c r="AF140" s="55">
        <f t="shared" ca="1" si="42"/>
        <v>-101.56085022017524</v>
      </c>
      <c r="AG140" s="55">
        <f t="shared" ca="1" si="43"/>
        <v>132.98223543389065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28.828883429918911</v>
      </c>
      <c r="AK140" s="55">
        <f t="shared" ca="1" si="40"/>
        <v>-28.758504059783437</v>
      </c>
    </row>
    <row r="141" spans="18:37">
      <c r="R141" s="83">
        <f ca="1"/>
        <v>45247</v>
      </c>
      <c r="S141" s="55">
        <f t="shared" ca="1" si="33"/>
        <v>45247</v>
      </c>
      <c r="T141" s="55">
        <f t="shared" ca="1" si="27"/>
        <v>48.613825583315617</v>
      </c>
      <c r="U141" s="55">
        <f t="shared" ca="1" si="28"/>
        <v>17.337808602765161</v>
      </c>
      <c r="V141" s="55">
        <f t="shared" ca="1" si="29"/>
        <v>0</v>
      </c>
      <c r="W141" s="55">
        <f t="shared" ca="1" si="34"/>
        <v>0</v>
      </c>
      <c r="X141" s="55">
        <f t="shared" ca="1" si="35"/>
        <v>23.159500488609467</v>
      </c>
      <c r="Y141" s="55">
        <f t="shared" ca="1" si="36"/>
        <v>-8.0638325810412432</v>
      </c>
      <c r="Z141">
        <f t="shared" ca="1" si="30"/>
        <v>0</v>
      </c>
      <c r="AA141">
        <f t="shared" ca="1" si="37"/>
        <v>0</v>
      </c>
      <c r="AB141">
        <f t="shared" ca="1" si="31"/>
        <v>0</v>
      </c>
      <c r="AC141">
        <f t="shared" ca="1" si="32"/>
        <v>0.69435840597149789</v>
      </c>
      <c r="AD141" s="83">
        <f ca="1"/>
        <v>45415</v>
      </c>
      <c r="AE141" s="55">
        <f t="shared" ca="1" si="41"/>
        <v>45415</v>
      </c>
      <c r="AF141" s="55">
        <f t="shared" ca="1" si="42"/>
        <v>-103.25828979068604</v>
      </c>
      <c r="AG141" s="55">
        <f t="shared" ca="1" si="43"/>
        <v>134.88825888129341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29.005493054862459</v>
      </c>
      <c r="AK141" s="55">
        <f t="shared" ca="1" si="40"/>
        <v>-28.726529807835025</v>
      </c>
    </row>
    <row r="142" spans="18:37">
      <c r="R142" s="83">
        <f ca="1"/>
        <v>45248</v>
      </c>
      <c r="S142" s="55">
        <f t="shared" ca="1" si="33"/>
        <v>45248</v>
      </c>
      <c r="T142" s="55">
        <f t="shared" ca="1" si="27"/>
        <v>47.753877242529526</v>
      </c>
      <c r="U142" s="55">
        <f t="shared" ca="1" si="28"/>
        <v>18.355795968161413</v>
      </c>
      <c r="V142" s="55">
        <f t="shared" ca="1" si="29"/>
        <v>0</v>
      </c>
      <c r="W142" s="55">
        <f t="shared" ca="1" si="34"/>
        <v>0</v>
      </c>
      <c r="X142" s="55">
        <f t="shared" ca="1" si="35"/>
        <v>23.318129607266297</v>
      </c>
      <c r="Y142" s="55">
        <f t="shared" ca="1" si="36"/>
        <v>-8.0644226750879184</v>
      </c>
      <c r="Z142">
        <f t="shared" ca="1" si="30"/>
        <v>0</v>
      </c>
      <c r="AA142">
        <f t="shared" ca="1" si="37"/>
        <v>0</v>
      </c>
      <c r="AB142">
        <f t="shared" ca="1" si="31"/>
        <v>0</v>
      </c>
      <c r="AC142">
        <f t="shared" ca="1" si="32"/>
        <v>0.70218400171707773</v>
      </c>
      <c r="AD142" s="83">
        <f ca="1"/>
        <v>45416</v>
      </c>
      <c r="AE142" s="55">
        <f t="shared" ca="1" si="41"/>
        <v>45416</v>
      </c>
      <c r="AF142" s="55">
        <f t="shared" ca="1" si="42"/>
        <v>-104.93557685438498</v>
      </c>
      <c r="AG142" s="55">
        <f t="shared" ca="1" si="43"/>
        <v>136.77170481851093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29.179557517202795</v>
      </c>
      <c r="AK142" s="55">
        <f t="shared" ca="1" si="40"/>
        <v>-28.694435396656782</v>
      </c>
    </row>
    <row r="143" spans="18:37">
      <c r="R143" s="83">
        <f ca="1"/>
        <v>45249</v>
      </c>
      <c r="S143" s="55">
        <f t="shared" ca="1" si="33"/>
        <v>45249</v>
      </c>
      <c r="T143" s="55">
        <f t="shared" ca="1" si="27"/>
        <v>46.870955473440134</v>
      </c>
      <c r="U143" s="55">
        <f t="shared" ca="1" si="28"/>
        <v>19.394684051823791</v>
      </c>
      <c r="V143" s="55">
        <f t="shared" ca="1" si="29"/>
        <v>0</v>
      </c>
      <c r="W143" s="55">
        <f t="shared" ca="1" si="34"/>
        <v>0</v>
      </c>
      <c r="X143" s="55">
        <f t="shared" ca="1" si="35"/>
        <v>23.474738802813018</v>
      </c>
      <c r="Y143" s="55">
        <f t="shared" ca="1" si="36"/>
        <v>-8.0650655560616507</v>
      </c>
      <c r="Z143">
        <f t="shared" ca="1" si="30"/>
        <v>0</v>
      </c>
      <c r="AA143">
        <f t="shared" ca="1" si="37"/>
        <v>0</v>
      </c>
      <c r="AB143">
        <f t="shared" ca="1" si="31"/>
        <v>0</v>
      </c>
      <c r="AC143">
        <f t="shared" ca="1" si="32"/>
        <v>0.70880213001536307</v>
      </c>
      <c r="AD143" s="83">
        <f ca="1"/>
        <v>45417</v>
      </c>
      <c r="AE143" s="55">
        <f t="shared" ca="1" si="41"/>
        <v>45417</v>
      </c>
      <c r="AF143" s="55">
        <f t="shared" ca="1" si="42"/>
        <v>-106.70936975418391</v>
      </c>
      <c r="AG143" s="55">
        <f t="shared" ca="1" si="43"/>
        <v>138.77833386891382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29.374020410278959</v>
      </c>
      <c r="AK143" s="55">
        <f t="shared" ca="1" si="40"/>
        <v>-28.656062139128981</v>
      </c>
    </row>
    <row r="144" spans="18:37">
      <c r="R144" s="83">
        <f ca="1"/>
        <v>45250</v>
      </c>
      <c r="S144" s="55">
        <f t="shared" ca="1" si="33"/>
        <v>45250</v>
      </c>
      <c r="T144" s="55">
        <f t="shared" ca="1" si="27"/>
        <v>45.813057239471206</v>
      </c>
      <c r="U144" s="55">
        <f t="shared" ca="1" si="28"/>
        <v>20.621559118665029</v>
      </c>
      <c r="V144" s="55">
        <f t="shared" ca="1" si="29"/>
        <v>0</v>
      </c>
      <c r="W144" s="55">
        <f t="shared" ca="1" si="34"/>
        <v>0</v>
      </c>
      <c r="X144" s="55">
        <f t="shared" ca="1" si="35"/>
        <v>23.644375628957924</v>
      </c>
      <c r="Y144" s="55">
        <f t="shared" ca="1" si="36"/>
        <v>-8.0657255493342479</v>
      </c>
      <c r="Z144">
        <f t="shared" ca="1" si="30"/>
        <v>0</v>
      </c>
      <c r="AA144">
        <f t="shared" ca="1" si="37"/>
        <v>0</v>
      </c>
      <c r="AB144">
        <f t="shared" ca="1" si="31"/>
        <v>0</v>
      </c>
      <c r="AC144">
        <f t="shared" ca="1" si="32"/>
        <v>0.71520940360998941</v>
      </c>
      <c r="AD144" s="83">
        <f ca="1"/>
        <v>45418</v>
      </c>
      <c r="AE144" s="55">
        <f t="shared" ca="1" si="41"/>
        <v>45418</v>
      </c>
      <c r="AF144" s="55">
        <f t="shared" ca="1" si="42"/>
        <v>-108.39900358714559</v>
      </c>
      <c r="AG144" s="55">
        <f t="shared" ca="1" si="43"/>
        <v>140.68953646249523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29.558277342561492</v>
      </c>
      <c r="AK144" s="55">
        <f t="shared" ca="1" si="40"/>
        <v>-28.618750310791778</v>
      </c>
    </row>
    <row r="145" spans="18:37">
      <c r="R145" s="83">
        <f ca="1"/>
        <v>45251</v>
      </c>
      <c r="S145" s="55">
        <f t="shared" ca="1" si="33"/>
        <v>45251</v>
      </c>
      <c r="T145" s="55">
        <f t="shared" ca="1" si="27"/>
        <v>44.705455731544134</v>
      </c>
      <c r="U145" s="55">
        <f t="shared" ca="1" si="28"/>
        <v>21.897628591381238</v>
      </c>
      <c r="V145" s="55">
        <f t="shared" ca="1" si="29"/>
        <v>0</v>
      </c>
      <c r="W145" s="55">
        <f t="shared" ca="1" si="34"/>
        <v>0</v>
      </c>
      <c r="X145" s="55">
        <f t="shared" ca="1" si="35"/>
        <v>23.813546911672127</v>
      </c>
      <c r="Y145" s="55">
        <f t="shared" ca="1" si="36"/>
        <v>-8.0664288672593152</v>
      </c>
      <c r="Z145">
        <f t="shared" ca="1" si="30"/>
        <v>0</v>
      </c>
      <c r="AA145">
        <f t="shared" ca="1" si="37"/>
        <v>0</v>
      </c>
      <c r="AB145">
        <f t="shared" ca="1" si="31"/>
        <v>0</v>
      </c>
      <c r="AC145">
        <f t="shared" ca="1" si="32"/>
        <v>0.72060527100697724</v>
      </c>
      <c r="AD145" s="83">
        <f ca="1"/>
        <v>45419</v>
      </c>
      <c r="AE145" s="55">
        <f t="shared" ca="1" si="41"/>
        <v>45419</v>
      </c>
      <c r="AF145" s="55">
        <f t="shared" ca="1" si="42"/>
        <v>-109.90127218538905</v>
      </c>
      <c r="AG145" s="55">
        <f t="shared" ca="1" si="43"/>
        <v>142.40178464606134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29.729811530530679</v>
      </c>
      <c r="AK145" s="55">
        <f t="shared" ca="1" si="40"/>
        <v>-28.580304913438308</v>
      </c>
    </row>
    <row r="146" spans="18:37">
      <c r="R146" s="83">
        <f ca="1"/>
        <v>45252</v>
      </c>
      <c r="S146" s="55">
        <f t="shared" ca="1" si="33"/>
        <v>45252</v>
      </c>
      <c r="T146" s="55">
        <f t="shared" ref="T146:T209" ca="1" si="45">VLOOKUP(S146,ModelOutputs,2,FALSE)</f>
        <v>43.642268356227476</v>
      </c>
      <c r="U146" s="55">
        <f t="shared" ref="U146:U209" ca="1" si="46">VLOOKUP(S146,ModelOutputs,7,FALSE)</f>
        <v>23.119069572162331</v>
      </c>
      <c r="V146" s="55">
        <f t="shared" ref="V146:V209" ca="1" si="47">VLOOKUP(S146,ModelOutputs,6,FALSE)</f>
        <v>0</v>
      </c>
      <c r="W146" s="55">
        <f t="shared" ca="1" si="34"/>
        <v>0</v>
      </c>
      <c r="X146" s="55">
        <f t="shared" ca="1" si="35"/>
        <v>23.972433537591357</v>
      </c>
      <c r="Y146" s="55">
        <f t="shared" ca="1" si="36"/>
        <v>-8.067061887714118</v>
      </c>
      <c r="Z146">
        <f t="shared" ref="Z146:Z209" ca="1" si="48">VLOOKUP(S146,ModelOutputs,10,FALSE)*AWC</f>
        <v>0</v>
      </c>
      <c r="AA146">
        <f t="shared" ca="1" si="37"/>
        <v>0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0.72482463017343757</v>
      </c>
      <c r="AD146" s="83">
        <f ca="1"/>
        <v>45420</v>
      </c>
      <c r="AE146" s="55">
        <f t="shared" ca="1" si="41"/>
        <v>45420</v>
      </c>
      <c r="AF146" s="55">
        <f t="shared" ca="1" si="42"/>
        <v>-111.41251023769445</v>
      </c>
      <c r="AG146" s="55">
        <f t="shared" ca="1" si="43"/>
        <v>144.12211421514112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29.900662209582151</v>
      </c>
      <c r="AK146" s="55">
        <f t="shared" ca="1" si="40"/>
        <v>-28.542064075715391</v>
      </c>
    </row>
    <row r="147" spans="18:37">
      <c r="R147" s="83">
        <f ca="1"/>
        <v>45253</v>
      </c>
      <c r="S147" s="55">
        <f t="shared" ref="S147:S210" ca="1" si="51">IF(R147&gt;1,R147,"")</f>
        <v>45253</v>
      </c>
      <c r="T147" s="55">
        <f t="shared" ca="1" si="45"/>
        <v>42.30289977903702</v>
      </c>
      <c r="U147" s="55">
        <f t="shared" ca="1" si="46"/>
        <v>24.636271721243176</v>
      </c>
      <c r="V147" s="55">
        <f t="shared" ca="1" si="47"/>
        <v>0</v>
      </c>
      <c r="W147" s="55">
        <f t="shared" ref="W147:W210" ca="1" si="52">-VLOOKUP(S147,ModelOutputs,9,FALSE)+W146</f>
        <v>0</v>
      </c>
      <c r="X147" s="55">
        <f t="shared" ref="X147:X210" ca="1" si="53">VLOOKUP(S147,ModelOutputs,5,FALSE)+X146</f>
        <v>24.150895594300444</v>
      </c>
      <c r="Y147" s="55">
        <f t="shared" ref="Y147:Y210" ca="1" si="54">VLOOKUP(S147,ModelOutputs,4,FALSE)+Y146</f>
        <v>-8.0676903725328142</v>
      </c>
      <c r="Z147">
        <f t="shared" ca="1" si="48"/>
        <v>0</v>
      </c>
      <c r="AA147">
        <f t="shared" ref="AA147:AA210" ca="1" si="55">VLOOKUP(S147,ModelOutputs,11,FALSE)+AA146</f>
        <v>0</v>
      </c>
      <c r="AB147">
        <f t="shared" ca="1" si="49"/>
        <v>0</v>
      </c>
      <c r="AC147">
        <f t="shared" ca="1" si="50"/>
        <v>0.72906798699566688</v>
      </c>
      <c r="AD147" s="83">
        <f ca="1"/>
        <v>45421</v>
      </c>
      <c r="AE147" s="55">
        <f t="shared" ca="1" si="41"/>
        <v>45421</v>
      </c>
      <c r="AF147" s="55">
        <f t="shared" ca="1" si="42"/>
        <v>-112.88203494892178</v>
      </c>
      <c r="AG147" s="55">
        <f t="shared" ca="1" si="43"/>
        <v>145.80266898154721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30.071565945855816</v>
      </c>
      <c r="AK147" s="55">
        <f t="shared" ref="AK147:AK210" ca="1" si="58">VLOOKUP(AE147,ModelOutputs,4,FALSE)+AK146</f>
        <v>-28.50193775681031</v>
      </c>
    </row>
    <row r="148" spans="18:37">
      <c r="R148" s="83">
        <f ca="1"/>
        <v>45254</v>
      </c>
      <c r="S148" s="55">
        <f t="shared" ca="1" si="51"/>
        <v>45254</v>
      </c>
      <c r="T148" s="55">
        <f t="shared" ca="1" si="45"/>
        <v>40.834683515962276</v>
      </c>
      <c r="U148" s="55">
        <f t="shared" ca="1" si="46"/>
        <v>26.286576250043652</v>
      </c>
      <c r="V148" s="55">
        <f t="shared" ca="1" si="47"/>
        <v>0</v>
      </c>
      <c r="W148" s="55">
        <f t="shared" ca="1" si="52"/>
        <v>0</v>
      </c>
      <c r="X148" s="55">
        <f t="shared" ca="1" si="53"/>
        <v>24.333574668028508</v>
      </c>
      <c r="Y148" s="55">
        <f t="shared" ca="1" si="54"/>
        <v>-8.068281180535152</v>
      </c>
      <c r="Z148">
        <f t="shared" ca="1" si="48"/>
        <v>0</v>
      </c>
      <c r="AA148">
        <f t="shared" ca="1" si="55"/>
        <v>0</v>
      </c>
      <c r="AB148">
        <f t="shared" ca="1" si="49"/>
        <v>0</v>
      </c>
      <c r="AC148">
        <f t="shared" ca="1" si="50"/>
        <v>0.732721871783936</v>
      </c>
      <c r="AD148" s="83">
        <f ca="1"/>
        <v>45422</v>
      </c>
      <c r="AE148" s="55">
        <f t="shared" ca="1" si="41"/>
        <v>45422</v>
      </c>
      <c r="AF148" s="55">
        <f t="shared" ca="1" si="42"/>
        <v>-114.38549808192528</v>
      </c>
      <c r="AG148" s="55">
        <f t="shared" ca="1" si="43"/>
        <v>147.52036743371107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30.245317897303071</v>
      </c>
      <c r="AK148" s="55">
        <f t="shared" ca="1" si="58"/>
        <v>-28.461454389097202</v>
      </c>
    </row>
    <row r="149" spans="18:37">
      <c r="R149" s="83">
        <f ca="1"/>
        <v>45255</v>
      </c>
      <c r="S149" s="55">
        <f t="shared" ca="1" si="51"/>
        <v>45255</v>
      </c>
      <c r="T149" s="55">
        <f t="shared" ca="1" si="45"/>
        <v>39.222089461173766</v>
      </c>
      <c r="U149" s="55">
        <f t="shared" ca="1" si="46"/>
        <v>28.087495231215922</v>
      </c>
      <c r="V149" s="55">
        <f t="shared" ca="1" si="47"/>
        <v>0</v>
      </c>
      <c r="W149" s="55">
        <f t="shared" ca="1" si="52"/>
        <v>0</v>
      </c>
      <c r="X149" s="55">
        <f t="shared" ca="1" si="53"/>
        <v>24.522546922290328</v>
      </c>
      <c r="Y149" s="55">
        <f t="shared" ca="1" si="54"/>
        <v>-8.0689285084132081</v>
      </c>
      <c r="Z149">
        <f t="shared" ca="1" si="48"/>
        <v>0</v>
      </c>
      <c r="AA149">
        <f t="shared" ca="1" si="55"/>
        <v>0</v>
      </c>
      <c r="AB149">
        <f t="shared" ca="1" si="49"/>
        <v>0</v>
      </c>
      <c r="AC149">
        <f t="shared" ca="1" si="50"/>
        <v>0.73585206884284382</v>
      </c>
      <c r="AD149" s="83">
        <f ca="1"/>
        <v>45423</v>
      </c>
      <c r="AE149" s="55">
        <f t="shared" ref="AE149:AE212" ca="1" si="59">IF(AD149&gt;1,AD149,"")</f>
        <v>45423</v>
      </c>
      <c r="AF149" s="55">
        <f t="shared" ref="AF149:AF212" ca="1" si="60">VLOOKUP(AE149,ModelOutputs,2,FALSE)</f>
        <v>-115.91745104740249</v>
      </c>
      <c r="AG149" s="55">
        <f t="shared" ref="AG149:AG212" ca="1" si="61">VLOOKUP(AE149,ModelOutputs,7,FALSE)</f>
        <v>149.27576895177728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30.425875262455083</v>
      </c>
      <c r="AK149" s="55">
        <f t="shared" ca="1" si="58"/>
        <v>-28.418563201660223</v>
      </c>
    </row>
    <row r="150" spans="18:37">
      <c r="R150" s="83">
        <f ca="1"/>
        <v>45256</v>
      </c>
      <c r="S150" s="55">
        <f t="shared" ca="1" si="51"/>
        <v>45256</v>
      </c>
      <c r="T150" s="55">
        <f t="shared" ca="1" si="45"/>
        <v>37.573915516136211</v>
      </c>
      <c r="U150" s="55">
        <f t="shared" ca="1" si="46"/>
        <v>29.91955072954217</v>
      </c>
      <c r="V150" s="55">
        <f t="shared" ca="1" si="47"/>
        <v>0</v>
      </c>
      <c r="W150" s="55">
        <f t="shared" ca="1" si="52"/>
        <v>0</v>
      </c>
      <c r="X150" s="55">
        <f t="shared" ca="1" si="53"/>
        <v>24.70703757509995</v>
      </c>
      <c r="Y150" s="55">
        <f t="shared" ca="1" si="54"/>
        <v>-8.0695376079341372</v>
      </c>
      <c r="Z150">
        <f t="shared" ca="1" si="48"/>
        <v>0</v>
      </c>
      <c r="AA150">
        <f t="shared" ca="1" si="55"/>
        <v>0</v>
      </c>
      <c r="AB150">
        <f t="shared" ca="1" si="49"/>
        <v>0</v>
      </c>
      <c r="AC150">
        <f t="shared" ca="1" si="50"/>
        <v>0.73835081487064547</v>
      </c>
      <c r="AD150" s="83">
        <f ca="1"/>
        <v>45424</v>
      </c>
      <c r="AE150" s="55">
        <f t="shared" ca="1" si="59"/>
        <v>45424</v>
      </c>
      <c r="AF150" s="55">
        <f t="shared" ca="1" si="60"/>
        <v>-117.33753541765859</v>
      </c>
      <c r="AG150" s="55">
        <f t="shared" ca="1" si="61"/>
        <v>150.90491543944577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30.593932365423232</v>
      </c>
      <c r="AK150" s="55">
        <f t="shared" ca="1" si="58"/>
        <v>-28.377558187215978</v>
      </c>
    </row>
    <row r="151" spans="18:37">
      <c r="R151" s="83">
        <f ca="1"/>
        <v>45257</v>
      </c>
      <c r="S151" s="55">
        <f t="shared" ca="1" si="51"/>
        <v>45257</v>
      </c>
      <c r="T151" s="55">
        <f t="shared" ca="1" si="45"/>
        <v>35.903692536463538</v>
      </c>
      <c r="U151" s="55">
        <f t="shared" ca="1" si="46"/>
        <v>31.768165475784041</v>
      </c>
      <c r="V151" s="55">
        <f t="shared" ca="1" si="47"/>
        <v>0</v>
      </c>
      <c r="W151" s="55">
        <f t="shared" ca="1" si="52"/>
        <v>0</v>
      </c>
      <c r="X151" s="55">
        <f t="shared" ca="1" si="53"/>
        <v>24.885960049006702</v>
      </c>
      <c r="Y151" s="55">
        <f t="shared" ca="1" si="54"/>
        <v>-8.0700683152716906</v>
      </c>
      <c r="Z151">
        <f t="shared" ca="1" si="48"/>
        <v>0</v>
      </c>
      <c r="AA151">
        <f t="shared" ca="1" si="55"/>
        <v>0</v>
      </c>
      <c r="AB151">
        <f t="shared" ca="1" si="49"/>
        <v>0</v>
      </c>
      <c r="AC151">
        <f t="shared" ca="1" si="50"/>
        <v>0.74034678491818595</v>
      </c>
      <c r="AD151" s="83">
        <f ca="1"/>
        <v>45425</v>
      </c>
      <c r="AE151" s="55">
        <f t="shared" ca="1" si="59"/>
        <v>45425</v>
      </c>
      <c r="AF151" s="55">
        <f t="shared" ca="1" si="60"/>
        <v>-118.71911798925086</v>
      </c>
      <c r="AG151" s="55">
        <f t="shared" ca="1" si="61"/>
        <v>152.49461515326018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30.760357061383782</v>
      </c>
      <c r="AK151" s="55">
        <f t="shared" ca="1" si="58"/>
        <v>-28.335865740954393</v>
      </c>
    </row>
    <row r="152" spans="18:37">
      <c r="R152" s="83">
        <f ca="1"/>
        <v>45258</v>
      </c>
      <c r="S152" s="55">
        <f t="shared" ca="1" si="51"/>
        <v>45258</v>
      </c>
      <c r="T152" s="55">
        <f t="shared" ca="1" si="45"/>
        <v>34.198437180373098</v>
      </c>
      <c r="U152" s="55">
        <f t="shared" ca="1" si="46"/>
        <v>33.649374349411822</v>
      </c>
      <c r="V152" s="55">
        <f t="shared" ca="1" si="47"/>
        <v>0</v>
      </c>
      <c r="W152" s="55">
        <f t="shared" ca="1" si="52"/>
        <v>0</v>
      </c>
      <c r="X152" s="55">
        <f t="shared" ca="1" si="53"/>
        <v>25.062452938333717</v>
      </c>
      <c r="Y152" s="55">
        <f t="shared" ca="1" si="54"/>
        <v>-8.0706076870613703</v>
      </c>
      <c r="Z152">
        <f t="shared" ca="1" si="48"/>
        <v>0</v>
      </c>
      <c r="AA152">
        <f t="shared" ca="1" si="55"/>
        <v>0</v>
      </c>
      <c r="AB152">
        <f t="shared" ca="1" si="49"/>
        <v>0</v>
      </c>
      <c r="AC152">
        <f t="shared" ca="1" si="50"/>
        <v>0.74196764623801337</v>
      </c>
      <c r="AD152" s="83">
        <f ca="1"/>
        <v>45426</v>
      </c>
      <c r="AE152" s="55">
        <f t="shared" ca="1" si="59"/>
        <v>45426</v>
      </c>
      <c r="AF152" s="55">
        <f t="shared" ca="1" si="60"/>
        <v>-120.02387373325078</v>
      </c>
      <c r="AG152" s="55">
        <f t="shared" ca="1" si="61"/>
        <v>154.00000000000003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30.919882309560471</v>
      </c>
      <c r="AK152" s="55">
        <f t="shared" ca="1" si="58"/>
        <v>-28.294761886391161</v>
      </c>
    </row>
    <row r="153" spans="18:37">
      <c r="R153" s="83">
        <f ca="1"/>
        <v>45259</v>
      </c>
      <c r="S153" s="55">
        <f t="shared" ca="1" si="51"/>
        <v>45259</v>
      </c>
      <c r="T153" s="55">
        <f t="shared" ca="1" si="45"/>
        <v>32.481041780972689</v>
      </c>
      <c r="U153" s="55">
        <f t="shared" ca="1" si="46"/>
        <v>35.537957523311228</v>
      </c>
      <c r="V153" s="55">
        <f t="shared" ca="1" si="47"/>
        <v>0</v>
      </c>
      <c r="W153" s="55">
        <f t="shared" ca="1" si="52"/>
        <v>0</v>
      </c>
      <c r="X153" s="55">
        <f t="shared" ca="1" si="53"/>
        <v>25.234116801103873</v>
      </c>
      <c r="Y153" s="55">
        <f t="shared" ca="1" si="54"/>
        <v>-8.0710837753325304</v>
      </c>
      <c r="Z153">
        <f t="shared" ca="1" si="48"/>
        <v>0</v>
      </c>
      <c r="AA153">
        <f t="shared" ca="1" si="55"/>
        <v>0</v>
      </c>
      <c r="AB153">
        <f t="shared" ca="1" si="49"/>
        <v>0</v>
      </c>
      <c r="AC153">
        <f t="shared" ca="1" si="50"/>
        <v>0.74327620228784252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45260</v>
      </c>
      <c r="S154" s="55">
        <f t="shared" ca="1" si="51"/>
        <v>45260</v>
      </c>
      <c r="T154" s="55">
        <f t="shared" ca="1" si="45"/>
        <v>30.599168264943483</v>
      </c>
      <c r="U154" s="55">
        <f t="shared" ca="1" si="46"/>
        <v>37.597324448841682</v>
      </c>
      <c r="V154" s="55">
        <f t="shared" ca="1" si="47"/>
        <v>0</v>
      </c>
      <c r="W154" s="55">
        <f t="shared" ca="1" si="52"/>
        <v>0</v>
      </c>
      <c r="X154" s="55">
        <f t="shared" ca="1" si="53"/>
        <v>25.412070057129512</v>
      </c>
      <c r="Y154" s="55">
        <f t="shared" ca="1" si="54"/>
        <v>-8.0715436218569199</v>
      </c>
      <c r="Z154">
        <f t="shared" ca="1" si="48"/>
        <v>0</v>
      </c>
      <c r="AA154">
        <f t="shared" ca="1" si="55"/>
        <v>0</v>
      </c>
      <c r="AB154">
        <f t="shared" ca="1" si="49"/>
        <v>0</v>
      </c>
      <c r="AC154">
        <f t="shared" ca="1" si="50"/>
        <v>0.74442361167291404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45261</v>
      </c>
      <c r="S155" s="55">
        <f t="shared" ca="1" si="51"/>
        <v>45261</v>
      </c>
      <c r="T155" s="55">
        <f t="shared" ca="1" si="45"/>
        <v>28.404343502701757</v>
      </c>
      <c r="U155" s="55">
        <f t="shared" ca="1" si="46"/>
        <v>39.985010827574783</v>
      </c>
      <c r="V155" s="55">
        <f t="shared" ca="1" si="47"/>
        <v>0</v>
      </c>
      <c r="W155" s="55">
        <f t="shared" ca="1" si="52"/>
        <v>0</v>
      </c>
      <c r="X155" s="55">
        <f t="shared" ca="1" si="53"/>
        <v>25.60537299515061</v>
      </c>
      <c r="Y155" s="55">
        <f t="shared" ca="1" si="54"/>
        <v>-8.0719849433866457</v>
      </c>
      <c r="Z155">
        <f t="shared" ca="1" si="48"/>
        <v>0</v>
      </c>
      <c r="AA155">
        <f t="shared" ca="1" si="55"/>
        <v>0</v>
      </c>
      <c r="AB155">
        <f t="shared" ca="1" si="49"/>
        <v>0</v>
      </c>
      <c r="AC155">
        <f t="shared" ca="1" si="50"/>
        <v>0.74547596536416183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45262</v>
      </c>
      <c r="S156" s="55">
        <f t="shared" ca="1" si="51"/>
        <v>45262</v>
      </c>
      <c r="T156" s="55">
        <f t="shared" ca="1" si="45"/>
        <v>26.050488576399069</v>
      </c>
      <c r="U156" s="55">
        <f t="shared" ca="1" si="46"/>
        <v>42.535541310784438</v>
      </c>
      <c r="V156" s="55">
        <f t="shared" ca="1" si="47"/>
        <v>0</v>
      </c>
      <c r="W156" s="55">
        <f t="shared" ca="1" si="52"/>
        <v>0</v>
      </c>
      <c r="X156" s="55">
        <f t="shared" ca="1" si="53"/>
        <v>25.802437321692668</v>
      </c>
      <c r="Y156" s="55">
        <f t="shared" ca="1" si="54"/>
        <v>-8.0723737130217383</v>
      </c>
      <c r="Z156">
        <f t="shared" ca="1" si="48"/>
        <v>0</v>
      </c>
      <c r="AA156">
        <f t="shared" ca="1" si="55"/>
        <v>0</v>
      </c>
      <c r="AB156">
        <f t="shared" ca="1" si="49"/>
        <v>0</v>
      </c>
      <c r="AC156">
        <f t="shared" ca="1" si="50"/>
        <v>0.7463524415482079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45263</v>
      </c>
      <c r="S157" s="55">
        <f t="shared" ca="1" si="51"/>
        <v>45263</v>
      </c>
      <c r="T157" s="55">
        <f t="shared" ca="1" si="45"/>
        <v>47.641539012456334</v>
      </c>
      <c r="U157" s="55">
        <f t="shared" ca="1" si="46"/>
        <v>45.354097716933993</v>
      </c>
      <c r="V157" s="55">
        <f t="shared" ca="1" si="47"/>
        <v>24.202630382901685</v>
      </c>
      <c r="W157" s="55">
        <f t="shared" ca="1" si="52"/>
        <v>0</v>
      </c>
      <c r="X157" s="55">
        <f t="shared" ca="1" si="53"/>
        <v>26.009772800015028</v>
      </c>
      <c r="Y157" s="55">
        <f t="shared" ca="1" si="54"/>
        <v>-8.072732732038963</v>
      </c>
      <c r="Z157">
        <f t="shared" ca="1" si="48"/>
        <v>0</v>
      </c>
      <c r="AA157">
        <f t="shared" ca="1" si="55"/>
        <v>0</v>
      </c>
      <c r="AB157">
        <f t="shared" ca="1" si="49"/>
        <v>0</v>
      </c>
      <c r="AC157">
        <f t="shared" ca="1" si="50"/>
        <v>0.74710094570768271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45264</v>
      </c>
      <c r="S158" s="55">
        <f t="shared" ca="1" si="51"/>
        <v>45264</v>
      </c>
      <c r="T158" s="55">
        <f t="shared" ca="1" si="45"/>
        <v>45.046451407560859</v>
      </c>
      <c r="U158" s="55">
        <f t="shared" ca="1" si="46"/>
        <v>48.148673479949068</v>
      </c>
      <c r="V158" s="55">
        <f t="shared" ca="1" si="47"/>
        <v>0</v>
      </c>
      <c r="W158" s="55">
        <f t="shared" ca="1" si="52"/>
        <v>0</v>
      </c>
      <c r="X158" s="55">
        <f t="shared" ca="1" si="53"/>
        <v>26.209570013825982</v>
      </c>
      <c r="Y158" s="55">
        <f t="shared" ca="1" si="54"/>
        <v>-8.0730417877303182</v>
      </c>
      <c r="Z158">
        <f t="shared" ca="1" si="48"/>
        <v>0</v>
      </c>
      <c r="AA158">
        <f t="shared" ca="1" si="55"/>
        <v>0</v>
      </c>
      <c r="AB158">
        <f t="shared" ca="1" si="49"/>
        <v>0</v>
      </c>
      <c r="AC158">
        <f t="shared" ca="1" si="50"/>
        <v>0.74767438126313057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45265</v>
      </c>
      <c r="S159" s="55">
        <f t="shared" ca="1" si="51"/>
        <v>45265</v>
      </c>
      <c r="T159" s="55">
        <f t="shared" ca="1" si="45"/>
        <v>42.395734304475369</v>
      </c>
      <c r="U159" s="55">
        <f t="shared" ca="1" si="46"/>
        <v>50.997404821549594</v>
      </c>
      <c r="V159" s="55">
        <f t="shared" ca="1" si="47"/>
        <v>0</v>
      </c>
      <c r="W159" s="55">
        <f t="shared" ca="1" si="52"/>
        <v>0</v>
      </c>
      <c r="X159" s="55">
        <f t="shared" ca="1" si="53"/>
        <v>26.407872057492462</v>
      </c>
      <c r="Y159" s="55">
        <f t="shared" ca="1" si="54"/>
        <v>-8.0733295928817661</v>
      </c>
      <c r="Z159">
        <f t="shared" ca="1" si="48"/>
        <v>0</v>
      </c>
      <c r="AA159">
        <f t="shared" ca="1" si="55"/>
        <v>0</v>
      </c>
      <c r="AB159">
        <f t="shared" ca="1" si="49"/>
        <v>0</v>
      </c>
      <c r="AC159">
        <f t="shared" ca="1" si="50"/>
        <v>0.74813055421255314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45266</v>
      </c>
      <c r="S160" s="55">
        <f t="shared" ca="1" si="51"/>
        <v>45266</v>
      </c>
      <c r="T160" s="55">
        <f t="shared" ca="1" si="45"/>
        <v>39.840764809033693</v>
      </c>
      <c r="U160" s="55">
        <f t="shared" ca="1" si="46"/>
        <v>53.741004789856845</v>
      </c>
      <c r="V160" s="55">
        <f t="shared" ca="1" si="47"/>
        <v>0</v>
      </c>
      <c r="W160" s="55">
        <f t="shared" ca="1" si="52"/>
        <v>0</v>
      </c>
      <c r="X160" s="55">
        <f t="shared" ca="1" si="53"/>
        <v>26.596765300365782</v>
      </c>
      <c r="Y160" s="55">
        <f t="shared" ca="1" si="54"/>
        <v>-8.0735923628895101</v>
      </c>
      <c r="Z160">
        <f t="shared" ca="1" si="48"/>
        <v>0</v>
      </c>
      <c r="AA160">
        <f t="shared" ca="1" si="55"/>
        <v>0</v>
      </c>
      <c r="AB160">
        <f t="shared" ca="1" si="49"/>
        <v>0</v>
      </c>
      <c r="AC160">
        <f t="shared" ca="1" si="50"/>
        <v>0.74847739692862214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45267</v>
      </c>
      <c r="S161" s="55">
        <f t="shared" ca="1" si="51"/>
        <v>45267</v>
      </c>
      <c r="T161" s="55">
        <f t="shared" ca="1" si="45"/>
        <v>37.074852841067759</v>
      </c>
      <c r="U161" s="55">
        <f t="shared" ca="1" si="46"/>
        <v>56.703937056655143</v>
      </c>
      <c r="V161" s="55">
        <f t="shared" ca="1" si="47"/>
        <v>0</v>
      </c>
      <c r="W161" s="55">
        <f t="shared" ca="1" si="52"/>
        <v>0</v>
      </c>
      <c r="X161" s="55">
        <f t="shared" ca="1" si="53"/>
        <v>26.794025289423125</v>
      </c>
      <c r="Y161" s="55">
        <f t="shared" ca="1" si="54"/>
        <v>-8.0738320531144918</v>
      </c>
      <c r="Z161">
        <f t="shared" ca="1" si="48"/>
        <v>0</v>
      </c>
      <c r="AA161">
        <f t="shared" ca="1" si="55"/>
        <v>0</v>
      </c>
      <c r="AB161">
        <f t="shared" ca="1" si="49"/>
        <v>0</v>
      </c>
      <c r="AC161">
        <f t="shared" ca="1" si="50"/>
        <v>0.74877442234132663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45268</v>
      </c>
      <c r="S162" s="55">
        <f t="shared" ca="1" si="51"/>
        <v>45268</v>
      </c>
      <c r="T162" s="55">
        <f t="shared" ca="1" si="45"/>
        <v>34.239785320576416</v>
      </c>
      <c r="U162" s="55">
        <f t="shared" ca="1" si="46"/>
        <v>59.737878813667798</v>
      </c>
      <c r="V162" s="55">
        <f t="shared" ca="1" si="47"/>
        <v>0</v>
      </c>
      <c r="W162" s="55">
        <f t="shared" ca="1" si="52"/>
        <v>0</v>
      </c>
      <c r="X162" s="55">
        <f t="shared" ca="1" si="53"/>
        <v>26.993139220183515</v>
      </c>
      <c r="Y162" s="55">
        <f t="shared" ca="1" si="54"/>
        <v>-8.0740717473535728</v>
      </c>
      <c r="Z162">
        <f t="shared" ca="1" si="48"/>
        <v>0</v>
      </c>
      <c r="AA162">
        <f t="shared" ca="1" si="55"/>
        <v>0</v>
      </c>
      <c r="AB162">
        <f t="shared" ca="1" si="49"/>
        <v>0</v>
      </c>
      <c r="AC162">
        <f t="shared" ca="1" si="50"/>
        <v>0.74901466995366106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45269</v>
      </c>
      <c r="S163" s="55">
        <f t="shared" ca="1" si="51"/>
        <v>45269</v>
      </c>
      <c r="T163" s="55">
        <f t="shared" ca="1" si="45"/>
        <v>31.554389270741844</v>
      </c>
      <c r="U163" s="55">
        <f t="shared" ca="1" si="46"/>
        <v>62.610690408861245</v>
      </c>
      <c r="V163" s="55">
        <f t="shared" ca="1" si="47"/>
        <v>0</v>
      </c>
      <c r="W163" s="55">
        <f t="shared" ca="1" si="52"/>
        <v>0</v>
      </c>
      <c r="X163" s="55">
        <f t="shared" ca="1" si="53"/>
        <v>27.180738408355051</v>
      </c>
      <c r="Y163" s="55">
        <f t="shared" ca="1" si="54"/>
        <v>-8.0742553901662397</v>
      </c>
      <c r="Z163">
        <f t="shared" ca="1" si="48"/>
        <v>0</v>
      </c>
      <c r="AA163">
        <f t="shared" ca="1" si="55"/>
        <v>0</v>
      </c>
      <c r="AB163">
        <f t="shared" ca="1" si="49"/>
        <v>0</v>
      </c>
      <c r="AC163">
        <f t="shared" ca="1" si="50"/>
        <v>0.74919623715467087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45270</v>
      </c>
      <c r="S164" s="55">
        <f t="shared" ca="1" si="51"/>
        <v>45270</v>
      </c>
      <c r="T164" s="55">
        <f t="shared" ca="1" si="45"/>
        <v>55.433150838896708</v>
      </c>
      <c r="U164" s="55">
        <f t="shared" ca="1" si="46"/>
        <v>65.732827406968937</v>
      </c>
      <c r="V164" s="55">
        <f t="shared" ca="1" si="47"/>
        <v>26.802790434093993</v>
      </c>
      <c r="W164" s="55">
        <f t="shared" ca="1" si="52"/>
        <v>0</v>
      </c>
      <c r="X164" s="55">
        <f t="shared" ca="1" si="53"/>
        <v>27.379003594541008</v>
      </c>
      <c r="Y164" s="55">
        <f t="shared" ca="1" si="54"/>
        <v>-8.0744124441836327</v>
      </c>
      <c r="Z164">
        <f t="shared" ca="1" si="48"/>
        <v>0</v>
      </c>
      <c r="AA164">
        <f t="shared" ca="1" si="55"/>
        <v>0</v>
      </c>
      <c r="AB164">
        <f t="shared" ca="1" si="49"/>
        <v>0</v>
      </c>
      <c r="AC164">
        <f t="shared" ca="1" si="50"/>
        <v>0.7493542967747352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45271</v>
      </c>
      <c r="S165" s="55">
        <f t="shared" ca="1" si="51"/>
        <v>45271</v>
      </c>
      <c r="T165" s="55">
        <f t="shared" ca="1" si="45"/>
        <v>52.17345026259872</v>
      </c>
      <c r="U165" s="55">
        <f t="shared" ca="1" si="46"/>
        <v>69.207192779310489</v>
      </c>
      <c r="V165" s="55">
        <f t="shared" ca="1" si="47"/>
        <v>0</v>
      </c>
      <c r="W165" s="55">
        <f t="shared" ca="1" si="52"/>
        <v>0</v>
      </c>
      <c r="X165" s="55">
        <f t="shared" ca="1" si="53"/>
        <v>27.593797649187678</v>
      </c>
      <c r="Y165" s="55">
        <f t="shared" ca="1" si="54"/>
        <v>-8.0745417027867461</v>
      </c>
      <c r="Z165">
        <f t="shared" ca="1" si="48"/>
        <v>0</v>
      </c>
      <c r="AA165">
        <f t="shared" ca="1" si="55"/>
        <v>0</v>
      </c>
      <c r="AB165">
        <f t="shared" ca="1" si="49"/>
        <v>0</v>
      </c>
      <c r="AC165">
        <f t="shared" ca="1" si="50"/>
        <v>0.74949297021233274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45272</v>
      </c>
      <c r="S166" s="55">
        <f t="shared" ca="1" si="51"/>
        <v>45272</v>
      </c>
      <c r="T166" s="55">
        <f t="shared" ca="1" si="45"/>
        <v>48.692241468220153</v>
      </c>
      <c r="U166" s="55">
        <f t="shared" ca="1" si="46"/>
        <v>72.915179107277325</v>
      </c>
      <c r="V166" s="55">
        <f t="shared" ca="1" si="47"/>
        <v>0</v>
      </c>
      <c r="W166" s="55">
        <f t="shared" ca="1" si="52"/>
        <v>0</v>
      </c>
      <c r="X166" s="55">
        <f t="shared" ca="1" si="53"/>
        <v>27.820687817577411</v>
      </c>
      <c r="Y166" s="55">
        <f t="shared" ca="1" si="54"/>
        <v>-8.0746543375882069</v>
      </c>
      <c r="Z166">
        <f t="shared" ca="1" si="48"/>
        <v>0</v>
      </c>
      <c r="AA166">
        <f t="shared" ca="1" si="55"/>
        <v>0</v>
      </c>
      <c r="AB166">
        <f t="shared" ca="1" si="49"/>
        <v>0</v>
      </c>
      <c r="AC166">
        <f t="shared" ca="1" si="50"/>
        <v>0.74960790373734665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45273</v>
      </c>
      <c r="S167" s="55">
        <f t="shared" ca="1" si="51"/>
        <v>45273</v>
      </c>
      <c r="T167" s="55">
        <f t="shared" ca="1" si="45"/>
        <v>45.51971799953278</v>
      </c>
      <c r="U167" s="55">
        <f t="shared" ca="1" si="46"/>
        <v>76.297929145815274</v>
      </c>
      <c r="V167" s="55">
        <f t="shared" ca="1" si="47"/>
        <v>0</v>
      </c>
      <c r="W167" s="55">
        <f t="shared" ca="1" si="52"/>
        <v>0</v>
      </c>
      <c r="X167" s="55">
        <f t="shared" ca="1" si="53"/>
        <v>28.031008690558657</v>
      </c>
      <c r="Y167" s="55">
        <f t="shared" ca="1" si="54"/>
        <v>-8.0747486407188802</v>
      </c>
      <c r="Z167">
        <f t="shared" ca="1" si="48"/>
        <v>0</v>
      </c>
      <c r="AA167">
        <f t="shared" ca="1" si="55"/>
        <v>0</v>
      </c>
      <c r="AB167">
        <f t="shared" ca="1" si="49"/>
        <v>0</v>
      </c>
      <c r="AC167">
        <f t="shared" ca="1" si="50"/>
        <v>0.74968994836622826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45274</v>
      </c>
      <c r="S168" s="55">
        <f t="shared" ca="1" si="51"/>
        <v>45274</v>
      </c>
      <c r="T168" s="55">
        <f t="shared" ca="1" si="45"/>
        <v>42.583491220875658</v>
      </c>
      <c r="U168" s="55">
        <f t="shared" ca="1" si="46"/>
        <v>79.431917982851971</v>
      </c>
      <c r="V168" s="55">
        <f t="shared" ca="1" si="47"/>
        <v>0</v>
      </c>
      <c r="W168" s="55">
        <f t="shared" ca="1" si="52"/>
        <v>0</v>
      </c>
      <c r="X168" s="55">
        <f t="shared" ca="1" si="53"/>
        <v>28.228834781092509</v>
      </c>
      <c r="Y168" s="55">
        <f t="shared" ca="1" si="54"/>
        <v>-8.074812672873156</v>
      </c>
      <c r="Z168">
        <f t="shared" ca="1" si="48"/>
        <v>0</v>
      </c>
      <c r="AA168">
        <f t="shared" ca="1" si="55"/>
        <v>0</v>
      </c>
      <c r="AB168">
        <f t="shared" ca="1" si="49"/>
        <v>0</v>
      </c>
      <c r="AC168">
        <f t="shared" ca="1" si="50"/>
        <v>0.74975084201210151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45275</v>
      </c>
      <c r="S169" s="55">
        <f t="shared" ca="1" si="51"/>
        <v>45275</v>
      </c>
      <c r="T169" s="55">
        <f t="shared" ca="1" si="45"/>
        <v>39.347100689596488</v>
      </c>
      <c r="U169" s="55">
        <f t="shared" ca="1" si="46"/>
        <v>82.884608785550213</v>
      </c>
      <c r="V169" s="55">
        <f t="shared" ca="1" si="47"/>
        <v>0</v>
      </c>
      <c r="W169" s="55">
        <f t="shared" ca="1" si="52"/>
        <v>0</v>
      </c>
      <c r="X169" s="55">
        <f t="shared" ca="1" si="53"/>
        <v>28.445178778364951</v>
      </c>
      <c r="Y169" s="55">
        <f t="shared" ca="1" si="54"/>
        <v>-8.0748563987265278</v>
      </c>
      <c r="Z169">
        <f t="shared" ca="1" si="48"/>
        <v>0</v>
      </c>
      <c r="AA169">
        <f t="shared" ca="1" si="55"/>
        <v>0</v>
      </c>
      <c r="AB169">
        <f t="shared" ca="1" si="49"/>
        <v>0</v>
      </c>
      <c r="AC169">
        <f t="shared" ca="1" si="50"/>
        <v>0.74980463362264838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45276</v>
      </c>
      <c r="S170" s="55">
        <f t="shared" ca="1" si="51"/>
        <v>45276</v>
      </c>
      <c r="T170" s="55">
        <f t="shared" ca="1" si="45"/>
        <v>36.288428682993725</v>
      </c>
      <c r="U170" s="55">
        <f t="shared" ca="1" si="46"/>
        <v>86.152527547654643</v>
      </c>
      <c r="V170" s="55">
        <f t="shared" ca="1" si="47"/>
        <v>0</v>
      </c>
      <c r="W170" s="55">
        <f t="shared" ca="1" si="52"/>
        <v>0</v>
      </c>
      <c r="X170" s="55">
        <f t="shared" ca="1" si="53"/>
        <v>28.654445786312916</v>
      </c>
      <c r="Y170" s="55">
        <f t="shared" ca="1" si="54"/>
        <v>-8.0748766511728292</v>
      </c>
      <c r="Z170">
        <f t="shared" ca="1" si="48"/>
        <v>0</v>
      </c>
      <c r="AA170">
        <f t="shared" ca="1" si="55"/>
        <v>0</v>
      </c>
      <c r="AB170">
        <f t="shared" ca="1" si="49"/>
        <v>0</v>
      </c>
      <c r="AC170">
        <f t="shared" ca="1" si="50"/>
        <v>0.74984531668043697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45277</v>
      </c>
      <c r="S171" s="55">
        <f t="shared" ca="1" si="51"/>
        <v>45277</v>
      </c>
      <c r="T171" s="55">
        <f t="shared" ca="1" si="45"/>
        <v>33.377436965148675</v>
      </c>
      <c r="U171" s="55">
        <f t="shared" ca="1" si="46"/>
        <v>89.268324222121166</v>
      </c>
      <c r="V171" s="55">
        <f t="shared" ca="1" si="47"/>
        <v>0</v>
      </c>
      <c r="W171" s="55">
        <f t="shared" ca="1" si="52"/>
        <v>0</v>
      </c>
      <c r="X171" s="55">
        <f t="shared" ca="1" si="53"/>
        <v>28.85924488635764</v>
      </c>
      <c r="Y171" s="55">
        <f t="shared" ca="1" si="54"/>
        <v>-8.0748707945960838</v>
      </c>
      <c r="Z171">
        <f t="shared" ca="1" si="48"/>
        <v>0</v>
      </c>
      <c r="AA171">
        <f t="shared" ca="1" si="55"/>
        <v>0</v>
      </c>
      <c r="AB171">
        <f t="shared" ca="1" si="49"/>
        <v>0</v>
      </c>
      <c r="AC171">
        <f t="shared" ca="1" si="50"/>
        <v>0.74987668686719089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45278</v>
      </c>
      <c r="S172" s="55">
        <f t="shared" ca="1" si="51"/>
        <v>45278</v>
      </c>
      <c r="T172" s="55">
        <f t="shared" ca="1" si="45"/>
        <v>58.625184334165603</v>
      </c>
      <c r="U172" s="55">
        <f t="shared" ca="1" si="46"/>
        <v>92.391115014564065</v>
      </c>
      <c r="V172" s="55">
        <f t="shared" ca="1" si="47"/>
        <v>28.161139580243002</v>
      </c>
      <c r="W172" s="55">
        <f t="shared" ca="1" si="52"/>
        <v>0</v>
      </c>
      <c r="X172" s="55">
        <f t="shared" ca="1" si="53"/>
        <v>29.068606858798415</v>
      </c>
      <c r="Y172" s="55">
        <f t="shared" ca="1" si="54"/>
        <v>-8.0748341858200341</v>
      </c>
      <c r="Z172">
        <f t="shared" ca="1" si="48"/>
        <v>0</v>
      </c>
      <c r="AA172">
        <f t="shared" ca="1" si="55"/>
        <v>0</v>
      </c>
      <c r="AB172">
        <f t="shared" ca="1" si="49"/>
        <v>0</v>
      </c>
      <c r="AC172">
        <f t="shared" ca="1" si="50"/>
        <v>0.74990223789774002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45279</v>
      </c>
      <c r="S173" s="55">
        <f t="shared" ca="1" si="51"/>
        <v>45279</v>
      </c>
      <c r="T173" s="55">
        <f t="shared" ca="1" si="45"/>
        <v>55.787094330824203</v>
      </c>
      <c r="U173" s="55">
        <f t="shared" ca="1" si="46"/>
        <v>95.439144925767025</v>
      </c>
      <c r="V173" s="55">
        <f t="shared" ca="1" si="47"/>
        <v>0</v>
      </c>
      <c r="W173" s="55">
        <f t="shared" ca="1" si="52"/>
        <v>0</v>
      </c>
      <c r="X173" s="55">
        <f t="shared" ca="1" si="53"/>
        <v>29.278477674550714</v>
      </c>
      <c r="Y173" s="55">
        <f t="shared" ca="1" si="54"/>
        <v>-8.0747650937107771</v>
      </c>
      <c r="Z173">
        <f t="shared" ca="1" si="48"/>
        <v>0</v>
      </c>
      <c r="AA173">
        <f t="shared" ca="1" si="55"/>
        <v>0</v>
      </c>
      <c r="AB173">
        <f t="shared" ca="1" si="49"/>
        <v>0</v>
      </c>
      <c r="AC173">
        <f t="shared" ca="1" si="50"/>
        <v>0.7499225294598062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45280</v>
      </c>
      <c r="S174" s="55">
        <f t="shared" ca="1" si="51"/>
        <v>45280</v>
      </c>
      <c r="T174" s="55">
        <f t="shared" ca="1" si="45"/>
        <v>53.127169194075861</v>
      </c>
      <c r="U174" s="55">
        <f t="shared" ca="1" si="46"/>
        <v>98.305508621928951</v>
      </c>
      <c r="V174" s="55">
        <f t="shared" ca="1" si="47"/>
        <v>0</v>
      </c>
      <c r="W174" s="55">
        <f t="shared" ca="1" si="52"/>
        <v>0</v>
      </c>
      <c r="X174" s="55">
        <f t="shared" ca="1" si="53"/>
        <v>29.484794745393227</v>
      </c>
      <c r="Y174" s="55">
        <f t="shared" ca="1" si="54"/>
        <v>-8.0746436051397055</v>
      </c>
      <c r="Z174">
        <f t="shared" ca="1" si="48"/>
        <v>0</v>
      </c>
      <c r="AA174">
        <f t="shared" ca="1" si="55"/>
        <v>0</v>
      </c>
      <c r="AB174">
        <f t="shared" ca="1" si="49"/>
        <v>0</v>
      </c>
      <c r="AC174">
        <f t="shared" ca="1" si="50"/>
        <v>0.74993815997998636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45281</v>
      </c>
      <c r="S175" s="55">
        <f t="shared" ca="1" si="51"/>
        <v>45281</v>
      </c>
      <c r="T175" s="55">
        <f t="shared" ca="1" si="45"/>
        <v>50.610262314869303</v>
      </c>
      <c r="U175" s="55">
        <f t="shared" ca="1" si="46"/>
        <v>101.02606403190798</v>
      </c>
      <c r="V175" s="55">
        <f t="shared" ca="1" si="47"/>
        <v>0</v>
      </c>
      <c r="W175" s="55">
        <f t="shared" ca="1" si="52"/>
        <v>0</v>
      </c>
      <c r="X175" s="55">
        <f t="shared" ca="1" si="53"/>
        <v>29.688273124768699</v>
      </c>
      <c r="Y175" s="55">
        <f t="shared" ca="1" si="54"/>
        <v>-8.0744734537427121</v>
      </c>
      <c r="Z175">
        <f t="shared" ca="1" si="48"/>
        <v>0</v>
      </c>
      <c r="AA175">
        <f t="shared" ca="1" si="55"/>
        <v>0</v>
      </c>
      <c r="AB175">
        <f t="shared" ca="1" si="49"/>
        <v>0</v>
      </c>
      <c r="AC175">
        <f t="shared" ca="1" si="50"/>
        <v>0.74995041826423792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45282</v>
      </c>
      <c r="S176" s="55">
        <f t="shared" ca="1" si="51"/>
        <v>45282</v>
      </c>
      <c r="T176" s="55">
        <f t="shared" ca="1" si="45"/>
        <v>48.10872540238875</v>
      </c>
      <c r="U176" s="55">
        <f t="shared" ca="1" si="46"/>
        <v>103.73701224922553</v>
      </c>
      <c r="V176" s="55">
        <f t="shared" ca="1" si="47"/>
        <v>0</v>
      </c>
      <c r="W176" s="55">
        <f t="shared" ca="1" si="52"/>
        <v>0</v>
      </c>
      <c r="X176" s="55">
        <f t="shared" ca="1" si="53"/>
        <v>29.897461647078277</v>
      </c>
      <c r="Y176" s="55">
        <f t="shared" ca="1" si="54"/>
        <v>-8.0742506712152871</v>
      </c>
      <c r="Z176">
        <f t="shared" ca="1" si="48"/>
        <v>0</v>
      </c>
      <c r="AA176">
        <f t="shared" ca="1" si="55"/>
        <v>0</v>
      </c>
      <c r="AB176">
        <f t="shared" ca="1" si="49"/>
        <v>0</v>
      </c>
      <c r="AC176">
        <f t="shared" ca="1" si="50"/>
        <v>0.74996053583599309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45283</v>
      </c>
      <c r="S177" s="55">
        <f t="shared" ca="1" si="51"/>
        <v>45283</v>
      </c>
      <c r="T177" s="55">
        <f t="shared" ca="1" si="45"/>
        <v>45.764006483004003</v>
      </c>
      <c r="U177" s="55">
        <f t="shared" ca="1" si="46"/>
        <v>106.28722808570069</v>
      </c>
      <c r="V177" s="55">
        <f t="shared" ca="1" si="47"/>
        <v>0</v>
      </c>
      <c r="W177" s="55">
        <f t="shared" ca="1" si="52"/>
        <v>0</v>
      </c>
      <c r="X177" s="55">
        <f t="shared" ca="1" si="53"/>
        <v>30.102696840321482</v>
      </c>
      <c r="Y177" s="55">
        <f t="shared" ca="1" si="54"/>
        <v>-8.0739889473680755</v>
      </c>
      <c r="Z177">
        <f t="shared" ca="1" si="48"/>
        <v>0</v>
      </c>
      <c r="AA177">
        <f t="shared" ca="1" si="55"/>
        <v>0</v>
      </c>
      <c r="AB177">
        <f t="shared" ca="1" si="49"/>
        <v>0</v>
      </c>
      <c r="AC177">
        <f t="shared" ca="1" si="50"/>
        <v>0.74996843571712657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45284</v>
      </c>
      <c r="S178" s="55">
        <f t="shared" ca="1" si="51"/>
        <v>45284</v>
      </c>
      <c r="T178" s="55">
        <f t="shared" ca="1" si="45"/>
        <v>43.381251213711892</v>
      </c>
      <c r="U178" s="55">
        <f t="shared" ca="1" si="46"/>
        <v>108.88538752827009</v>
      </c>
      <c r="V178" s="55">
        <f t="shared" ca="1" si="47"/>
        <v>0</v>
      </c>
      <c r="W178" s="55">
        <f t="shared" ca="1" si="52"/>
        <v>0</v>
      </c>
      <c r="X178" s="55">
        <f t="shared" ca="1" si="53"/>
        <v>30.317812695485053</v>
      </c>
      <c r="Y178" s="55">
        <f t="shared" ca="1" si="54"/>
        <v>-8.0737006292543541</v>
      </c>
      <c r="Z178">
        <f t="shared" ca="1" si="48"/>
        <v>0</v>
      </c>
      <c r="AA178">
        <f t="shared" ca="1" si="55"/>
        <v>0</v>
      </c>
      <c r="AB178">
        <f t="shared" ca="1" si="49"/>
        <v>0</v>
      </c>
      <c r="AC178">
        <f t="shared" ca="1" si="50"/>
        <v>0.74997511458307309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45285</v>
      </c>
      <c r="S179" s="55">
        <f t="shared" ca="1" si="51"/>
        <v>45285</v>
      </c>
      <c r="T179" s="55">
        <f t="shared" ca="1" si="45"/>
        <v>41.110310807918893</v>
      </c>
      <c r="U179" s="55">
        <f t="shared" ca="1" si="46"/>
        <v>111.37183278193486</v>
      </c>
      <c r="V179" s="55">
        <f t="shared" ca="1" si="47"/>
        <v>0</v>
      </c>
      <c r="W179" s="55">
        <f t="shared" ca="1" si="52"/>
        <v>0</v>
      </c>
      <c r="X179" s="55">
        <f t="shared" ca="1" si="53"/>
        <v>30.53301143510339</v>
      </c>
      <c r="Y179" s="55">
        <f t="shared" ca="1" si="54"/>
        <v>-8.0733945210009246</v>
      </c>
      <c r="Z179">
        <f t="shared" ca="1" si="48"/>
        <v>0</v>
      </c>
      <c r="AA179">
        <f t="shared" ca="1" si="55"/>
        <v>0</v>
      </c>
      <c r="AB179">
        <f t="shared" ca="1" si="49"/>
        <v>0</v>
      </c>
      <c r="AC179">
        <f t="shared" ca="1" si="50"/>
        <v>0.74998040195030102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45286</v>
      </c>
      <c r="S180" s="55">
        <f t="shared" ca="1" si="51"/>
        <v>45286</v>
      </c>
      <c r="T180" s="55">
        <f t="shared" ca="1" si="45"/>
        <v>39.093917123909002</v>
      </c>
      <c r="U180" s="55">
        <f t="shared" ca="1" si="46"/>
        <v>113.59168620458536</v>
      </c>
      <c r="V180" s="55">
        <f t="shared" ca="1" si="47"/>
        <v>0</v>
      </c>
      <c r="W180" s="55">
        <f t="shared" ca="1" si="52"/>
        <v>0</v>
      </c>
      <c r="X180" s="55">
        <f t="shared" ca="1" si="53"/>
        <v>30.736171364340503</v>
      </c>
      <c r="Y180" s="55">
        <f t="shared" ca="1" si="54"/>
        <v>-8.0730947115974256</v>
      </c>
      <c r="Z180">
        <f t="shared" ca="1" si="48"/>
        <v>0</v>
      </c>
      <c r="AA180">
        <f t="shared" ca="1" si="55"/>
        <v>0</v>
      </c>
      <c r="AB180">
        <f t="shared" ca="1" si="49"/>
        <v>0</v>
      </c>
      <c r="AC180">
        <f t="shared" ca="1" si="50"/>
        <v>0.74998433900412786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45287</v>
      </c>
      <c r="S181" s="55">
        <f t="shared" ca="1" si="51"/>
        <v>45287</v>
      </c>
      <c r="T181" s="55">
        <f t="shared" ca="1" si="45"/>
        <v>36.864981630183948</v>
      </c>
      <c r="U181" s="55">
        <f t="shared" ca="1" si="46"/>
        <v>116.0545230129418</v>
      </c>
      <c r="V181" s="55">
        <f t="shared" ca="1" si="47"/>
        <v>0</v>
      </c>
      <c r="W181" s="55">
        <f t="shared" ca="1" si="52"/>
        <v>0</v>
      </c>
      <c r="X181" s="55">
        <f t="shared" ca="1" si="53"/>
        <v>30.969716385280947</v>
      </c>
      <c r="Y181" s="55">
        <f t="shared" ca="1" si="54"/>
        <v>-8.0727384179064874</v>
      </c>
      <c r="Z181">
        <f t="shared" ca="1" si="48"/>
        <v>0</v>
      </c>
      <c r="AA181">
        <f t="shared" ca="1" si="55"/>
        <v>0</v>
      </c>
      <c r="AB181">
        <f t="shared" ca="1" si="49"/>
        <v>0</v>
      </c>
      <c r="AC181">
        <f t="shared" ca="1" si="50"/>
        <v>0.74998796293154713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45288</v>
      </c>
      <c r="S182" s="55">
        <f t="shared" ca="1" si="51"/>
        <v>45288</v>
      </c>
      <c r="T182" s="55">
        <f t="shared" ca="1" si="45"/>
        <v>34.749734867865342</v>
      </c>
      <c r="U182" s="55">
        <f t="shared" ca="1" si="46"/>
        <v>118.40943096253595</v>
      </c>
      <c r="V182" s="55">
        <f t="shared" ca="1" si="47"/>
        <v>0</v>
      </c>
      <c r="W182" s="55">
        <f t="shared" ca="1" si="52"/>
        <v>0</v>
      </c>
      <c r="X182" s="55">
        <f t="shared" ca="1" si="53"/>
        <v>31.208934376988239</v>
      </c>
      <c r="Y182" s="55">
        <f t="shared" ca="1" si="54"/>
        <v>-8.0722952223382389</v>
      </c>
      <c r="Z182">
        <f t="shared" ca="1" si="48"/>
        <v>0</v>
      </c>
      <c r="AA182">
        <f t="shared" ca="1" si="55"/>
        <v>0</v>
      </c>
      <c r="AB182">
        <f t="shared" ca="1" si="49"/>
        <v>0</v>
      </c>
      <c r="AC182">
        <f t="shared" ca="1" si="50"/>
        <v>0.74999079727587381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45289</v>
      </c>
      <c r="S183" s="55">
        <f t="shared" ca="1" si="51"/>
        <v>45289</v>
      </c>
      <c r="T183" s="55">
        <f t="shared" ca="1" si="45"/>
        <v>33.001750899062074</v>
      </c>
      <c r="U183" s="55">
        <f t="shared" ca="1" si="46"/>
        <v>120.37248573286682</v>
      </c>
      <c r="V183" s="55">
        <f t="shared" ca="1" si="47"/>
        <v>0</v>
      </c>
      <c r="W183" s="55">
        <f t="shared" ca="1" si="52"/>
        <v>0</v>
      </c>
      <c r="X183" s="55">
        <f t="shared" ca="1" si="53"/>
        <v>31.42358823863767</v>
      </c>
      <c r="Y183" s="55">
        <f t="shared" ca="1" si="54"/>
        <v>-8.0718782824600641</v>
      </c>
      <c r="Z183">
        <f t="shared" ca="1" si="48"/>
        <v>0</v>
      </c>
      <c r="AA183">
        <f t="shared" ca="1" si="55"/>
        <v>0</v>
      </c>
      <c r="AB183">
        <f t="shared" ca="1" si="49"/>
        <v>0</v>
      </c>
      <c r="AC183">
        <f t="shared" ca="1" si="50"/>
        <v>0.74999275259707243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45290</v>
      </c>
      <c r="S184" s="55">
        <f t="shared" ca="1" si="51"/>
        <v>45290</v>
      </c>
      <c r="T184" s="55">
        <f t="shared" ca="1" si="45"/>
        <v>31.296785936574459</v>
      </c>
      <c r="U184" s="55">
        <f t="shared" ca="1" si="46"/>
        <v>122.30293244720654</v>
      </c>
      <c r="V184" s="55">
        <f t="shared" ca="1" si="47"/>
        <v>0</v>
      </c>
      <c r="W184" s="55">
        <f t="shared" ca="1" si="52"/>
        <v>0</v>
      </c>
      <c r="X184" s="55">
        <f t="shared" ca="1" si="53"/>
        <v>31.648568430158576</v>
      </c>
      <c r="Y184" s="55">
        <f t="shared" ca="1" si="54"/>
        <v>-8.0713767221288606</v>
      </c>
      <c r="Z184">
        <f t="shared" ca="1" si="48"/>
        <v>0</v>
      </c>
      <c r="AA184">
        <f t="shared" ca="1" si="55"/>
        <v>0</v>
      </c>
      <c r="AB184">
        <f t="shared" ca="1" si="49"/>
        <v>0</v>
      </c>
      <c r="AC184">
        <f t="shared" ca="1" si="50"/>
        <v>0.74999436022921839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45291</v>
      </c>
      <c r="S185" s="55">
        <f t="shared" ca="1" si="51"/>
        <v>45291</v>
      </c>
      <c r="T185" s="55">
        <f t="shared" ca="1" si="45"/>
        <v>29.790601418783179</v>
      </c>
      <c r="U185" s="55">
        <f t="shared" ca="1" si="46"/>
        <v>124.02499999999998</v>
      </c>
      <c r="V185" s="55">
        <f t="shared" ca="1" si="47"/>
        <v>0</v>
      </c>
      <c r="W185" s="55">
        <f t="shared" ca="1" si="52"/>
        <v>0</v>
      </c>
      <c r="X185" s="55">
        <f t="shared" ca="1" si="53"/>
        <v>31.863960179627071</v>
      </c>
      <c r="Y185" s="55">
        <f t="shared" ca="1" si="54"/>
        <v>-8.0708854365952014</v>
      </c>
      <c r="Z185">
        <f t="shared" ca="1" si="48"/>
        <v>0</v>
      </c>
      <c r="AA185">
        <f t="shared" ca="1" si="55"/>
        <v>0</v>
      </c>
      <c r="AB185">
        <f t="shared" ca="1" si="49"/>
        <v>0</v>
      </c>
      <c r="AC185">
        <f t="shared" ca="1" si="50"/>
        <v>0.7499955614729874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4" priority="49" operator="containsText" text="Suggested">
      <formula>NOT(ISERROR(SEARCH("Suggested",H29)))</formula>
    </cfRule>
  </conditionalFormatting>
  <conditionalFormatting sqref="F29:G29">
    <cfRule type="expression" dxfId="23" priority="55">
      <formula>$B$29=1</formula>
    </cfRule>
  </conditionalFormatting>
  <conditionalFormatting sqref="F30:G30">
    <cfRule type="expression" dxfId="22" priority="62">
      <formula>$B$30=1</formula>
    </cfRule>
  </conditionalFormatting>
  <conditionalFormatting sqref="F31:G31">
    <cfRule type="expression" dxfId="21" priority="64">
      <formula>$B$31=1</formula>
    </cfRule>
  </conditionalFormatting>
  <conditionalFormatting sqref="F32:G32">
    <cfRule type="expression" dxfId="20" priority="66">
      <formula>$B$32=1</formula>
    </cfRule>
  </conditionalFormatting>
  <conditionalFormatting sqref="F33:G33">
    <cfRule type="expression" dxfId="19" priority="68">
      <formula>$B$33=1</formula>
    </cfRule>
  </conditionalFormatting>
  <conditionalFormatting sqref="F34:G34">
    <cfRule type="expression" dxfId="18" priority="70">
      <formula>$B$34=1</formula>
    </cfRule>
  </conditionalFormatting>
  <conditionalFormatting sqref="F35:G35">
    <cfRule type="expression" dxfId="17" priority="72">
      <formula>$B$35=1</formula>
    </cfRule>
  </conditionalFormatting>
  <conditionalFormatting sqref="F36">
    <cfRule type="expression" dxfId="16" priority="74">
      <formula>$B$36=1</formula>
    </cfRule>
  </conditionalFormatting>
  <conditionalFormatting sqref="F37:G37">
    <cfRule type="expression" dxfId="15" priority="76">
      <formula>$B$37=1</formula>
    </cfRule>
  </conditionalFormatting>
  <conditionalFormatting sqref="F38:G38">
    <cfRule type="expression" dxfId="14" priority="78">
      <formula>$B$38=1</formula>
    </cfRule>
  </conditionalFormatting>
  <conditionalFormatting sqref="F22:H24 C22:E23 C17:H21 D24 C25:H45">
    <cfRule type="expression" dxfId="13" priority="9">
      <formula>$B$1=1</formula>
    </cfRule>
  </conditionalFormatting>
  <conditionalFormatting sqref="C55:E56 F54:H55 C68:H71 C64:E67 F65:H66 F8:H15 C57:H63 C53:H53 C46:H50 C54 E54 C51:D52 F51:H52">
    <cfRule type="expression" dxfId="12" priority="8">
      <formula>NOT($B$1=3)</formula>
    </cfRule>
  </conditionalFormatting>
  <conditionalFormatting sqref="E15">
    <cfRule type="expression" dxfId="11" priority="6">
      <formula>NOT($B$1=1)</formula>
    </cfRule>
  </conditionalFormatting>
  <conditionalFormatting sqref="D72:E72">
    <cfRule type="expression" dxfId="10" priority="5">
      <formula>NOT($B$1=3)</formula>
    </cfRule>
  </conditionalFormatting>
  <conditionalFormatting sqref="C72">
    <cfRule type="expression" dxfId="9" priority="4">
      <formula>NOT($B$1=3)</formula>
    </cfRule>
  </conditionalFormatting>
  <conditionalFormatting sqref="G36">
    <cfRule type="expression" dxfId="8" priority="87">
      <formula>$B$36</formula>
    </cfRule>
  </conditionalFormatting>
  <conditionalFormatting sqref="F39:G39">
    <cfRule type="expression" dxfId="7" priority="90">
      <formula>$B$39=1</formula>
    </cfRule>
  </conditionalFormatting>
  <conditionalFormatting sqref="F40:G40">
    <cfRule type="expression" dxfId="6" priority="91">
      <formula>$B$40=1</formula>
    </cfRule>
  </conditionalFormatting>
  <conditionalFormatting sqref="F41:G41">
    <cfRule type="expression" dxfId="5" priority="92">
      <formula>$B$41=1</formula>
    </cfRule>
  </conditionalFormatting>
  <conditionalFormatting sqref="F42:G42">
    <cfRule type="expression" dxfId="4" priority="93">
      <formula>$B$42=1</formula>
    </cfRule>
  </conditionalFormatting>
  <conditionalFormatting sqref="F43:G43">
    <cfRule type="expression" dxfId="3" priority="94">
      <formula>$B$43=1</formula>
    </cfRule>
  </conditionalFormatting>
  <conditionalFormatting sqref="C24 E24">
    <cfRule type="expression" dxfId="2" priority="3">
      <formula>$B$1=1</formula>
    </cfRule>
  </conditionalFormatting>
  <conditionalFormatting sqref="D54">
    <cfRule type="expression" dxfId="1" priority="2">
      <formula>NOT($B$1=3)</formula>
    </cfRule>
  </conditionalFormatting>
  <conditionalFormatting sqref="E51:E52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C38:C43 C29:C34 E9:E10 E62:E63 E51:E52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A8" zoomScale="105" workbookViewId="0">
      <selection activeCell="A34" sqref="A34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278</v>
      </c>
    </row>
    <row r="2" spans="1:43">
      <c r="H2" t="s">
        <v>276</v>
      </c>
      <c r="I2">
        <f ca="1"/>
        <v>50</v>
      </c>
      <c r="J2">
        <f ca="1"/>
        <v>0</v>
      </c>
      <c r="K2">
        <f ca="1"/>
        <v>1</v>
      </c>
      <c r="L2">
        <f ca="1"/>
        <v>32</v>
      </c>
      <c r="M2">
        <f ca="1"/>
        <v>0</v>
      </c>
      <c r="N2">
        <f ca="1"/>
        <v>79</v>
      </c>
      <c r="O2">
        <f ca="1"/>
        <v>0</v>
      </c>
      <c r="P2">
        <f ca="1"/>
        <v>154</v>
      </c>
      <c r="Q2">
        <f ca="1">SUM(I2:O2)</f>
        <v>162</v>
      </c>
      <c r="R2">
        <f ca="1">Q2-P2</f>
        <v>8</v>
      </c>
    </row>
    <row r="3" spans="1:43">
      <c r="H3" t="s">
        <v>277</v>
      </c>
      <c r="I3">
        <f ca="1"/>
        <v>30</v>
      </c>
      <c r="J3">
        <f ca="1"/>
        <v>68</v>
      </c>
      <c r="K3">
        <f ca="1"/>
        <v>56</v>
      </c>
      <c r="L3">
        <f ca="1"/>
        <v>0</v>
      </c>
      <c r="M3">
        <f ca="1"/>
        <v>8</v>
      </c>
      <c r="N3">
        <f ca="1"/>
        <v>0</v>
      </c>
      <c r="O3">
        <f ca="1"/>
        <v>0</v>
      </c>
      <c r="P3">
        <f ca="1"/>
        <v>154</v>
      </c>
      <c r="Q3">
        <f ca="1">SUM(I3:O3)</f>
        <v>162</v>
      </c>
    </row>
    <row r="4" spans="1:43" ht="15" thickBot="1"/>
    <row r="5" spans="1:43" ht="26.4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" thickBot="1">
      <c r="A6" s="12" t="s">
        <v>244</v>
      </c>
      <c r="B6" s="13" t="str">
        <f>Location</f>
        <v>lincoln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1</v>
      </c>
      <c r="AJ6">
        <f ca="1"/>
        <v>32</v>
      </c>
      <c r="AK6">
        <f ca="1"/>
        <v>0</v>
      </c>
      <c r="AL6">
        <f ca="1"/>
        <v>79</v>
      </c>
      <c r="AM6">
        <f ca="1"/>
        <v>0</v>
      </c>
      <c r="AN6">
        <f ca="1"/>
        <v>154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LoamySand</v>
      </c>
      <c r="D7" s="39" t="str">
        <f>ConceptDemo!C27</f>
        <v>Fertiliser already applied or planned</v>
      </c>
      <c r="E7" s="40"/>
      <c r="I7" s="12" t="s">
        <v>0</v>
      </c>
      <c r="J7" s="28">
        <f>B25+1</f>
        <v>45125</v>
      </c>
      <c r="K7" s="3">
        <v>50</v>
      </c>
      <c r="L7" s="3"/>
      <c r="M7" s="3">
        <f ca="1">SUMIF($I$12:$I$1005,TRUE,M12:M1005)</f>
        <v>-8.0708854365952014</v>
      </c>
      <c r="N7" s="3">
        <f ca="1">SUMIF($I$12:$I$1005,TRUE,N12:N1005)</f>
        <v>31.754676995145005</v>
      </c>
      <c r="O7" s="3">
        <f ca="1">SUMIF($I$12:$I$1005,TRUE,O12:O1005)</f>
        <v>79.166560397238683</v>
      </c>
      <c r="P7" s="3">
        <f ca="1">VLOOKUP(B36,ModelOutputs,P9,FALSE)-Q7</f>
        <v>0.43789365882195685</v>
      </c>
      <c r="Q7">
        <f ca="1">VLOOKUP(B36,ModelOutputs,Q9,FALSE)</f>
        <v>0.52735580417267902</v>
      </c>
      <c r="R7" s="13"/>
      <c r="W7" s="3">
        <f ca="1">MAX(0,X8-X7)</f>
        <v>2.8421709430404007E-14</v>
      </c>
      <c r="X7" s="3">
        <f ca="1">SUM(K7:R7)</f>
        <v>153.81560141878313</v>
      </c>
      <c r="AA7" s="3"/>
      <c r="AG7">
        <f ca="1"/>
        <v>30</v>
      </c>
      <c r="AH7">
        <f ca="1"/>
        <v>68</v>
      </c>
      <c r="AI7">
        <f ca="1"/>
        <v>56</v>
      </c>
      <c r="AJ7">
        <f ca="1"/>
        <v>0</v>
      </c>
      <c r="AK7">
        <f ca="1"/>
        <v>8</v>
      </c>
      <c r="AL7">
        <f ca="1"/>
        <v>0</v>
      </c>
      <c r="AM7">
        <f ca="1"/>
        <v>0</v>
      </c>
      <c r="AN7">
        <f ca="1"/>
        <v>154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 ca="1">B38</f>
        <v>45291</v>
      </c>
      <c r="K8" s="24">
        <f ca="1">VLOOKUP(J8,ModelOutputs,2,FALSE)</f>
        <v>29.790601418783179</v>
      </c>
      <c r="L8" s="27"/>
      <c r="M8" s="25"/>
      <c r="N8" s="25"/>
      <c r="O8" s="25"/>
      <c r="P8" s="24">
        <f ca="1">(VLOOKUP($J$8,ModelOutputs,P9,FALSE)-VLOOKUP($J$7+1,ModelOutputs,P9,FALSE))-Q8</f>
        <v>56.265000000000001</v>
      </c>
      <c r="Q8" s="26">
        <f ca="1">VLOOKUP($J$8,ModelOutputs,Q9,FALSE)-VLOOKUP($J$7+1,ModelOutputs,Q9,FALSE)</f>
        <v>67.759999999999977</v>
      </c>
      <c r="R8" s="27">
        <f ca="1">SUMIF($I$12:$I$1005,TRUE,R12:R1005)</f>
        <v>0</v>
      </c>
      <c r="S8" s="3"/>
      <c r="T8" s="3"/>
      <c r="U8" s="3"/>
      <c r="V8" s="3"/>
      <c r="W8" s="3">
        <f ca="1">MAX(0,X7-X8)</f>
        <v>0</v>
      </c>
      <c r="X8" s="3">
        <f ca="1">SUM(K8:R8)</f>
        <v>153.81560141878316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 t="str">
        <f>IF(ConceptDemo!C29="","",ConceptDemo!C29)</f>
        <v/>
      </c>
      <c r="E9" s="38" t="str">
        <f>IF(ConceptDemo!D29="","",ConceptDemo!D29)</f>
        <v/>
      </c>
      <c r="L9">
        <f ca="1">SUMIF(H11:H1004,FALSE,L11:L1004)</f>
        <v>154.16166312799672</v>
      </c>
      <c r="M9">
        <f ca="1">SUMIF(H11:H1004,TRUE,M11:M1004)</f>
        <v>-8.0713767221288606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30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3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45124</v>
      </c>
      <c r="K11">
        <f ca="1"/>
        <v>0</v>
      </c>
      <c r="L11">
        <f ca="1"/>
        <v>1.4252816586426036</v>
      </c>
      <c r="M11">
        <f ca="1"/>
        <v>0</v>
      </c>
      <c r="N11" s="4">
        <f ca="1"/>
        <v>0.10928318448206772</v>
      </c>
      <c r="O11">
        <f ca="1"/>
        <v>0</v>
      </c>
      <c r="P11">
        <f ca="1"/>
        <v>154</v>
      </c>
      <c r="Q11">
        <f ca="1"/>
        <v>142.50000000000003</v>
      </c>
      <c r="R11">
        <f ca="1"/>
        <v>0</v>
      </c>
      <c r="S11">
        <f ca="1"/>
        <v>0.3</v>
      </c>
      <c r="T11">
        <f ca="1"/>
        <v>0</v>
      </c>
      <c r="U11">
        <f ca="1"/>
        <v>0</v>
      </c>
      <c r="V11">
        <f ca="1"/>
        <v>0.99993345063478134</v>
      </c>
      <c r="X11" s="2">
        <f t="shared" ref="X11:X74" ca="1" si="1">IFERROR(J11,$X$9)</f>
        <v>45124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45125</v>
      </c>
      <c r="K12">
        <f ca="1"/>
        <v>49.933876413527045</v>
      </c>
      <c r="L12">
        <f ca="1"/>
        <v>0</v>
      </c>
      <c r="M12">
        <f ca="1"/>
        <v>-0.18207788154540056</v>
      </c>
      <c r="N12" s="4">
        <f ca="1"/>
        <v>0.11595429507245054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0.36105555555555557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45125</v>
      </c>
      <c r="Y12">
        <f t="shared" ca="1" si="2"/>
        <v>0</v>
      </c>
      <c r="Z12" s="3"/>
      <c r="AA12" s="63">
        <f ca="1">K11+M12+N12+O12</f>
        <v>-6.6123586472950011E-2</v>
      </c>
      <c r="AB12" s="63">
        <f ca="1">K12+L12+R12</f>
        <v>49.933876413527045</v>
      </c>
      <c r="AC12" s="3">
        <f ca="1">AB12-AA12</f>
        <v>49.999999999999993</v>
      </c>
      <c r="AE12" s="3"/>
    </row>
    <row r="13" spans="1:43">
      <c r="A13" s="12" t="s">
        <v>199</v>
      </c>
      <c r="B13" s="13" t="str">
        <f>PrePlantRain</f>
        <v>Very Dry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45126</v>
      </c>
      <c r="K13">
        <f ca="1"/>
        <v>49.861360721325823</v>
      </c>
      <c r="L13">
        <f ca="1"/>
        <v>0</v>
      </c>
      <c r="M13">
        <f ca="1"/>
        <v>-0.19555553308443013</v>
      </c>
      <c r="N13" s="4">
        <f ca="1"/>
        <v>0.12303984088321142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0.38992489711934158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45126</v>
      </c>
      <c r="Y13">
        <f t="shared" ca="1" si="2"/>
        <v>0</v>
      </c>
      <c r="AA13" s="63">
        <f t="shared" ref="AA13:AA76" ca="1" si="4">K12+M13+N13+O13</f>
        <v>49.861360721325823</v>
      </c>
      <c r="AB13" s="63">
        <f t="shared" ref="AB13:AB76" ca="1" si="5">K13+L13+R13</f>
        <v>49.861360721325823</v>
      </c>
      <c r="AC13" s="3">
        <f t="shared" ref="AC13:AC76" ca="1" si="6">AB13-AA13</f>
        <v>0</v>
      </c>
    </row>
    <row r="14" spans="1:43" ht="15" thickBot="1">
      <c r="A14" s="12" t="s">
        <v>200</v>
      </c>
      <c r="B14" s="13" t="str">
        <f>InCropRain</f>
        <v>Very Dry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45127</v>
      </c>
      <c r="K14">
        <f ca="1"/>
        <v>49.785002958760593</v>
      </c>
      <c r="L14">
        <f ca="1"/>
        <v>0</v>
      </c>
      <c r="M14">
        <f ca="1"/>
        <v>-0.20578725196224734</v>
      </c>
      <c r="N14" s="4">
        <f ca="1"/>
        <v>0.12942948939701737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0.41418209381191895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45127</v>
      </c>
      <c r="Y14">
        <f t="shared" ca="1" si="2"/>
        <v>0</v>
      </c>
      <c r="AA14" s="63">
        <f t="shared" ca="1" si="4"/>
        <v>49.785002958760593</v>
      </c>
      <c r="AB14" s="63">
        <f t="shared" ca="1" si="5"/>
        <v>49.785002958760593</v>
      </c>
      <c r="AC14" s="3">
        <f t="shared" ca="1" si="6"/>
        <v>0</v>
      </c>
    </row>
    <row r="15" spans="1:43" ht="1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45128</v>
      </c>
      <c r="K15">
        <f ca="1"/>
        <v>49.703713318151884</v>
      </c>
      <c r="L15">
        <f ca="1"/>
        <v>0</v>
      </c>
      <c r="M15">
        <f ca="1"/>
        <v>-0.20970031128275579</v>
      </c>
      <c r="N15" s="4">
        <f ca="1"/>
        <v>0.12841067067404882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0.44471064043682657</v>
      </c>
      <c r="T15">
        <f ca="1"/>
        <v>0</v>
      </c>
      <c r="U15">
        <f ca="1"/>
        <v>0</v>
      </c>
      <c r="V15">
        <f ca="1"/>
        <v>0</v>
      </c>
      <c r="X15" s="2">
        <f t="shared" ca="1" si="1"/>
        <v>45128</v>
      </c>
      <c r="Y15">
        <f t="shared" ca="1" si="2"/>
        <v>0</v>
      </c>
      <c r="AA15" s="63">
        <f t="shared" ca="1" si="4"/>
        <v>49.703713318151891</v>
      </c>
      <c r="AB15" s="63">
        <f t="shared" ca="1" si="5"/>
        <v>49.703713318151884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Oat Fodder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45129</v>
      </c>
      <c r="K16">
        <f ca="1"/>
        <v>49.61683049560596</v>
      </c>
      <c r="L16">
        <f ca="1"/>
        <v>0</v>
      </c>
      <c r="M16">
        <f ca="1"/>
        <v>-0.22608800646623317</v>
      </c>
      <c r="N16" s="4">
        <f ca="1"/>
        <v>0.13920518392030867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0.48180334251576551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45129</v>
      </c>
      <c r="Y16">
        <f t="shared" ca="1" si="2"/>
        <v>0</v>
      </c>
      <c r="AA16" s="63">
        <f t="shared" ca="1" si="4"/>
        <v>49.61683049560596</v>
      </c>
      <c r="AB16" s="63">
        <f t="shared" ca="1" si="5"/>
        <v>49.61683049560596</v>
      </c>
      <c r="AC16" s="3">
        <f t="shared" ca="1" si="6"/>
        <v>0</v>
      </c>
    </row>
    <row r="17" spans="1:29" ht="15" thickBot="1">
      <c r="A17" s="6" t="s">
        <v>235</v>
      </c>
      <c r="B17" s="32">
        <f>PriorYield</f>
        <v>10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45130</v>
      </c>
      <c r="K17">
        <f ca="1"/>
        <v>49.535011243819056</v>
      </c>
      <c r="L17">
        <f ca="1"/>
        <v>0</v>
      </c>
      <c r="M17">
        <f ca="1"/>
        <v>-0.22574376576774746</v>
      </c>
      <c r="N17" s="4">
        <f ca="1"/>
        <v>0.14392451398084041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0.48523133116999229</v>
      </c>
      <c r="T17">
        <f ca="1"/>
        <v>0</v>
      </c>
      <c r="U17">
        <f ca="1"/>
        <v>0</v>
      </c>
      <c r="V17">
        <f ca="1"/>
        <v>0</v>
      </c>
      <c r="X17" s="2">
        <f t="shared" ca="1" si="1"/>
        <v>45130</v>
      </c>
      <c r="Y17">
        <f t="shared" ca="1" si="2"/>
        <v>0</v>
      </c>
      <c r="AA17" s="63">
        <f t="shared" ca="1" si="4"/>
        <v>49.535011243819056</v>
      </c>
      <c r="AB17" s="63">
        <f t="shared" ca="1" si="5"/>
        <v>49.535011243819056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45131</v>
      </c>
      <c r="K18">
        <f ca="1"/>
        <v>49.459164706687687</v>
      </c>
      <c r="L18">
        <f ca="1"/>
        <v>0</v>
      </c>
      <c r="M18">
        <f ca="1"/>
        <v>-0.21783595293874902</v>
      </c>
      <c r="N18" s="4">
        <f ca="1"/>
        <v>0.1419894158073815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0.48503678751917018</v>
      </c>
      <c r="T18">
        <f ca="1"/>
        <v>0</v>
      </c>
      <c r="U18">
        <f ca="1"/>
        <v>0</v>
      </c>
      <c r="V18">
        <f ca="1"/>
        <v>0</v>
      </c>
      <c r="X18" s="2">
        <f t="shared" ca="1" si="1"/>
        <v>45131</v>
      </c>
      <c r="Y18">
        <f t="shared" ca="1" si="2"/>
        <v>0</v>
      </c>
      <c r="AA18" s="63">
        <f t="shared" ca="1" si="4"/>
        <v>49.459164706687687</v>
      </c>
      <c r="AB18" s="63">
        <f t="shared" ca="1" si="5"/>
        <v>49.459164706687687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45132</v>
      </c>
      <c r="K19">
        <f ca="1"/>
        <v>49.389654864304042</v>
      </c>
      <c r="L19">
        <f ca="1"/>
        <v>0</v>
      </c>
      <c r="M19">
        <f ca="1"/>
        <v>-0.21985204807295244</v>
      </c>
      <c r="N19" s="4">
        <f ca="1"/>
        <v>0.15034220568930295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0.52090154044689618</v>
      </c>
      <c r="T19">
        <f ca="1"/>
        <v>0</v>
      </c>
      <c r="U19">
        <f ca="1"/>
        <v>0</v>
      </c>
      <c r="V19">
        <f ca="1"/>
        <v>0</v>
      </c>
      <c r="X19" s="2">
        <f t="shared" ca="1" si="1"/>
        <v>45132</v>
      </c>
      <c r="Y19">
        <f t="shared" ca="1" si="2"/>
        <v>0</v>
      </c>
      <c r="AA19" s="63">
        <f t="shared" ca="1" si="4"/>
        <v>49.389654864304042</v>
      </c>
      <c r="AB19" s="63">
        <f t="shared" ca="1" si="5"/>
        <v>49.389654864304042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45133</v>
      </c>
      <c r="K20">
        <f ca="1"/>
        <v>49.328559728050806</v>
      </c>
      <c r="L20">
        <f ca="1"/>
        <v>0</v>
      </c>
      <c r="M20">
        <f ca="1"/>
        <v>-0.21305061619227783</v>
      </c>
      <c r="N20" s="4">
        <f ca="1"/>
        <v>0.15195547993903877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0.53314873525949802</v>
      </c>
      <c r="T20">
        <f ca="1"/>
        <v>0</v>
      </c>
      <c r="U20">
        <f ca="1"/>
        <v>0</v>
      </c>
      <c r="V20">
        <f ca="1"/>
        <v>0</v>
      </c>
      <c r="X20" s="2">
        <f t="shared" ca="1" si="1"/>
        <v>45133</v>
      </c>
      <c r="Y20">
        <f t="shared" ca="1" si="2"/>
        <v>0</v>
      </c>
      <c r="AA20" s="63">
        <f t="shared" ca="1" si="4"/>
        <v>49.328559728050806</v>
      </c>
      <c r="AB20" s="63">
        <f t="shared" ca="1" si="5"/>
        <v>49.328559728050806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45134</v>
      </c>
      <c r="K21">
        <f ca="1"/>
        <v>49.280596376067969</v>
      </c>
      <c r="L21">
        <f ca="1"/>
        <v>0</v>
      </c>
      <c r="M21">
        <f ca="1"/>
        <v>-0.21203593381010766</v>
      </c>
      <c r="N21" s="4">
        <f ca="1"/>
        <v>0.1640725818272678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0.56274666068533474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45134</v>
      </c>
      <c r="Y21">
        <f t="shared" ca="1" si="2"/>
        <v>0</v>
      </c>
      <c r="AA21" s="63">
        <f t="shared" ca="1" si="4"/>
        <v>49.280596376067969</v>
      </c>
      <c r="AB21" s="63">
        <f t="shared" ca="1" si="5"/>
        <v>49.280596376067969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45135</v>
      </c>
      <c r="K22">
        <f ca="1"/>
        <v>49.238206789527105</v>
      </c>
      <c r="L22">
        <f ca="1"/>
        <v>0</v>
      </c>
      <c r="M22">
        <f ca="1"/>
        <v>-0.20503755034495041</v>
      </c>
      <c r="N22" s="4">
        <f ca="1"/>
        <v>0.16264796380408475</v>
      </c>
      <c r="O22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0.56195286331840333</v>
      </c>
      <c r="T22">
        <f ca="1"/>
        <v>0</v>
      </c>
      <c r="U22">
        <f ca="1"/>
        <v>0</v>
      </c>
      <c r="V22">
        <f ca="1"/>
        <v>0</v>
      </c>
      <c r="X22" s="2">
        <f t="shared" ca="1" si="1"/>
        <v>45135</v>
      </c>
      <c r="Y22">
        <f t="shared" ca="1" si="2"/>
        <v>0</v>
      </c>
      <c r="AA22" s="63">
        <f t="shared" ca="1" si="4"/>
        <v>49.238206789527105</v>
      </c>
      <c r="AB22" s="63">
        <f t="shared" ca="1" si="5"/>
        <v>49.238206789527105</v>
      </c>
      <c r="AC22" s="3">
        <f t="shared" ca="1" si="6"/>
        <v>0</v>
      </c>
    </row>
    <row r="23" spans="1:29" ht="15" thickBot="1">
      <c r="A23" s="6" t="s">
        <v>115</v>
      </c>
      <c r="B23" s="34">
        <f>PriorEstablishDate</f>
        <v>44999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45136</v>
      </c>
      <c r="K23">
        <f ca="1"/>
        <v>49.203158290531526</v>
      </c>
      <c r="L23">
        <f ca="1"/>
        <v>0</v>
      </c>
      <c r="M23">
        <f ca="1"/>
        <v>-0.20502563231281767</v>
      </c>
      <c r="N23" s="4">
        <f ca="1"/>
        <v>0.16997713331724273</v>
      </c>
      <c r="O23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0.56074161499413777</v>
      </c>
      <c r="T23">
        <f ca="1"/>
        <v>0</v>
      </c>
      <c r="U23">
        <f ca="1"/>
        <v>0</v>
      </c>
      <c r="V23">
        <f ca="1"/>
        <v>0</v>
      </c>
      <c r="X23" s="2">
        <f t="shared" ca="1" si="1"/>
        <v>45136</v>
      </c>
      <c r="Y23">
        <f t="shared" ca="1" si="2"/>
        <v>0</v>
      </c>
      <c r="AA23" s="63">
        <f t="shared" ca="1" si="4"/>
        <v>49.203158290531526</v>
      </c>
      <c r="AB23" s="63">
        <f t="shared" ca="1" si="5"/>
        <v>49.203158290531526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45137</v>
      </c>
      <c r="K24">
        <f ca="1"/>
        <v>49.174000328139101</v>
      </c>
      <c r="L24">
        <f ca="1"/>
        <v>0</v>
      </c>
      <c r="M24">
        <f ca="1"/>
        <v>-0.19090111586064662</v>
      </c>
      <c r="N24" s="4">
        <f ca="1"/>
        <v>0.16174315346822576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0.57346765202857186</v>
      </c>
      <c r="T24">
        <f ca="1"/>
        <v>0</v>
      </c>
      <c r="U24">
        <f ca="1"/>
        <v>0</v>
      </c>
      <c r="V24">
        <f ca="1"/>
        <v>0</v>
      </c>
      <c r="X24" s="2">
        <f t="shared" ca="1" si="1"/>
        <v>45137</v>
      </c>
      <c r="Y24">
        <f t="shared" ca="1" si="2"/>
        <v>0</v>
      </c>
      <c r="AA24" s="63">
        <f t="shared" ca="1" si="4"/>
        <v>49.174000328139101</v>
      </c>
      <c r="AB24" s="63">
        <f t="shared" ca="1" si="5"/>
        <v>49.174000328139101</v>
      </c>
      <c r="AC24" s="3">
        <f t="shared" ca="1" si="6"/>
        <v>0</v>
      </c>
    </row>
    <row r="25" spans="1:29">
      <c r="A25" s="6" t="s">
        <v>117</v>
      </c>
      <c r="B25" s="34">
        <f>PriorHarvestDate</f>
        <v>45124</v>
      </c>
      <c r="H25" t="b">
        <f t="shared" ca="1" si="3"/>
        <v>1</v>
      </c>
      <c r="I25" t="b">
        <f t="shared" ca="1" si="0"/>
        <v>1</v>
      </c>
      <c r="J25" s="2">
        <f ca="1"/>
        <v>45138</v>
      </c>
      <c r="K25">
        <f ca="1"/>
        <v>49.151589140748321</v>
      </c>
      <c r="L25">
        <f ca="1"/>
        <v>0</v>
      </c>
      <c r="M25">
        <f ca="1"/>
        <v>-0.19000984249795971</v>
      </c>
      <c r="N25" s="4">
        <f ca="1"/>
        <v>0.16759865510717889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0.57133996668693154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45138</v>
      </c>
      <c r="Y25">
        <f t="shared" ca="1" si="2"/>
        <v>0</v>
      </c>
      <c r="AA25" s="63">
        <f t="shared" ca="1" si="4"/>
        <v>49.151589140748321</v>
      </c>
      <c r="AB25" s="63">
        <f t="shared" ca="1" si="5"/>
        <v>49.151589140748321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45139</v>
      </c>
      <c r="K26">
        <f ca="1"/>
        <v>49.139697878701917</v>
      </c>
      <c r="L26">
        <f ca="1"/>
        <v>0</v>
      </c>
      <c r="M26">
        <f ca="1"/>
        <v>-0.18729615340390016</v>
      </c>
      <c r="N26" s="4">
        <f ca="1"/>
        <v>0.17540489135749748</v>
      </c>
      <c r="O26">
        <f ca="1"/>
        <v>0</v>
      </c>
      <c r="P26">
        <f ca="1"/>
        <v>0</v>
      </c>
      <c r="Q26">
        <f ca="1"/>
        <v>0</v>
      </c>
      <c r="R26">
        <f ca="1"/>
        <v>0</v>
      </c>
      <c r="S26">
        <f ca="1"/>
        <v>0.58758594543942511</v>
      </c>
      <c r="T26">
        <f ca="1"/>
        <v>0</v>
      </c>
      <c r="U26">
        <f ca="1"/>
        <v>0</v>
      </c>
      <c r="V26">
        <f ca="1"/>
        <v>0</v>
      </c>
      <c r="X26" s="2">
        <f t="shared" ca="1" si="1"/>
        <v>45139</v>
      </c>
      <c r="Y26">
        <f t="shared" ca="1" si="2"/>
        <v>0</v>
      </c>
      <c r="AA26" s="63">
        <f t="shared" ca="1" si="4"/>
        <v>49.139697878701917</v>
      </c>
      <c r="AB26" s="63">
        <f t="shared" ca="1" si="5"/>
        <v>49.139697878701917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45140</v>
      </c>
      <c r="K27">
        <f ca="1"/>
        <v>49.134058718394925</v>
      </c>
      <c r="L27">
        <f ca="1"/>
        <v>0</v>
      </c>
      <c r="M27">
        <f ca="1"/>
        <v>-0.17844299763655913</v>
      </c>
      <c r="N27" s="4">
        <f ca="1"/>
        <v>0.17280383732956844</v>
      </c>
      <c r="O27">
        <f ca="1"/>
        <v>0</v>
      </c>
      <c r="P27">
        <f ca="1"/>
        <v>0</v>
      </c>
      <c r="Q27">
        <f ca="1"/>
        <v>0</v>
      </c>
      <c r="R27">
        <f ca="1"/>
        <v>0</v>
      </c>
      <c r="S27">
        <f ca="1"/>
        <v>0.59837752363176699</v>
      </c>
      <c r="T27">
        <f ca="1"/>
        <v>0</v>
      </c>
      <c r="U27">
        <f ca="1"/>
        <v>0</v>
      </c>
      <c r="V27">
        <f ca="1"/>
        <v>0</v>
      </c>
      <c r="X27" s="2">
        <f t="shared" ca="1" si="1"/>
        <v>45140</v>
      </c>
      <c r="Y27">
        <f t="shared" ca="1" si="2"/>
        <v>0</v>
      </c>
      <c r="AA27" s="63">
        <f t="shared" ca="1" si="4"/>
        <v>49.134058718394925</v>
      </c>
      <c r="AB27" s="63">
        <f t="shared" ca="1" si="5"/>
        <v>49.134058718394925</v>
      </c>
      <c r="AC27" s="3">
        <f t="shared" ca="1" si="6"/>
        <v>0</v>
      </c>
    </row>
    <row r="28" spans="1:29" ht="1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45141</v>
      </c>
      <c r="K28">
        <f ca="1"/>
        <v>49.131066896648093</v>
      </c>
      <c r="L28">
        <f ca="1"/>
        <v>0</v>
      </c>
      <c r="M28">
        <f ca="1"/>
        <v>-0.16892340261822136</v>
      </c>
      <c r="N28" s="4">
        <f ca="1"/>
        <v>0.16593158087138449</v>
      </c>
      <c r="O28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0.59845301936790296</v>
      </c>
      <c r="T28">
        <f ca="1"/>
        <v>0</v>
      </c>
      <c r="U28">
        <f ca="1"/>
        <v>0</v>
      </c>
      <c r="V28">
        <f ca="1"/>
        <v>0</v>
      </c>
      <c r="X28" s="2">
        <f t="shared" ca="1" si="1"/>
        <v>45141</v>
      </c>
      <c r="Y28">
        <f t="shared" ca="1" si="2"/>
        <v>0</v>
      </c>
      <c r="AA28" s="63">
        <f t="shared" ca="1" si="4"/>
        <v>49.131066896648093</v>
      </c>
      <c r="AB28" s="63">
        <f t="shared" ca="1" si="5"/>
        <v>49.131066896648093</v>
      </c>
      <c r="AC28" s="3">
        <f t="shared" ca="1" si="6"/>
        <v>0</v>
      </c>
    </row>
    <row r="29" spans="1:29" ht="15" thickBot="1">
      <c r="A29" s="8" t="s">
        <v>140</v>
      </c>
      <c r="B29" s="11" t="str">
        <f>CurrentCropNameFull</f>
        <v>Sweetcorn Vegetable General</v>
      </c>
      <c r="H29" t="b">
        <f t="shared" ca="1" si="3"/>
        <v>1</v>
      </c>
      <c r="I29" t="b">
        <f t="shared" ca="1" si="0"/>
        <v>1</v>
      </c>
      <c r="J29" s="2">
        <f ca="1"/>
        <v>45142</v>
      </c>
      <c r="K29">
        <f ca="1"/>
        <v>49.138918908062649</v>
      </c>
      <c r="L29">
        <f ca="1"/>
        <v>0</v>
      </c>
      <c r="M29">
        <f ca="1"/>
        <v>-0.16899890761104208</v>
      </c>
      <c r="N29" s="4">
        <f ca="1"/>
        <v>0.17685091902559386</v>
      </c>
      <c r="O29">
        <f ca="1"/>
        <v>0</v>
      </c>
      <c r="P29">
        <f ca="1"/>
        <v>0</v>
      </c>
      <c r="Q29">
        <f ca="1"/>
        <v>0</v>
      </c>
      <c r="R29">
        <f ca="1"/>
        <v>0</v>
      </c>
      <c r="S29">
        <f ca="1"/>
        <v>0.61082474073914383</v>
      </c>
      <c r="T29">
        <f ca="1"/>
        <v>0</v>
      </c>
      <c r="U29">
        <f ca="1"/>
        <v>0</v>
      </c>
      <c r="V29">
        <f ca="1"/>
        <v>0</v>
      </c>
      <c r="X29" s="2">
        <f t="shared" ca="1" si="1"/>
        <v>45142</v>
      </c>
      <c r="Y29">
        <f t="shared" ca="1" si="2"/>
        <v>0</v>
      </c>
      <c r="AA29" s="63">
        <f t="shared" ca="1" si="4"/>
        <v>49.138918908062649</v>
      </c>
      <c r="AB29" s="63">
        <f t="shared" ca="1" si="5"/>
        <v>49.138918908062649</v>
      </c>
      <c r="AC29" s="3">
        <f t="shared" ca="1" si="6"/>
        <v>0</v>
      </c>
    </row>
    <row r="30" spans="1:29">
      <c r="A30" s="9" t="s">
        <v>236</v>
      </c>
      <c r="B30" s="11">
        <f>CurrentYield</f>
        <v>22</v>
      </c>
      <c r="H30" t="b">
        <f t="shared" ca="1" si="3"/>
        <v>1</v>
      </c>
      <c r="I30" t="b">
        <f t="shared" ca="1" si="0"/>
        <v>1</v>
      </c>
      <c r="J30" s="2">
        <f ca="1"/>
        <v>45143</v>
      </c>
      <c r="K30">
        <f ca="1"/>
        <v>49.156790613946441</v>
      </c>
      <c r="L30">
        <f ca="1"/>
        <v>0</v>
      </c>
      <c r="M30">
        <f ca="1"/>
        <v>-0.16593096168310106</v>
      </c>
      <c r="N30" s="4">
        <f ca="1"/>
        <v>0.18380266756689737</v>
      </c>
      <c r="O30">
        <f ca="1"/>
        <v>0</v>
      </c>
      <c r="P30">
        <f ca="1"/>
        <v>0</v>
      </c>
      <c r="Q30">
        <f ca="1"/>
        <v>0</v>
      </c>
      <c r="R30">
        <f ca="1"/>
        <v>0</v>
      </c>
      <c r="S30">
        <f ca="1"/>
        <v>0.62588440095866837</v>
      </c>
      <c r="T30">
        <f ca="1"/>
        <v>0</v>
      </c>
      <c r="U30">
        <f ca="1"/>
        <v>0</v>
      </c>
      <c r="V30">
        <f ca="1"/>
        <v>0</v>
      </c>
      <c r="X30" s="2">
        <f t="shared" ca="1" si="1"/>
        <v>45143</v>
      </c>
      <c r="Y30">
        <f t="shared" ca="1" si="2"/>
        <v>0</v>
      </c>
      <c r="AA30" s="63">
        <f t="shared" ca="1" si="4"/>
        <v>49.156790613946441</v>
      </c>
      <c r="AB30" s="63">
        <f t="shared" ca="1" si="5"/>
        <v>49.156790613946441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45144</v>
      </c>
      <c r="K31">
        <f ca="1"/>
        <v>49.178936278754243</v>
      </c>
      <c r="L31">
        <f ca="1"/>
        <v>0</v>
      </c>
      <c r="M31">
        <f ca="1"/>
        <v>-0.16195145018485224</v>
      </c>
      <c r="N31" s="4">
        <f ca="1"/>
        <v>0.18409711499265277</v>
      </c>
      <c r="O31">
        <f ca="1"/>
        <v>0</v>
      </c>
      <c r="P31">
        <f ca="1"/>
        <v>0</v>
      </c>
      <c r="Q31">
        <f ca="1"/>
        <v>0</v>
      </c>
      <c r="R31">
        <f ca="1"/>
        <v>0</v>
      </c>
      <c r="S31">
        <f ca="1"/>
        <v>0.61979501945055726</v>
      </c>
      <c r="T31">
        <f ca="1"/>
        <v>0</v>
      </c>
      <c r="U31">
        <f ca="1"/>
        <v>0</v>
      </c>
      <c r="V31">
        <f ca="1"/>
        <v>0</v>
      </c>
      <c r="X31" s="2">
        <f t="shared" ca="1" si="1"/>
        <v>45144</v>
      </c>
      <c r="Y31">
        <f t="shared" ca="1" si="2"/>
        <v>0</v>
      </c>
      <c r="AA31" s="63">
        <f t="shared" ca="1" si="4"/>
        <v>49.178936278754243</v>
      </c>
      <c r="AB31" s="63">
        <f t="shared" ca="1" si="5"/>
        <v>49.178936278754243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45145</v>
      </c>
      <c r="K32">
        <f ca="1"/>
        <v>49.21876506484606</v>
      </c>
      <c r="L32">
        <f ca="1"/>
        <v>0</v>
      </c>
      <c r="M32">
        <f ca="1"/>
        <v>-0.1584465350683133</v>
      </c>
      <c r="N32" s="4">
        <f ca="1"/>
        <v>0.19827532116013433</v>
      </c>
      <c r="O32">
        <f ca="1"/>
        <v>0</v>
      </c>
      <c r="P32">
        <f ca="1"/>
        <v>0</v>
      </c>
      <c r="Q32">
        <f ca="1"/>
        <v>0</v>
      </c>
      <c r="R32">
        <f ca="1"/>
        <v>0</v>
      </c>
      <c r="S32">
        <f ca="1"/>
        <v>0.66494153001417122</v>
      </c>
      <c r="T32">
        <f ca="1"/>
        <v>0</v>
      </c>
      <c r="U32">
        <f ca="1"/>
        <v>0</v>
      </c>
      <c r="V32">
        <f ca="1"/>
        <v>0</v>
      </c>
      <c r="X32" s="2">
        <f t="shared" ca="1" si="1"/>
        <v>45145</v>
      </c>
      <c r="Y32">
        <f t="shared" ca="1" si="2"/>
        <v>0</v>
      </c>
      <c r="AA32" s="63">
        <f t="shared" ca="1" si="4"/>
        <v>49.21876506484606</v>
      </c>
      <c r="AB32" s="63">
        <f t="shared" ca="1" si="5"/>
        <v>49.21876506484606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45146</v>
      </c>
      <c r="K33">
        <f ca="1"/>
        <v>49.270885649319816</v>
      </c>
      <c r="L33">
        <f ca="1"/>
        <v>0</v>
      </c>
      <c r="M33">
        <f ca="1"/>
        <v>-0.15088142892720668</v>
      </c>
      <c r="N33" s="4">
        <f ca="1"/>
        <v>0.20300201340095922</v>
      </c>
      <c r="O33">
        <f ca="1"/>
        <v>0</v>
      </c>
      <c r="P33">
        <f ca="1"/>
        <v>0</v>
      </c>
      <c r="Q33">
        <f ca="1"/>
        <v>0</v>
      </c>
      <c r="R33">
        <f ca="1"/>
        <v>0</v>
      </c>
      <c r="S33">
        <f ca="1"/>
        <v>0.70376191091001616</v>
      </c>
      <c r="T33">
        <f ca="1"/>
        <v>0</v>
      </c>
      <c r="U33">
        <f ca="1"/>
        <v>0</v>
      </c>
      <c r="V33">
        <f ca="1"/>
        <v>0</v>
      </c>
      <c r="X33" s="2">
        <f t="shared" ca="1" si="1"/>
        <v>45146</v>
      </c>
      <c r="Y33">
        <f t="shared" ca="1" si="2"/>
        <v>0</v>
      </c>
      <c r="AA33" s="63">
        <f t="shared" ca="1" si="4"/>
        <v>49.270885649319816</v>
      </c>
      <c r="AB33" s="63">
        <f t="shared" ca="1" si="5"/>
        <v>49.270885649319816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45147</v>
      </c>
      <c r="K34">
        <f ca="1"/>
        <v>49.321808077851053</v>
      </c>
      <c r="L34">
        <f ca="1"/>
        <v>0</v>
      </c>
      <c r="M34">
        <f ca="1"/>
        <v>-0.13948137505803082</v>
      </c>
      <c r="N34" s="4">
        <f ca="1"/>
        <v>0.19040380358927317</v>
      </c>
      <c r="O34">
        <f ca="1"/>
        <v>0</v>
      </c>
      <c r="P34">
        <f ca="1"/>
        <v>0</v>
      </c>
      <c r="Q34">
        <f ca="1"/>
        <v>0</v>
      </c>
      <c r="R34">
        <f ca="1"/>
        <v>0</v>
      </c>
      <c r="S34">
        <f ca="1"/>
        <v>0.71343797776318973</v>
      </c>
      <c r="T34">
        <f ca="1"/>
        <v>0</v>
      </c>
      <c r="U34">
        <f ca="1"/>
        <v>0</v>
      </c>
      <c r="V34">
        <f ca="1"/>
        <v>0</v>
      </c>
      <c r="X34" s="2">
        <f t="shared" ca="1" si="1"/>
        <v>45147</v>
      </c>
      <c r="Y34">
        <f t="shared" ca="1" si="2"/>
        <v>0</v>
      </c>
      <c r="AA34" s="63">
        <f t="shared" ca="1" si="4"/>
        <v>49.321808077851053</v>
      </c>
      <c r="AB34" s="63">
        <f t="shared" ca="1" si="5"/>
        <v>49.321808077851053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78</v>
      </c>
      <c r="H35" t="b">
        <f t="shared" ca="1" si="3"/>
        <v>1</v>
      </c>
      <c r="I35" t="b">
        <f t="shared" ca="1" si="0"/>
        <v>1</v>
      </c>
      <c r="J35" s="2">
        <f ca="1"/>
        <v>45148</v>
      </c>
      <c r="K35">
        <f ca="1"/>
        <v>49.384241831650684</v>
      </c>
      <c r="L35">
        <f ca="1"/>
        <v>0</v>
      </c>
      <c r="M35">
        <f ca="1"/>
        <v>-0.13956399266717412</v>
      </c>
      <c r="N35" s="4">
        <f ca="1"/>
        <v>0.20199774646681096</v>
      </c>
      <c r="O35">
        <f ca="1"/>
        <v>0</v>
      </c>
      <c r="P35">
        <f ca="1"/>
        <v>0</v>
      </c>
      <c r="Q35">
        <f ca="1"/>
        <v>0</v>
      </c>
      <c r="R35">
        <f ca="1"/>
        <v>0</v>
      </c>
      <c r="S35">
        <f ca="1"/>
        <v>0.72139693501872004</v>
      </c>
      <c r="T35">
        <f ca="1"/>
        <v>0</v>
      </c>
      <c r="U35">
        <f ca="1"/>
        <v>0</v>
      </c>
      <c r="V35">
        <f ca="1"/>
        <v>0</v>
      </c>
      <c r="X35" s="2">
        <f t="shared" ca="1" si="1"/>
        <v>45148</v>
      </c>
      <c r="Y35">
        <f t="shared" ca="1" si="2"/>
        <v>0</v>
      </c>
      <c r="AA35" s="63">
        <f t="shared" ca="1" si="4"/>
        <v>49.384241831650691</v>
      </c>
      <c r="AB35" s="63">
        <f t="shared" ca="1" si="5"/>
        <v>49.384241831650684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45166</v>
      </c>
      <c r="H36" t="b">
        <f t="shared" ca="1" si="3"/>
        <v>1</v>
      </c>
      <c r="I36" t="b">
        <f t="shared" ca="1" si="0"/>
        <v>1</v>
      </c>
      <c r="J36" s="2">
        <f ca="1"/>
        <v>45149</v>
      </c>
      <c r="K36">
        <f ca="1"/>
        <v>49.459483548105979</v>
      </c>
      <c r="L36">
        <f ca="1"/>
        <v>0</v>
      </c>
      <c r="M36">
        <f ca="1"/>
        <v>-0.13949598835275268</v>
      </c>
      <c r="N36" s="4">
        <f ca="1"/>
        <v>0.21473770480804089</v>
      </c>
      <c r="O36">
        <f ca="1"/>
        <v>0</v>
      </c>
      <c r="P36">
        <f ca="1"/>
        <v>0</v>
      </c>
      <c r="Q36">
        <f ca="1"/>
        <v>0</v>
      </c>
      <c r="R36">
        <f ca="1"/>
        <v>0</v>
      </c>
      <c r="S36">
        <f ca="1"/>
        <v>0.73152212899784363</v>
      </c>
      <c r="T36">
        <f ca="1"/>
        <v>0</v>
      </c>
      <c r="U36">
        <f ca="1"/>
        <v>0</v>
      </c>
      <c r="V36">
        <f ca="1"/>
        <v>0</v>
      </c>
      <c r="X36" s="2">
        <f t="shared" ca="1" si="1"/>
        <v>45149</v>
      </c>
      <c r="Y36">
        <f t="shared" ca="1" si="2"/>
        <v>0</v>
      </c>
      <c r="AA36" s="63">
        <f t="shared" ca="1" si="4"/>
        <v>49.459483548105979</v>
      </c>
      <c r="AB36" s="63">
        <f t="shared" ca="1" si="5"/>
        <v>49.459483548105979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45150</v>
      </c>
      <c r="K37">
        <f ca="1"/>
        <v>49.542293738704984</v>
      </c>
      <c r="L37">
        <f ca="1"/>
        <v>0</v>
      </c>
      <c r="M37">
        <f ca="1"/>
        <v>-0.1372906377116685</v>
      </c>
      <c r="N37" s="4">
        <f ca="1"/>
        <v>0.22010082831067501</v>
      </c>
      <c r="O37">
        <f ca="1"/>
        <v>0</v>
      </c>
      <c r="P37">
        <f ca="1"/>
        <v>0</v>
      </c>
      <c r="Q37">
        <f ca="1"/>
        <v>0</v>
      </c>
      <c r="R37">
        <f ca="1"/>
        <v>0</v>
      </c>
      <c r="S37">
        <f ca="1"/>
        <v>0.73152775322827945</v>
      </c>
      <c r="T37">
        <f ca="1"/>
        <v>0</v>
      </c>
      <c r="U37">
        <f ca="1"/>
        <v>0</v>
      </c>
      <c r="V37">
        <f ca="1"/>
        <v>0</v>
      </c>
      <c r="X37" s="2">
        <f t="shared" ca="1" si="1"/>
        <v>45150</v>
      </c>
      <c r="Y37">
        <f t="shared" ca="1" si="2"/>
        <v>0</v>
      </c>
      <c r="AA37" s="63">
        <f t="shared" ca="1" si="4"/>
        <v>49.542293738704984</v>
      </c>
      <c r="AB37" s="63">
        <f t="shared" ca="1" si="5"/>
        <v>49.542293738704984</v>
      </c>
      <c r="AC37" s="3">
        <f t="shared" ca="1" si="6"/>
        <v>0</v>
      </c>
    </row>
    <row r="38" spans="1:29">
      <c r="A38" s="9" t="s">
        <v>124</v>
      </c>
      <c r="B38" s="36">
        <f ca="1">CurrentHarvestDate</f>
        <v>45291</v>
      </c>
      <c r="H38" t="b">
        <f t="shared" ca="1" si="3"/>
        <v>1</v>
      </c>
      <c r="I38" t="b">
        <f t="shared" ca="1" si="0"/>
        <v>1</v>
      </c>
      <c r="J38" s="2">
        <f ca="1"/>
        <v>45151</v>
      </c>
      <c r="K38">
        <f ca="1"/>
        <v>49.629189416359971</v>
      </c>
      <c r="L38">
        <f ca="1"/>
        <v>0</v>
      </c>
      <c r="M38">
        <f ca="1"/>
        <v>-0.13023351623282764</v>
      </c>
      <c r="N38" s="4">
        <f ca="1"/>
        <v>0.21712919388781463</v>
      </c>
      <c r="O38">
        <f ca="1"/>
        <v>0</v>
      </c>
      <c r="P38">
        <f ca="1"/>
        <v>0</v>
      </c>
      <c r="Q38">
        <f ca="1"/>
        <v>0</v>
      </c>
      <c r="R38">
        <f ca="1"/>
        <v>0</v>
      </c>
      <c r="S38">
        <f ca="1"/>
        <v>0.74563464701434179</v>
      </c>
      <c r="T38">
        <f ca="1"/>
        <v>0</v>
      </c>
      <c r="U38">
        <f ca="1"/>
        <v>0</v>
      </c>
      <c r="V38">
        <f ca="1"/>
        <v>0</v>
      </c>
      <c r="X38" s="2">
        <f t="shared" ca="1" si="1"/>
        <v>45151</v>
      </c>
      <c r="Y38">
        <f t="shared" ca="1" si="2"/>
        <v>0</v>
      </c>
      <c r="AA38" s="63">
        <f t="shared" ca="1" si="4"/>
        <v>49.629189416359971</v>
      </c>
      <c r="AB38" s="63">
        <f t="shared" ca="1" si="5"/>
        <v>49.629189416359971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MidReproductive</v>
      </c>
      <c r="H39" t="b">
        <f t="shared" ca="1" si="3"/>
        <v>1</v>
      </c>
      <c r="I39" t="b">
        <f t="shared" ca="1" si="0"/>
        <v>1</v>
      </c>
      <c r="J39" s="2">
        <f ca="1"/>
        <v>45152</v>
      </c>
      <c r="K39">
        <f ca="1"/>
        <v>49.723449465007334</v>
      </c>
      <c r="L39">
        <f ca="1"/>
        <v>0</v>
      </c>
      <c r="M39">
        <f ca="1"/>
        <v>-0.12512653326736256</v>
      </c>
      <c r="N39" s="4">
        <f ca="1"/>
        <v>0.21938658191472585</v>
      </c>
      <c r="O39">
        <f ca="1"/>
        <v>0</v>
      </c>
      <c r="P39">
        <f ca="1"/>
        <v>0</v>
      </c>
      <c r="Q39">
        <f ca="1"/>
        <v>0</v>
      </c>
      <c r="R39">
        <f ca="1"/>
        <v>0</v>
      </c>
      <c r="S39">
        <f ca="1"/>
        <v>0.76336305058871046</v>
      </c>
      <c r="T39">
        <f ca="1"/>
        <v>0</v>
      </c>
      <c r="U39">
        <f ca="1"/>
        <v>0</v>
      </c>
      <c r="V39">
        <f ca="1"/>
        <v>0</v>
      </c>
      <c r="X39" s="2">
        <f t="shared" ca="1" si="1"/>
        <v>45152</v>
      </c>
      <c r="Y39">
        <f t="shared" ca="1" si="2"/>
        <v>0</v>
      </c>
      <c r="AA39" s="63">
        <f t="shared" ca="1" si="4"/>
        <v>49.723449465007334</v>
      </c>
      <c r="AB39" s="63">
        <f t="shared" ca="1" si="5"/>
        <v>49.723449465007334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45153</v>
      </c>
      <c r="K40">
        <f ca="1"/>
        <v>49.820191490573613</v>
      </c>
      <c r="L40">
        <f ca="1"/>
        <v>0</v>
      </c>
      <c r="M40">
        <f ca="1"/>
        <v>-0.11827737443549413</v>
      </c>
      <c r="N40" s="4">
        <f ca="1"/>
        <v>0.2150194000017723</v>
      </c>
      <c r="O40">
        <f ca="1"/>
        <v>0</v>
      </c>
      <c r="P40">
        <f ca="1"/>
        <v>0</v>
      </c>
      <c r="Q40">
        <f ca="1"/>
        <v>0</v>
      </c>
      <c r="R40">
        <f ca="1"/>
        <v>0</v>
      </c>
      <c r="S40">
        <f ca="1"/>
        <v>0.7780010314503516</v>
      </c>
      <c r="T40">
        <f ca="1"/>
        <v>0</v>
      </c>
      <c r="U40">
        <f ca="1"/>
        <v>0</v>
      </c>
      <c r="V40">
        <f ca="1"/>
        <v>0</v>
      </c>
      <c r="X40" s="2">
        <f t="shared" ca="1" si="1"/>
        <v>45153</v>
      </c>
      <c r="Y40">
        <f t="shared" ca="1" si="2"/>
        <v>0</v>
      </c>
      <c r="AA40" s="63">
        <f t="shared" ca="1" si="4"/>
        <v>49.820191490573613</v>
      </c>
      <c r="AB40" s="63">
        <f t="shared" ca="1" si="5"/>
        <v>49.820191490573613</v>
      </c>
      <c r="AC40" s="3">
        <f t="shared" ca="1" si="6"/>
        <v>0</v>
      </c>
    </row>
    <row r="41" spans="1:29" ht="1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45154</v>
      </c>
      <c r="K41">
        <f ca="1"/>
        <v>49.927952090448905</v>
      </c>
      <c r="L41">
        <f ca="1"/>
        <v>0</v>
      </c>
      <c r="M41">
        <f ca="1"/>
        <v>-0.11646657402963712</v>
      </c>
      <c r="N41">
        <f ca="1"/>
        <v>0.22422717390492586</v>
      </c>
      <c r="O41">
        <f ca="1"/>
        <v>0</v>
      </c>
      <c r="P41">
        <f ca="1"/>
        <v>0</v>
      </c>
      <c r="Q41">
        <f ca="1"/>
        <v>0</v>
      </c>
      <c r="R41">
        <f ca="1"/>
        <v>0</v>
      </c>
      <c r="S41">
        <f ca="1"/>
        <v>0.79081285044859984</v>
      </c>
      <c r="T41">
        <f ca="1"/>
        <v>0</v>
      </c>
      <c r="U41">
        <f ca="1"/>
        <v>0</v>
      </c>
      <c r="V41">
        <f ca="1"/>
        <v>0</v>
      </c>
      <c r="X41" s="2">
        <f t="shared" ca="1" si="1"/>
        <v>45154</v>
      </c>
      <c r="Y41">
        <f t="shared" ca="1" si="2"/>
        <v>0</v>
      </c>
      <c r="AA41" s="63">
        <f t="shared" ca="1" si="4"/>
        <v>49.927952090448905</v>
      </c>
      <c r="AB41" s="63">
        <f t="shared" ca="1" si="5"/>
        <v>49.927952090448905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Oat Fodder General</v>
      </c>
      <c r="H42" t="b">
        <f t="shared" ca="1" si="3"/>
        <v>1</v>
      </c>
      <c r="I42" t="b">
        <f t="shared" ca="1" si="0"/>
        <v>1</v>
      </c>
      <c r="J42" s="2">
        <f ca="1"/>
        <v>45155</v>
      </c>
      <c r="K42">
        <f ca="1"/>
        <v>50.054769564913883</v>
      </c>
      <c r="L42">
        <f ca="1"/>
        <v>0</v>
      </c>
      <c r="M42">
        <f ca="1"/>
        <v>-0.11713246984557024</v>
      </c>
      <c r="N42">
        <f ca="1"/>
        <v>0.24394994431055042</v>
      </c>
      <c r="O42">
        <f ca="1"/>
        <v>0</v>
      </c>
      <c r="P42">
        <f ca="1"/>
        <v>0</v>
      </c>
      <c r="Q42">
        <f ca="1"/>
        <v>0</v>
      </c>
      <c r="R42">
        <f ca="1"/>
        <v>0</v>
      </c>
      <c r="S42">
        <f ca="1"/>
        <v>0.80997774591479565</v>
      </c>
      <c r="T42">
        <f ca="1"/>
        <v>0</v>
      </c>
      <c r="U42">
        <f ca="1"/>
        <v>0</v>
      </c>
      <c r="V42">
        <f ca="1"/>
        <v>0</v>
      </c>
      <c r="X42" s="2">
        <f t="shared" ca="1" si="1"/>
        <v>45155</v>
      </c>
      <c r="Y42">
        <f t="shared" ca="1" si="2"/>
        <v>0</v>
      </c>
      <c r="AA42" s="63">
        <f t="shared" ca="1" si="4"/>
        <v>50.054769564913883</v>
      </c>
      <c r="AB42" s="63">
        <f t="shared" ca="1" si="5"/>
        <v>50.054769564913883</v>
      </c>
      <c r="AC42" s="3">
        <f t="shared" ca="1" si="6"/>
        <v>0</v>
      </c>
    </row>
    <row r="43" spans="1:29">
      <c r="A43" s="6" t="s">
        <v>237</v>
      </c>
      <c r="B43" s="32">
        <f>FollowingYIeld</f>
        <v>10</v>
      </c>
      <c r="H43" t="b">
        <f t="shared" ca="1" si="3"/>
        <v>1</v>
      </c>
      <c r="I43" t="b">
        <f t="shared" ca="1" si="0"/>
        <v>1</v>
      </c>
      <c r="J43" s="2">
        <f ca="1"/>
        <v>45156</v>
      </c>
      <c r="K43">
        <f ca="1"/>
        <v>50.193246156212297</v>
      </c>
      <c r="L43">
        <f ca="1"/>
        <v>0</v>
      </c>
      <c r="M43">
        <f ca="1"/>
        <v>-0.11376668871565965</v>
      </c>
      <c r="N43">
        <f ca="1"/>
        <v>0.25224328001407187</v>
      </c>
      <c r="O43">
        <f ca="1"/>
        <v>0</v>
      </c>
      <c r="P43">
        <f ca="1"/>
        <v>0</v>
      </c>
      <c r="Q43">
        <f ca="1"/>
        <v>0</v>
      </c>
      <c r="R43">
        <f ca="1"/>
        <v>0</v>
      </c>
      <c r="S43">
        <f ca="1"/>
        <v>0.83081917076260003</v>
      </c>
      <c r="T43">
        <f ca="1"/>
        <v>0</v>
      </c>
      <c r="U43">
        <f ca="1"/>
        <v>0</v>
      </c>
      <c r="V43">
        <f ca="1"/>
        <v>0</v>
      </c>
      <c r="X43" s="2">
        <f t="shared" ca="1" si="1"/>
        <v>45156</v>
      </c>
      <c r="Y43">
        <f t="shared" ca="1" si="2"/>
        <v>0</v>
      </c>
      <c r="AA43" s="63">
        <f t="shared" ca="1" si="4"/>
        <v>50.193246156212297</v>
      </c>
      <c r="AB43" s="63">
        <f t="shared" ca="1" si="5"/>
        <v>50.193246156212297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45157</v>
      </c>
      <c r="K44">
        <f ca="1"/>
        <v>50.333172841798721</v>
      </c>
      <c r="L44">
        <f ca="1"/>
        <v>0</v>
      </c>
      <c r="M44">
        <f ca="1"/>
        <v>-0.10792826876487016</v>
      </c>
      <c r="N44">
        <f ca="1"/>
        <v>0.24785495435130009</v>
      </c>
      <c r="O44">
        <f ca="1"/>
        <v>0</v>
      </c>
      <c r="P44">
        <f ca="1"/>
        <v>0</v>
      </c>
      <c r="Q44">
        <f ca="1"/>
        <v>0</v>
      </c>
      <c r="R44">
        <f ca="1"/>
        <v>0</v>
      </c>
      <c r="S44">
        <f ca="1"/>
        <v>0.8404414099756452</v>
      </c>
      <c r="T44">
        <f ca="1"/>
        <v>0</v>
      </c>
      <c r="U44">
        <f ca="1"/>
        <v>0</v>
      </c>
      <c r="V44">
        <f ca="1"/>
        <v>0</v>
      </c>
      <c r="X44" s="2">
        <f t="shared" ca="1" si="1"/>
        <v>45157</v>
      </c>
      <c r="Y44">
        <f t="shared" ca="1" si="2"/>
        <v>0</v>
      </c>
      <c r="AA44" s="63">
        <f t="shared" ca="1" si="4"/>
        <v>50.333172841798721</v>
      </c>
      <c r="AB44" s="63">
        <f t="shared" ca="1" si="5"/>
        <v>50.333172841798721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45158</v>
      </c>
      <c r="K45">
        <f ca="1"/>
        <v>50.475868152723542</v>
      </c>
      <c r="L45">
        <f ca="1"/>
        <v>0</v>
      </c>
      <c r="M45">
        <f ca="1"/>
        <v>-0.10476414420373725</v>
      </c>
      <c r="N45">
        <f ca="1"/>
        <v>0.24745945512855461</v>
      </c>
      <c r="O45">
        <f ca="1"/>
        <v>0</v>
      </c>
      <c r="P45">
        <f ca="1"/>
        <v>0</v>
      </c>
      <c r="Q45">
        <f ca="1"/>
        <v>0</v>
      </c>
      <c r="R45">
        <f ca="1"/>
        <v>0</v>
      </c>
      <c r="S45">
        <f ca="1"/>
        <v>0.83504093892648867</v>
      </c>
      <c r="T45">
        <f ca="1"/>
        <v>0</v>
      </c>
      <c r="U45">
        <f ca="1"/>
        <v>0</v>
      </c>
      <c r="V45">
        <f ca="1"/>
        <v>0</v>
      </c>
      <c r="X45" s="2">
        <f t="shared" ca="1" si="1"/>
        <v>45158</v>
      </c>
      <c r="Y45">
        <f t="shared" ca="1" si="2"/>
        <v>0</v>
      </c>
      <c r="AA45" s="63">
        <f t="shared" ca="1" si="4"/>
        <v>50.475868152723542</v>
      </c>
      <c r="AB45" s="63">
        <f t="shared" ca="1" si="5"/>
        <v>50.475868152723542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45159</v>
      </c>
      <c r="K46">
        <f ca="1"/>
        <v>50.623725974780712</v>
      </c>
      <c r="L46">
        <f ca="1"/>
        <v>0</v>
      </c>
      <c r="M46">
        <f ca="1"/>
        <v>-9.9194292664115835E-2</v>
      </c>
      <c r="N46">
        <f ca="1"/>
        <v>0.24705211472128635</v>
      </c>
      <c r="O46">
        <f ca="1"/>
        <v>0</v>
      </c>
      <c r="P46">
        <f ca="1"/>
        <v>0</v>
      </c>
      <c r="Q46">
        <f ca="1"/>
        <v>0</v>
      </c>
      <c r="R46">
        <f ca="1"/>
        <v>0</v>
      </c>
      <c r="S46">
        <f ca="1"/>
        <v>0.85977018292013996</v>
      </c>
      <c r="T46">
        <f ca="1"/>
        <v>0</v>
      </c>
      <c r="U46">
        <f ca="1"/>
        <v>0</v>
      </c>
      <c r="V46">
        <f ca="1"/>
        <v>0</v>
      </c>
      <c r="X46" s="2">
        <f t="shared" ca="1" si="1"/>
        <v>45159</v>
      </c>
      <c r="Y46">
        <f t="shared" ca="1" si="2"/>
        <v>0</v>
      </c>
      <c r="AA46" s="63">
        <f t="shared" ca="1" si="4"/>
        <v>50.623725974780712</v>
      </c>
      <c r="AB46" s="63">
        <f t="shared" ca="1" si="5"/>
        <v>50.623725974780712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45160</v>
      </c>
      <c r="K47">
        <f ca="1"/>
        <v>50.792900362182763</v>
      </c>
      <c r="L47">
        <f ca="1"/>
        <v>0</v>
      </c>
      <c r="M47">
        <f ca="1"/>
        <v>-9.7623233776135798E-2</v>
      </c>
      <c r="N47">
        <f ca="1"/>
        <v>0.26679762117818689</v>
      </c>
      <c r="O47">
        <f ca="1"/>
        <v>0</v>
      </c>
      <c r="P47">
        <f ca="1"/>
        <v>0</v>
      </c>
      <c r="Q47">
        <f ca="1"/>
        <v>0</v>
      </c>
      <c r="R47">
        <f ca="1"/>
        <v>0</v>
      </c>
      <c r="S47">
        <f ca="1"/>
        <v>0.89881104914664656</v>
      </c>
      <c r="T47">
        <f ca="1"/>
        <v>0</v>
      </c>
      <c r="U47">
        <f ca="1"/>
        <v>0</v>
      </c>
      <c r="V47">
        <f ca="1"/>
        <v>0</v>
      </c>
      <c r="X47" s="2">
        <f t="shared" ca="1" si="1"/>
        <v>45160</v>
      </c>
      <c r="Y47">
        <f t="shared" ca="1" si="2"/>
        <v>0</v>
      </c>
      <c r="AA47" s="63">
        <f t="shared" ca="1" si="4"/>
        <v>50.792900362182763</v>
      </c>
      <c r="AB47" s="63">
        <f t="shared" ca="1" si="5"/>
        <v>50.792900362182763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0</v>
      </c>
      <c r="H48" t="b">
        <f t="shared" ca="1" si="3"/>
        <v>1</v>
      </c>
      <c r="I48" t="b">
        <f t="shared" ca="1" si="0"/>
        <v>1</v>
      </c>
      <c r="J48" s="2">
        <f ca="1"/>
        <v>45161</v>
      </c>
      <c r="K48">
        <f ca="1"/>
        <v>50.970838868167455</v>
      </c>
      <c r="L48">
        <f ca="1"/>
        <v>0</v>
      </c>
      <c r="M48">
        <f ca="1"/>
        <v>-9.5216890160830125E-2</v>
      </c>
      <c r="N48">
        <f ca="1"/>
        <v>0.27315539614551998</v>
      </c>
      <c r="O48">
        <f ca="1"/>
        <v>0</v>
      </c>
      <c r="P48">
        <f ca="1"/>
        <v>0</v>
      </c>
      <c r="Q48">
        <f ca="1"/>
        <v>0</v>
      </c>
      <c r="R48">
        <f ca="1"/>
        <v>0</v>
      </c>
      <c r="S48">
        <f ca="1"/>
        <v>0.90637052041678057</v>
      </c>
      <c r="T48">
        <f ca="1"/>
        <v>0</v>
      </c>
      <c r="U48">
        <f ca="1"/>
        <v>0</v>
      </c>
      <c r="V48">
        <f ca="1"/>
        <v>0</v>
      </c>
      <c r="X48" s="2">
        <f t="shared" ca="1" si="1"/>
        <v>45161</v>
      </c>
      <c r="Y48">
        <f t="shared" ca="1" si="2"/>
        <v>0</v>
      </c>
      <c r="AA48" s="63">
        <f t="shared" ca="1" si="4"/>
        <v>50.970838868167455</v>
      </c>
      <c r="AB48" s="63">
        <f t="shared" ca="1" si="5"/>
        <v>50.970838868167455</v>
      </c>
      <c r="AC48" s="3">
        <f t="shared" ca="1" si="6"/>
        <v>0</v>
      </c>
    </row>
    <row r="49" spans="1:29">
      <c r="A49" s="6" t="s">
        <v>129</v>
      </c>
      <c r="B49" s="34">
        <f ca="1">FollowingEstablishDate</f>
        <v>45306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45162</v>
      </c>
      <c r="K49">
        <f ca="1"/>
        <v>51.153373967008498</v>
      </c>
      <c r="L49">
        <f ca="1"/>
        <v>0</v>
      </c>
      <c r="M49">
        <f ca="1"/>
        <v>-9.4927859976203344E-2</v>
      </c>
      <c r="N49">
        <f ca="1"/>
        <v>0.27746295881724831</v>
      </c>
      <c r="O49">
        <f ca="1"/>
        <v>0</v>
      </c>
      <c r="P49">
        <f ca="1"/>
        <v>0</v>
      </c>
      <c r="Q49">
        <f ca="1"/>
        <v>0</v>
      </c>
      <c r="R49">
        <f ca="1"/>
        <v>0</v>
      </c>
      <c r="S49">
        <f ca="1"/>
        <v>0.88023778534277974</v>
      </c>
      <c r="T49">
        <f ca="1"/>
        <v>0</v>
      </c>
      <c r="U49">
        <f ca="1"/>
        <v>0</v>
      </c>
      <c r="V49">
        <f ca="1"/>
        <v>0</v>
      </c>
      <c r="X49" s="2">
        <f t="shared" ca="1" si="1"/>
        <v>45162</v>
      </c>
      <c r="Y49">
        <f t="shared" ca="1" si="2"/>
        <v>0</v>
      </c>
      <c r="AA49" s="63">
        <f t="shared" ca="1" si="4"/>
        <v>51.153373967008498</v>
      </c>
      <c r="AB49" s="63">
        <f t="shared" ca="1" si="5"/>
        <v>51.153373967008498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45163</v>
      </c>
      <c r="K50">
        <f ca="1"/>
        <v>51.341419609543607</v>
      </c>
      <c r="L50">
        <f ca="1"/>
        <v>0</v>
      </c>
      <c r="M50">
        <f ca="1"/>
        <v>-9.2849197229349478E-2</v>
      </c>
      <c r="N50">
        <f ca="1"/>
        <v>0.28089483976446045</v>
      </c>
      <c r="O50">
        <f ca="1"/>
        <v>0</v>
      </c>
      <c r="P50">
        <f ca="1"/>
        <v>0</v>
      </c>
      <c r="Q50">
        <f ca="1"/>
        <v>0</v>
      </c>
      <c r="R50">
        <f ca="1"/>
        <v>0</v>
      </c>
      <c r="S50">
        <f ca="1"/>
        <v>0.87342924268416888</v>
      </c>
      <c r="T50">
        <f ca="1"/>
        <v>0</v>
      </c>
      <c r="U50">
        <f ca="1"/>
        <v>0</v>
      </c>
      <c r="V50">
        <f ca="1"/>
        <v>0</v>
      </c>
      <c r="X50" s="2">
        <f t="shared" ca="1" si="1"/>
        <v>45163</v>
      </c>
      <c r="Y50">
        <f t="shared" ca="1" si="2"/>
        <v>0</v>
      </c>
      <c r="AA50" s="63">
        <f t="shared" ca="1" si="4"/>
        <v>51.341419609543607</v>
      </c>
      <c r="AB50" s="63">
        <f t="shared" ca="1" si="5"/>
        <v>51.341419609543607</v>
      </c>
      <c r="AC50" s="3">
        <f t="shared" ca="1" si="6"/>
        <v>0</v>
      </c>
    </row>
    <row r="51" spans="1:29">
      <c r="A51" s="6" t="s">
        <v>131</v>
      </c>
      <c r="B51" s="34">
        <f ca="1">FollowingHarvestDate</f>
        <v>45426</v>
      </c>
      <c r="H51" t="b">
        <f t="shared" ca="1" si="3"/>
        <v>1</v>
      </c>
      <c r="I51" t="b">
        <f t="shared" ca="1" si="0"/>
        <v>1</v>
      </c>
      <c r="J51" s="2">
        <f ca="1"/>
        <v>45164</v>
      </c>
      <c r="K51">
        <f ca="1"/>
        <v>51.537916103755528</v>
      </c>
      <c r="L51">
        <f ca="1"/>
        <v>0</v>
      </c>
      <c r="M51">
        <f ca="1"/>
        <v>-8.915264585712368E-2</v>
      </c>
      <c r="N51">
        <f ca="1"/>
        <v>0.28564914006904596</v>
      </c>
      <c r="O51">
        <f ca="1"/>
        <v>0</v>
      </c>
      <c r="P51">
        <f ca="1"/>
        <v>0</v>
      </c>
      <c r="Q51">
        <f ca="1"/>
        <v>0</v>
      </c>
      <c r="R51">
        <f ca="1"/>
        <v>0</v>
      </c>
      <c r="S51">
        <f ca="1"/>
        <v>0.89151139073991092</v>
      </c>
      <c r="T51">
        <f ca="1"/>
        <v>0</v>
      </c>
      <c r="U51">
        <f ca="1"/>
        <v>0</v>
      </c>
      <c r="V51">
        <f ca="1"/>
        <v>0</v>
      </c>
      <c r="X51" s="2">
        <f t="shared" ca="1" si="1"/>
        <v>45164</v>
      </c>
      <c r="Y51">
        <f t="shared" ca="1" si="2"/>
        <v>0</v>
      </c>
      <c r="AA51" s="63">
        <f t="shared" ca="1" si="4"/>
        <v>51.537916103755528</v>
      </c>
      <c r="AB51" s="63">
        <f t="shared" ca="1" si="5"/>
        <v>51.537916103755528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EarlyReproductive</v>
      </c>
      <c r="H52" t="b">
        <f t="shared" ca="1" si="3"/>
        <v>1</v>
      </c>
      <c r="I52" t="b">
        <f t="shared" ca="1" si="0"/>
        <v>1</v>
      </c>
      <c r="J52" s="2">
        <f ca="1"/>
        <v>45165</v>
      </c>
      <c r="K52">
        <f ca="1"/>
        <v>51.746033162784499</v>
      </c>
      <c r="L52">
        <f ca="1"/>
        <v>0</v>
      </c>
      <c r="M52">
        <f ca="1"/>
        <v>-8.5999350372925498E-2</v>
      </c>
      <c r="N52">
        <f ca="1"/>
        <v>0.29411640940189321</v>
      </c>
      <c r="O52">
        <f ca="1"/>
        <v>0</v>
      </c>
      <c r="P52">
        <f ca="1"/>
        <v>0</v>
      </c>
      <c r="Q52">
        <f ca="1"/>
        <v>0</v>
      </c>
      <c r="R52">
        <f ca="1"/>
        <v>0</v>
      </c>
      <c r="S52">
        <f ca="1"/>
        <v>0.91372218733013266</v>
      </c>
      <c r="T52">
        <f ca="1"/>
        <v>0</v>
      </c>
      <c r="U52">
        <f ca="1"/>
        <v>0</v>
      </c>
      <c r="V52">
        <f ca="1"/>
        <v>0</v>
      </c>
      <c r="X52" s="2">
        <f t="shared" ca="1" si="1"/>
        <v>45165</v>
      </c>
      <c r="Y52">
        <f t="shared" ca="1" si="2"/>
        <v>0</v>
      </c>
      <c r="AA52" s="63">
        <f t="shared" ca="1" si="4"/>
        <v>51.746033162784499</v>
      </c>
      <c r="AB52" s="63">
        <f t="shared" ca="1" si="5"/>
        <v>51.746033162784499</v>
      </c>
      <c r="AC52" s="3">
        <f t="shared" ca="1" si="6"/>
        <v>0</v>
      </c>
    </row>
    <row r="53" spans="1:29" ht="1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45166</v>
      </c>
      <c r="K53">
        <f ca="1"/>
        <v>51.956191487436165</v>
      </c>
      <c r="L53">
        <f ca="1"/>
        <v>0</v>
      </c>
      <c r="M53">
        <f ca="1"/>
        <v>-8.4639266036378835E-2</v>
      </c>
      <c r="N53">
        <f ca="1"/>
        <v>0.29479759068803885</v>
      </c>
      <c r="O53">
        <f ca="1"/>
        <v>0</v>
      </c>
      <c r="P53">
        <f ca="1"/>
        <v>0.96524946299463588</v>
      </c>
      <c r="Q53">
        <f ca="1"/>
        <v>0.52735580417267902</v>
      </c>
      <c r="R53">
        <f ca="1"/>
        <v>0</v>
      </c>
      <c r="S53">
        <f ca="1"/>
        <v>0.89008418558615088</v>
      </c>
      <c r="T53">
        <f ca="1"/>
        <v>0</v>
      </c>
      <c r="U53">
        <f ca="1"/>
        <v>0</v>
      </c>
      <c r="V53">
        <f ca="1"/>
        <v>5.0196381932136411E-3</v>
      </c>
      <c r="X53" s="2">
        <f t="shared" ca="1" si="1"/>
        <v>45166</v>
      </c>
      <c r="Y53">
        <f t="shared" ca="1" si="2"/>
        <v>0</v>
      </c>
      <c r="AA53" s="63">
        <f t="shared" ca="1" si="4"/>
        <v>51.956191487436165</v>
      </c>
      <c r="AB53" s="63">
        <f t="shared" ca="1" si="5"/>
        <v>51.956191487436165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45167</v>
      </c>
      <c r="K54">
        <f ca="1"/>
        <v>52.153885080529697</v>
      </c>
      <c r="L54">
        <f ca="1"/>
        <v>0</v>
      </c>
      <c r="M54">
        <f ca="1"/>
        <v>-7.9553243400761531E-2</v>
      </c>
      <c r="N54">
        <f ca="1"/>
        <v>0.27724683649429505</v>
      </c>
      <c r="O54">
        <f ca="1"/>
        <v>0</v>
      </c>
      <c r="P54">
        <f ca="1"/>
        <v>0.96524946299463588</v>
      </c>
      <c r="Q54">
        <f ca="1"/>
        <v>0.52735580417267902</v>
      </c>
      <c r="R54">
        <f ca="1"/>
        <v>0</v>
      </c>
      <c r="S54">
        <f ca="1"/>
        <v>0.87058032902889504</v>
      </c>
      <c r="T54">
        <f ca="1"/>
        <v>0</v>
      </c>
      <c r="U54">
        <f ca="1"/>
        <v>0</v>
      </c>
      <c r="V54">
        <f ca="1"/>
        <v>5.0196381932136411E-3</v>
      </c>
      <c r="X54" s="2">
        <f t="shared" ca="1" si="1"/>
        <v>45167</v>
      </c>
      <c r="Y54">
        <f t="shared" ca="1" si="2"/>
        <v>0</v>
      </c>
      <c r="AA54" s="63">
        <f t="shared" ca="1" si="4"/>
        <v>52.153885080529697</v>
      </c>
      <c r="AB54" s="63">
        <f t="shared" ca="1" si="5"/>
        <v>52.153885080529697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45168</v>
      </c>
      <c r="K55">
        <f ca="1"/>
        <v>52.359457053259703</v>
      </c>
      <c r="L55">
        <f ca="1"/>
        <v>0</v>
      </c>
      <c r="M55">
        <f ca="1"/>
        <v>-7.9754178901539241E-2</v>
      </c>
      <c r="N55">
        <f ca="1"/>
        <v>0.28532615163154579</v>
      </c>
      <c r="O55">
        <f ca="1"/>
        <v>0</v>
      </c>
      <c r="P55">
        <f ca="1"/>
        <v>0.96524946299463588</v>
      </c>
      <c r="Q55">
        <f ca="1"/>
        <v>0.52735580417267902</v>
      </c>
      <c r="R55">
        <f ca="1"/>
        <v>0</v>
      </c>
      <c r="S55">
        <f ca="1"/>
        <v>0.84526765241253299</v>
      </c>
      <c r="T55">
        <f ca="1"/>
        <v>0</v>
      </c>
      <c r="U55">
        <f ca="1"/>
        <v>0</v>
      </c>
      <c r="V55">
        <f ca="1"/>
        <v>5.0196381932136411E-3</v>
      </c>
      <c r="X55" s="2">
        <f t="shared" ca="1" si="1"/>
        <v>45168</v>
      </c>
      <c r="Y55">
        <f t="shared" ca="1" si="2"/>
        <v>0</v>
      </c>
      <c r="AA55" s="63">
        <f t="shared" ca="1" si="4"/>
        <v>52.359457053259703</v>
      </c>
      <c r="AB55" s="63">
        <f t="shared" ca="1" si="5"/>
        <v>52.359457053259703</v>
      </c>
      <c r="AC55" s="3">
        <f t="shared" ca="1" si="6"/>
        <v>0</v>
      </c>
    </row>
    <row r="56" spans="1:29" ht="1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45169</v>
      </c>
      <c r="K56">
        <f ca="1"/>
        <v>52.537367819832653</v>
      </c>
      <c r="L56">
        <f ca="1"/>
        <v>0</v>
      </c>
      <c r="M56">
        <f ca="1"/>
        <v>-7.2112342446214228E-2</v>
      </c>
      <c r="N56">
        <f ca="1"/>
        <v>0.25002310901916347</v>
      </c>
      <c r="O56">
        <f ca="1"/>
        <v>0</v>
      </c>
      <c r="P56">
        <f ca="1"/>
        <v>0.96524946299463588</v>
      </c>
      <c r="Q56">
        <f ca="1"/>
        <v>0.52735580417267902</v>
      </c>
      <c r="R56">
        <f ca="1"/>
        <v>0</v>
      </c>
      <c r="S56">
        <f ca="1"/>
        <v>0.81579478361582169</v>
      </c>
      <c r="T56">
        <f ca="1"/>
        <v>0</v>
      </c>
      <c r="U56">
        <f ca="1"/>
        <v>0</v>
      </c>
      <c r="V56">
        <f ca="1"/>
        <v>5.0196381932136411E-3</v>
      </c>
      <c r="X56" s="2">
        <f t="shared" ca="1" si="1"/>
        <v>45169</v>
      </c>
      <c r="Y56">
        <f t="shared" ca="1" si="2"/>
        <v>0</v>
      </c>
      <c r="AA56" s="63">
        <f t="shared" ca="1" si="4"/>
        <v>52.537367819832646</v>
      </c>
      <c r="AB56" s="63">
        <f t="shared" ca="1" si="5"/>
        <v>52.537367819832653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45170</v>
      </c>
      <c r="K57">
        <f ca="1"/>
        <v>52.723656514669777</v>
      </c>
      <c r="L57">
        <f ca="1"/>
        <v>0</v>
      </c>
      <c r="M57">
        <f ca="1"/>
        <v>-7.2745085297478695E-2</v>
      </c>
      <c r="N57">
        <f ca="1"/>
        <v>0.25903378013460349</v>
      </c>
      <c r="O57">
        <f ca="1"/>
        <v>0</v>
      </c>
      <c r="P57">
        <f ca="1"/>
        <v>0.96524946299463588</v>
      </c>
      <c r="Q57">
        <f ca="1"/>
        <v>0.52735580417267902</v>
      </c>
      <c r="R57">
        <f ca="1"/>
        <v>0</v>
      </c>
      <c r="S57">
        <f ca="1"/>
        <v>0.7882646316160522</v>
      </c>
      <c r="T57">
        <f ca="1"/>
        <v>0</v>
      </c>
      <c r="U57">
        <f ca="1"/>
        <v>0</v>
      </c>
      <c r="V57">
        <f ca="1"/>
        <v>5.0196381932136411E-3</v>
      </c>
      <c r="X57" s="2">
        <f t="shared" ca="1" si="1"/>
        <v>45170</v>
      </c>
      <c r="Y57">
        <f t="shared" ca="1" si="2"/>
        <v>0</v>
      </c>
      <c r="AA57" s="63">
        <f t="shared" ca="1" si="4"/>
        <v>52.723656514669777</v>
      </c>
      <c r="AB57" s="63">
        <f t="shared" ca="1" si="5"/>
        <v>52.723656514669777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45171</v>
      </c>
      <c r="K58">
        <f ca="1"/>
        <v>52.913615789381382</v>
      </c>
      <c r="L58">
        <f ca="1"/>
        <v>0</v>
      </c>
      <c r="M58">
        <f ca="1"/>
        <v>-7.208332143324192E-2</v>
      </c>
      <c r="N58">
        <f ca="1"/>
        <v>0.26204259614484804</v>
      </c>
      <c r="O58">
        <f ca="1"/>
        <v>0</v>
      </c>
      <c r="P58">
        <f ca="1"/>
        <v>0.96524946299463588</v>
      </c>
      <c r="Q58">
        <f ca="1"/>
        <v>0.52735580417267902</v>
      </c>
      <c r="R58">
        <f ca="1"/>
        <v>0</v>
      </c>
      <c r="S58">
        <f ca="1"/>
        <v>0.76182636080582355</v>
      </c>
      <c r="T58">
        <f ca="1"/>
        <v>0</v>
      </c>
      <c r="U58">
        <f ca="1"/>
        <v>0</v>
      </c>
      <c r="V58">
        <f ca="1"/>
        <v>5.0196381932136411E-3</v>
      </c>
      <c r="X58" s="2">
        <f t="shared" ca="1" si="1"/>
        <v>45171</v>
      </c>
      <c r="Y58">
        <f t="shared" ca="1" si="2"/>
        <v>0</v>
      </c>
      <c r="AA58" s="63">
        <f t="shared" ca="1" si="4"/>
        <v>52.913615789381382</v>
      </c>
      <c r="AB58" s="63">
        <f t="shared" ca="1" si="5"/>
        <v>52.913615789381382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45172</v>
      </c>
      <c r="K59">
        <f ca="1"/>
        <v>53.092380406715769</v>
      </c>
      <c r="L59">
        <f ca="1"/>
        <v>0</v>
      </c>
      <c r="M59">
        <f ca="1"/>
        <v>-6.7857516504867377E-2</v>
      </c>
      <c r="N59">
        <f ca="1"/>
        <v>0.24662213383925297</v>
      </c>
      <c r="O59">
        <f ca="1"/>
        <v>0</v>
      </c>
      <c r="P59">
        <f ca="1"/>
        <v>0.96524946299463588</v>
      </c>
      <c r="Q59">
        <f ca="1"/>
        <v>0.52735580417267902</v>
      </c>
      <c r="R59">
        <f ca="1"/>
        <v>0</v>
      </c>
      <c r="S59">
        <f ca="1"/>
        <v>0.737532529704236</v>
      </c>
      <c r="T59">
        <f ca="1"/>
        <v>0</v>
      </c>
      <c r="U59">
        <f ca="1"/>
        <v>0</v>
      </c>
      <c r="V59">
        <f ca="1"/>
        <v>5.0196381932136411E-3</v>
      </c>
      <c r="X59" s="2">
        <f t="shared" ca="1" si="1"/>
        <v>45172</v>
      </c>
      <c r="Y59">
        <f t="shared" ca="1" si="2"/>
        <v>0</v>
      </c>
      <c r="AA59" s="63">
        <f t="shared" ca="1" si="4"/>
        <v>53.092380406715769</v>
      </c>
      <c r="AB59" s="63">
        <f t="shared" ca="1" si="5"/>
        <v>53.092380406715769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45173</v>
      </c>
      <c r="K60">
        <f ca="1"/>
        <v>53.265551700199246</v>
      </c>
      <c r="L60">
        <f ca="1"/>
        <v>0</v>
      </c>
      <c r="M60">
        <f ca="1"/>
        <v>-6.4995659817570939E-2</v>
      </c>
      <c r="N60">
        <f ca="1"/>
        <v>0.23816695330104456</v>
      </c>
      <c r="O60">
        <f ca="1"/>
        <v>0</v>
      </c>
      <c r="P60">
        <f ca="1"/>
        <v>0.96524946299463588</v>
      </c>
      <c r="Q60">
        <f ca="1"/>
        <v>0.52735580417267902</v>
      </c>
      <c r="R60">
        <f ca="1"/>
        <v>0</v>
      </c>
      <c r="S60">
        <f ca="1"/>
        <v>0.7134867880899074</v>
      </c>
      <c r="T60">
        <f ca="1"/>
        <v>0</v>
      </c>
      <c r="U60">
        <f ca="1"/>
        <v>0</v>
      </c>
      <c r="V60">
        <f ca="1"/>
        <v>5.0196381932136411E-3</v>
      </c>
      <c r="X60" s="2">
        <f t="shared" ca="1" si="1"/>
        <v>45173</v>
      </c>
      <c r="Y60">
        <f t="shared" ca="1" si="2"/>
        <v>0</v>
      </c>
      <c r="AA60" s="63">
        <f t="shared" ca="1" si="4"/>
        <v>53.265551700199246</v>
      </c>
      <c r="AB60" s="63">
        <f t="shared" ca="1" si="5"/>
        <v>53.265551700199246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45174</v>
      </c>
      <c r="K61">
        <f ca="1"/>
        <v>53.430046303907574</v>
      </c>
      <c r="L61">
        <f ca="1"/>
        <v>0</v>
      </c>
      <c r="M61">
        <f ca="1"/>
        <v>-6.1349946358511431E-2</v>
      </c>
      <c r="N61">
        <f ca="1"/>
        <v>0.22584455006683762</v>
      </c>
      <c r="O61">
        <f ca="1"/>
        <v>0</v>
      </c>
      <c r="P61">
        <f ca="1"/>
        <v>0.96524946299463588</v>
      </c>
      <c r="Q61">
        <f ca="1"/>
        <v>0.52735580417267902</v>
      </c>
      <c r="R61">
        <f ca="1"/>
        <v>0</v>
      </c>
      <c r="S61">
        <f ca="1"/>
        <v>0.69215346936194344</v>
      </c>
      <c r="T61">
        <f ca="1"/>
        <v>0</v>
      </c>
      <c r="U61">
        <f ca="1"/>
        <v>0</v>
      </c>
      <c r="V61">
        <f ca="1"/>
        <v>5.0196381932136411E-3</v>
      </c>
      <c r="X61" s="2">
        <f t="shared" ca="1" si="1"/>
        <v>45174</v>
      </c>
      <c r="Y61">
        <f t="shared" ca="1" si="2"/>
        <v>0</v>
      </c>
      <c r="AA61" s="63">
        <f t="shared" ca="1" si="4"/>
        <v>53.430046303907574</v>
      </c>
      <c r="AB61" s="63">
        <f t="shared" ca="1" si="5"/>
        <v>53.430046303907574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45175</v>
      </c>
      <c r="K62">
        <f ca="1"/>
        <v>53.598258322870713</v>
      </c>
      <c r="L62">
        <f ca="1"/>
        <v>0</v>
      </c>
      <c r="M62">
        <f ca="1"/>
        <v>-6.0615780872075753E-2</v>
      </c>
      <c r="N62">
        <f ca="1"/>
        <v>0.22882779983521645</v>
      </c>
      <c r="O62">
        <f ca="1"/>
        <v>0</v>
      </c>
      <c r="P62">
        <f ca="1"/>
        <v>0.96524946299463588</v>
      </c>
      <c r="Q62">
        <f ca="1"/>
        <v>0.52735580417267902</v>
      </c>
      <c r="R62">
        <f ca="1"/>
        <v>0</v>
      </c>
      <c r="S62">
        <f ca="1"/>
        <v>0.66869745187938667</v>
      </c>
      <c r="T62">
        <f ca="1"/>
        <v>0</v>
      </c>
      <c r="U62">
        <f ca="1"/>
        <v>0</v>
      </c>
      <c r="V62">
        <f ca="1"/>
        <v>5.0196381932136411E-3</v>
      </c>
      <c r="X62" s="2">
        <f t="shared" ca="1" si="1"/>
        <v>45175</v>
      </c>
      <c r="Y62">
        <f t="shared" ca="1" si="2"/>
        <v>0</v>
      </c>
      <c r="AA62" s="63">
        <f t="shared" ca="1" si="4"/>
        <v>53.598258322870713</v>
      </c>
      <c r="AB62" s="63">
        <f t="shared" ca="1" si="5"/>
        <v>53.598258322870713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45176</v>
      </c>
      <c r="K63">
        <f ca="1"/>
        <v>53.761861401390298</v>
      </c>
      <c r="L63">
        <f ca="1"/>
        <v>0</v>
      </c>
      <c r="M63">
        <f ca="1"/>
        <v>-5.8301794619758596E-2</v>
      </c>
      <c r="N63">
        <f ca="1"/>
        <v>0.22190487313934631</v>
      </c>
      <c r="O63">
        <f ca="1"/>
        <v>0</v>
      </c>
      <c r="P63">
        <f ca="1"/>
        <v>0.96524946299463588</v>
      </c>
      <c r="Q63">
        <f ca="1"/>
        <v>0.52735580417267902</v>
      </c>
      <c r="R63">
        <f ca="1"/>
        <v>0</v>
      </c>
      <c r="S63">
        <f ca="1"/>
        <v>0.64104769709834097</v>
      </c>
      <c r="T63">
        <f ca="1"/>
        <v>0</v>
      </c>
      <c r="U63">
        <f ca="1"/>
        <v>0</v>
      </c>
      <c r="V63">
        <f ca="1"/>
        <v>5.0196381932136411E-3</v>
      </c>
      <c r="X63" s="2">
        <f t="shared" ca="1" si="1"/>
        <v>45176</v>
      </c>
      <c r="Y63">
        <f t="shared" ca="1" si="2"/>
        <v>0</v>
      </c>
      <c r="AA63" s="63">
        <f t="shared" ca="1" si="4"/>
        <v>53.761861401390298</v>
      </c>
      <c r="AB63" s="63">
        <f t="shared" ca="1" si="5"/>
        <v>53.761861401390298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45177</v>
      </c>
      <c r="K64">
        <f ca="1"/>
        <v>53.914366269600379</v>
      </c>
      <c r="L64">
        <f ca="1"/>
        <v>0</v>
      </c>
      <c r="M64">
        <f ca="1"/>
        <v>-5.4424515424133624E-2</v>
      </c>
      <c r="N64">
        <f ca="1"/>
        <v>0.20692938363421104</v>
      </c>
      <c r="O64">
        <f ca="1"/>
        <v>0</v>
      </c>
      <c r="P64">
        <f ca="1"/>
        <v>0.96524946299463588</v>
      </c>
      <c r="Q64">
        <f ca="1"/>
        <v>0.52735580417267902</v>
      </c>
      <c r="R64">
        <f ca="1"/>
        <v>0</v>
      </c>
      <c r="S64">
        <f ca="1"/>
        <v>0.61716709960673544</v>
      </c>
      <c r="T64">
        <f ca="1"/>
        <v>0</v>
      </c>
      <c r="U64">
        <f ca="1"/>
        <v>0</v>
      </c>
      <c r="V64">
        <f ca="1"/>
        <v>5.0196381932136411E-3</v>
      </c>
      <c r="X64" s="2">
        <f t="shared" ca="1" si="1"/>
        <v>45177</v>
      </c>
      <c r="Y64">
        <f t="shared" ca="1" si="2"/>
        <v>0</v>
      </c>
      <c r="AA64" s="63">
        <f t="shared" ca="1" si="4"/>
        <v>53.914366269600379</v>
      </c>
      <c r="AB64" s="63">
        <f t="shared" ca="1" si="5"/>
        <v>53.914366269600379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45178</v>
      </c>
      <c r="K65">
        <f ca="1"/>
        <v>54.053830177980522</v>
      </c>
      <c r="L65">
        <f ca="1"/>
        <v>0</v>
      </c>
      <c r="M65">
        <f ca="1"/>
        <v>-5.0113516323109231E-2</v>
      </c>
      <c r="N65">
        <f ca="1"/>
        <v>0.18957742470324926</v>
      </c>
      <c r="O65">
        <f ca="1"/>
        <v>0</v>
      </c>
      <c r="P65">
        <f ca="1"/>
        <v>0.96524946299463588</v>
      </c>
      <c r="Q65">
        <f ca="1"/>
        <v>0.52735580417267902</v>
      </c>
      <c r="R65">
        <f ca="1"/>
        <v>0</v>
      </c>
      <c r="S65">
        <f ca="1"/>
        <v>0.59696870495184029</v>
      </c>
      <c r="T65">
        <f ca="1"/>
        <v>0</v>
      </c>
      <c r="U65">
        <f ca="1"/>
        <v>0</v>
      </c>
      <c r="V65">
        <f ca="1"/>
        <v>5.0196381932136411E-3</v>
      </c>
      <c r="X65" s="2">
        <f t="shared" ca="1" si="1"/>
        <v>45178</v>
      </c>
      <c r="Y65">
        <f t="shared" ca="1" si="2"/>
        <v>0</v>
      </c>
      <c r="AA65" s="63">
        <f t="shared" ca="1" si="4"/>
        <v>54.053830177980522</v>
      </c>
      <c r="AB65" s="63">
        <f t="shared" ca="1" si="5"/>
        <v>54.053830177980522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45179</v>
      </c>
      <c r="K66">
        <f ca="1"/>
        <v>54.206138083695521</v>
      </c>
      <c r="L66">
        <f ca="1"/>
        <v>0</v>
      </c>
      <c r="M66">
        <f ca="1"/>
        <v>-5.1388175417711679E-2</v>
      </c>
      <c r="N66">
        <f ca="1"/>
        <v>0.20369608113271093</v>
      </c>
      <c r="O66">
        <f ca="1"/>
        <v>0</v>
      </c>
      <c r="P66">
        <f ca="1"/>
        <v>0.96524946299463588</v>
      </c>
      <c r="Q66">
        <f ca="1"/>
        <v>0.52735580417267902</v>
      </c>
      <c r="R66">
        <f ca="1"/>
        <v>0</v>
      </c>
      <c r="S66">
        <f ca="1"/>
        <v>0.57379558696120747</v>
      </c>
      <c r="T66">
        <f ca="1"/>
        <v>0</v>
      </c>
      <c r="U66">
        <f ca="1"/>
        <v>0</v>
      </c>
      <c r="V66">
        <f ca="1"/>
        <v>5.0196381932136411E-3</v>
      </c>
      <c r="X66" s="2">
        <f t="shared" ca="1" si="1"/>
        <v>45179</v>
      </c>
      <c r="Y66">
        <f t="shared" ca="1" si="2"/>
        <v>0</v>
      </c>
      <c r="AA66" s="63">
        <f t="shared" ca="1" si="4"/>
        <v>54.206138083695521</v>
      </c>
      <c r="AB66" s="63">
        <f t="shared" ca="1" si="5"/>
        <v>54.206138083695521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45180</v>
      </c>
      <c r="K67">
        <f ca="1"/>
        <v>54.367896472659993</v>
      </c>
      <c r="L67">
        <f ca="1"/>
        <v>0</v>
      </c>
      <c r="M67">
        <f ca="1"/>
        <v>-5.1477708861368932E-2</v>
      </c>
      <c r="N67">
        <f ca="1"/>
        <v>0.21323609782584502</v>
      </c>
      <c r="O67">
        <f ca="1"/>
        <v>0</v>
      </c>
      <c r="P67">
        <f ca="1"/>
        <v>0.96524946299463588</v>
      </c>
      <c r="Q67">
        <f ca="1"/>
        <v>0.52735580417267902</v>
      </c>
      <c r="R67">
        <f ca="1"/>
        <v>0</v>
      </c>
      <c r="S67">
        <f ca="1"/>
        <v>0.55526562509174748</v>
      </c>
      <c r="T67">
        <f ca="1"/>
        <v>0</v>
      </c>
      <c r="U67">
        <f ca="1"/>
        <v>0</v>
      </c>
      <c r="V67">
        <f ca="1"/>
        <v>5.0196381932136411E-3</v>
      </c>
      <c r="X67" s="2">
        <f t="shared" ca="1" si="1"/>
        <v>45180</v>
      </c>
      <c r="Y67">
        <f t="shared" ca="1" si="2"/>
        <v>0</v>
      </c>
      <c r="AA67" s="63">
        <f t="shared" ca="1" si="4"/>
        <v>54.367896472659993</v>
      </c>
      <c r="AB67" s="63">
        <f t="shared" ca="1" si="5"/>
        <v>54.367896472659993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45181</v>
      </c>
      <c r="K68">
        <f ca="1"/>
        <v>54.525106570474733</v>
      </c>
      <c r="L68">
        <f ca="1"/>
        <v>0</v>
      </c>
      <c r="M68">
        <f ca="1"/>
        <v>-4.8734869133018499E-2</v>
      </c>
      <c r="N68">
        <f ca="1"/>
        <v>0.20594496694776357</v>
      </c>
      <c r="O68">
        <f ca="1"/>
        <v>0</v>
      </c>
      <c r="P68">
        <f ca="1"/>
        <v>0.96524946299463588</v>
      </c>
      <c r="Q68">
        <f ca="1"/>
        <v>0.52735580417267902</v>
      </c>
      <c r="R68">
        <f ca="1"/>
        <v>0</v>
      </c>
      <c r="S68">
        <f ca="1"/>
        <v>0.53580368505871001</v>
      </c>
      <c r="T68">
        <f ca="1"/>
        <v>0</v>
      </c>
      <c r="U68">
        <f ca="1"/>
        <v>0</v>
      </c>
      <c r="V68">
        <f ca="1"/>
        <v>5.0196381932136411E-3</v>
      </c>
      <c r="X68" s="2">
        <f t="shared" ca="1" si="1"/>
        <v>45181</v>
      </c>
      <c r="Y68">
        <f t="shared" ca="1" si="2"/>
        <v>0</v>
      </c>
      <c r="AA68" s="63">
        <f t="shared" ca="1" si="4"/>
        <v>54.525106570474733</v>
      </c>
      <c r="AB68" s="63">
        <f t="shared" ca="1" si="5"/>
        <v>54.525106570474733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45182</v>
      </c>
      <c r="K69">
        <f ca="1"/>
        <v>54.676670645666391</v>
      </c>
      <c r="L69">
        <f ca="1"/>
        <v>0</v>
      </c>
      <c r="M69">
        <f ca="1"/>
        <v>-4.5650286861944167E-2</v>
      </c>
      <c r="N69">
        <f ca="1"/>
        <v>0.19721436205360326</v>
      </c>
      <c r="O69">
        <f ca="1"/>
        <v>0</v>
      </c>
      <c r="P69">
        <f ca="1"/>
        <v>0.96524946299463588</v>
      </c>
      <c r="Q69">
        <f ca="1"/>
        <v>0.52735580417267902</v>
      </c>
      <c r="R69">
        <f ca="1"/>
        <v>0</v>
      </c>
      <c r="S69">
        <f ca="1"/>
        <v>0.52122796213593448</v>
      </c>
      <c r="T69">
        <f ca="1"/>
        <v>0</v>
      </c>
      <c r="U69">
        <f ca="1"/>
        <v>0</v>
      </c>
      <c r="V69">
        <f ca="1"/>
        <v>5.0196381932136411E-3</v>
      </c>
      <c r="X69" s="2">
        <f t="shared" ca="1" si="1"/>
        <v>45182</v>
      </c>
      <c r="Y69">
        <f t="shared" ca="1" si="2"/>
        <v>0</v>
      </c>
      <c r="AA69" s="63">
        <f t="shared" ca="1" si="4"/>
        <v>54.676670645666391</v>
      </c>
      <c r="AB69" s="63">
        <f t="shared" ca="1" si="5"/>
        <v>54.676670645666391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45183</v>
      </c>
      <c r="K70">
        <f ca="1"/>
        <v>54.833068675327837</v>
      </c>
      <c r="L70">
        <f ca="1"/>
        <v>0</v>
      </c>
      <c r="M70">
        <f ca="1"/>
        <v>-4.4893360743446742E-2</v>
      </c>
      <c r="N70">
        <f ca="1"/>
        <v>0.20129139040489355</v>
      </c>
      <c r="O70">
        <f ca="1"/>
        <v>0</v>
      </c>
      <c r="P70">
        <f ca="1"/>
        <v>0.96524946299463588</v>
      </c>
      <c r="Q70">
        <f ca="1"/>
        <v>0.52735580417267902</v>
      </c>
      <c r="R70">
        <f ca="1"/>
        <v>0</v>
      </c>
      <c r="S70">
        <f ca="1"/>
        <v>0.500463574529322</v>
      </c>
      <c r="T70">
        <f ca="1"/>
        <v>0</v>
      </c>
      <c r="U70">
        <f ca="1"/>
        <v>0</v>
      </c>
      <c r="V70">
        <f ca="1"/>
        <v>5.0196381932136411E-3</v>
      </c>
      <c r="X70" s="2">
        <f t="shared" ca="1" si="1"/>
        <v>45183</v>
      </c>
      <c r="Y70">
        <f t="shared" ca="1" si="2"/>
        <v>0</v>
      </c>
      <c r="AA70" s="63">
        <f t="shared" ca="1" si="4"/>
        <v>54.833068675327837</v>
      </c>
      <c r="AB70" s="63">
        <f t="shared" ca="1" si="5"/>
        <v>54.833068675327837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45184</v>
      </c>
      <c r="K71">
        <f ca="1"/>
        <v>55.00102183318937</v>
      </c>
      <c r="L71">
        <f ca="1"/>
        <v>0</v>
      </c>
      <c r="M71">
        <f ca="1"/>
        <v>-4.2990421227554698E-2</v>
      </c>
      <c r="N71">
        <f ca="1"/>
        <v>0.21094357908908923</v>
      </c>
      <c r="O71">
        <f ca="1"/>
        <v>0</v>
      </c>
      <c r="P71">
        <f ca="1"/>
        <v>0.96524946299463588</v>
      </c>
      <c r="Q71">
        <f ca="1"/>
        <v>0.52735580417267902</v>
      </c>
      <c r="R71">
        <f ca="1"/>
        <v>0</v>
      </c>
      <c r="S71">
        <f ca="1"/>
        <v>0.47747178430801457</v>
      </c>
      <c r="T71">
        <f ca="1"/>
        <v>0</v>
      </c>
      <c r="U71">
        <f ca="1"/>
        <v>0</v>
      </c>
      <c r="V71">
        <f ca="1"/>
        <v>5.0196381932136411E-3</v>
      </c>
      <c r="X71" s="2">
        <f t="shared" ca="1" si="1"/>
        <v>45184</v>
      </c>
      <c r="Y71">
        <f t="shared" ca="1" si="2"/>
        <v>0</v>
      </c>
      <c r="AA71" s="63">
        <f t="shared" ca="1" si="4"/>
        <v>55.00102183318937</v>
      </c>
      <c r="AB71" s="63">
        <f t="shared" ca="1" si="5"/>
        <v>55.00102183318937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45185</v>
      </c>
      <c r="K72">
        <f ca="1"/>
        <v>55.16362878700253</v>
      </c>
      <c r="L72">
        <f ca="1"/>
        <v>0</v>
      </c>
      <c r="M72">
        <f ca="1"/>
        <v>-3.8227120846703322E-2</v>
      </c>
      <c r="N72">
        <f ca="1"/>
        <v>0.200834074659865</v>
      </c>
      <c r="O72">
        <f ca="1"/>
        <v>0</v>
      </c>
      <c r="P72">
        <f ca="1"/>
        <v>0.96524946299463588</v>
      </c>
      <c r="Q72">
        <f ca="1"/>
        <v>0.52735580417267902</v>
      </c>
      <c r="R72">
        <f ca="1"/>
        <v>0</v>
      </c>
      <c r="S72">
        <f ca="1"/>
        <v>0.45230003260431184</v>
      </c>
      <c r="T72">
        <f ca="1"/>
        <v>0</v>
      </c>
      <c r="U72">
        <f ca="1"/>
        <v>0</v>
      </c>
      <c r="V72">
        <f ca="1"/>
        <v>5.0196381932136411E-3</v>
      </c>
      <c r="X72" s="2">
        <f t="shared" ca="1" si="1"/>
        <v>45185</v>
      </c>
      <c r="Y72">
        <f t="shared" ca="1" si="2"/>
        <v>0</v>
      </c>
      <c r="AA72" s="63">
        <f t="shared" ca="1" si="4"/>
        <v>55.16362878700253</v>
      </c>
      <c r="AB72" s="63">
        <f t="shared" ca="1" si="5"/>
        <v>55.16362878700253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45186</v>
      </c>
      <c r="K73">
        <f ca="1"/>
        <v>55.31411993527135</v>
      </c>
      <c r="L73">
        <f ca="1"/>
        <v>0</v>
      </c>
      <c r="M73">
        <f ca="1"/>
        <v>-3.3210537557645914E-2</v>
      </c>
      <c r="N73">
        <f ca="1"/>
        <v>0.18370168582645999</v>
      </c>
      <c r="O73">
        <f ca="1"/>
        <v>0</v>
      </c>
      <c r="P73">
        <f ca="1"/>
        <v>0.96524946299463588</v>
      </c>
      <c r="Q73">
        <f ca="1"/>
        <v>0.52735580417267902</v>
      </c>
      <c r="R73">
        <f ca="1"/>
        <v>0</v>
      </c>
      <c r="S73">
        <f ca="1"/>
        <v>0.43087903141692147</v>
      </c>
      <c r="T73">
        <f ca="1"/>
        <v>0</v>
      </c>
      <c r="U73">
        <f ca="1"/>
        <v>0</v>
      </c>
      <c r="V73">
        <f ca="1"/>
        <v>5.0196381932136411E-3</v>
      </c>
      <c r="X73" s="2">
        <f t="shared" ca="1" si="1"/>
        <v>45186</v>
      </c>
      <c r="Y73">
        <f t="shared" ca="1" si="2"/>
        <v>0</v>
      </c>
      <c r="AA73" s="63">
        <f t="shared" ca="1" si="4"/>
        <v>55.31411993527135</v>
      </c>
      <c r="AB73" s="63">
        <f t="shared" ca="1" si="5"/>
        <v>55.31411993527135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45187</v>
      </c>
      <c r="K74">
        <f ca="1"/>
        <v>55.45995197209551</v>
      </c>
      <c r="L74">
        <f ca="1"/>
        <v>0</v>
      </c>
      <c r="M74">
        <f ca="1"/>
        <v>-3.0148115950591858E-2</v>
      </c>
      <c r="N74">
        <f ca="1"/>
        <v>0.17598015277475437</v>
      </c>
      <c r="O74">
        <f ca="1"/>
        <v>0</v>
      </c>
      <c r="P74">
        <f ca="1"/>
        <v>0.96524946299463588</v>
      </c>
      <c r="Q74">
        <f ca="1"/>
        <v>0.52735580417267902</v>
      </c>
      <c r="R74">
        <f ca="1"/>
        <v>0</v>
      </c>
      <c r="S74">
        <f ca="1"/>
        <v>0.41668621700550335</v>
      </c>
      <c r="T74">
        <f ca="1"/>
        <v>0</v>
      </c>
      <c r="U74">
        <f ca="1"/>
        <v>0</v>
      </c>
      <c r="V74">
        <f ca="1"/>
        <v>5.0196381932136411E-3</v>
      </c>
      <c r="X74" s="2">
        <f t="shared" ca="1" si="1"/>
        <v>45187</v>
      </c>
      <c r="Y74">
        <f t="shared" ca="1" si="2"/>
        <v>0</v>
      </c>
      <c r="AA74" s="63">
        <f t="shared" ca="1" si="4"/>
        <v>55.45995197209551</v>
      </c>
      <c r="AB74" s="63">
        <f t="shared" ca="1" si="5"/>
        <v>55.45995197209551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45188</v>
      </c>
      <c r="K75">
        <f ca="1"/>
        <v>55.609653071433442</v>
      </c>
      <c r="L75">
        <f ca="1"/>
        <v>0</v>
      </c>
      <c r="M75">
        <f ca="1"/>
        <v>-2.8541254343376288E-2</v>
      </c>
      <c r="N75">
        <f ca="1"/>
        <v>0.17824235368130401</v>
      </c>
      <c r="O75">
        <f ca="1"/>
        <v>0</v>
      </c>
      <c r="P75">
        <f ca="1"/>
        <v>0.96524946299463588</v>
      </c>
      <c r="Q75">
        <f ca="1"/>
        <v>0.52735580417267902</v>
      </c>
      <c r="R75">
        <f ca="1"/>
        <v>0</v>
      </c>
      <c r="S75">
        <f ca="1"/>
        <v>0.40483983839691318</v>
      </c>
      <c r="T75">
        <f ca="1"/>
        <v>0</v>
      </c>
      <c r="U75">
        <f ca="1"/>
        <v>0</v>
      </c>
      <c r="V75">
        <f ca="1"/>
        <v>5.0196381932136411E-3</v>
      </c>
      <c r="X75" s="2">
        <f t="shared" ref="X75:X138" ca="1" si="8">IFERROR(J75,$X$9)</f>
        <v>45188</v>
      </c>
      <c r="Y75">
        <f t="shared" ref="Y75:Y138" ca="1" si="9">IFERROR(O75,0)</f>
        <v>0</v>
      </c>
      <c r="AA75" s="63">
        <f t="shared" ca="1" si="4"/>
        <v>55.609653071433442</v>
      </c>
      <c r="AB75" s="63">
        <f t="shared" ca="1" si="5"/>
        <v>55.609653071433442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45189</v>
      </c>
      <c r="K76">
        <f ca="1"/>
        <v>55.752818188737443</v>
      </c>
      <c r="L76">
        <f ca="1"/>
        <v>0</v>
      </c>
      <c r="M76">
        <f ca="1"/>
        <v>-2.5752931316807448E-2</v>
      </c>
      <c r="N76">
        <f ca="1"/>
        <v>0.16891804862080895</v>
      </c>
      <c r="O76">
        <f ca="1"/>
        <v>0</v>
      </c>
      <c r="P76">
        <f ca="1"/>
        <v>0.96524946299463588</v>
      </c>
      <c r="Q76">
        <f ca="1"/>
        <v>0.52735580417267902</v>
      </c>
      <c r="R76">
        <f ca="1"/>
        <v>0</v>
      </c>
      <c r="S76">
        <f ca="1"/>
        <v>0.3921619972352931</v>
      </c>
      <c r="T76">
        <f ca="1"/>
        <v>0</v>
      </c>
      <c r="U76">
        <f ca="1"/>
        <v>0</v>
      </c>
      <c r="V76">
        <f ca="1"/>
        <v>5.0196381932136411E-3</v>
      </c>
      <c r="X76" s="2">
        <f t="shared" ca="1" si="8"/>
        <v>45189</v>
      </c>
      <c r="Y76">
        <f t="shared" ca="1" si="9"/>
        <v>0</v>
      </c>
      <c r="AA76" s="63">
        <f t="shared" ca="1" si="4"/>
        <v>55.752818188737443</v>
      </c>
      <c r="AB76" s="63">
        <f t="shared" ca="1" si="5"/>
        <v>55.752818188737443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45190</v>
      </c>
      <c r="K77">
        <f ca="1"/>
        <v>55.902221040692176</v>
      </c>
      <c r="L77">
        <f ca="1"/>
        <v>0</v>
      </c>
      <c r="M77">
        <f ca="1"/>
        <v>-2.456335270581711E-2</v>
      </c>
      <c r="N77">
        <f ca="1"/>
        <v>0.17396620466054905</v>
      </c>
      <c r="O77">
        <f ca="1"/>
        <v>0</v>
      </c>
      <c r="P77">
        <f ca="1"/>
        <v>0.96524946299463588</v>
      </c>
      <c r="Q77">
        <f ca="1"/>
        <v>0.52735580417267902</v>
      </c>
      <c r="R77">
        <f ca="1"/>
        <v>0</v>
      </c>
      <c r="S77">
        <f ca="1"/>
        <v>0.37836706047932239</v>
      </c>
      <c r="T77">
        <f ca="1"/>
        <v>0</v>
      </c>
      <c r="U77">
        <f ca="1"/>
        <v>0</v>
      </c>
      <c r="V77">
        <f ca="1"/>
        <v>5.0196381932136411E-3</v>
      </c>
      <c r="X77" s="2">
        <f t="shared" ca="1" si="8"/>
        <v>45190</v>
      </c>
      <c r="Y77">
        <f t="shared" ca="1" si="9"/>
        <v>0</v>
      </c>
      <c r="AA77" s="63">
        <f t="shared" ref="AA77:AA140" ca="1" si="11">K76+M77+N77+O77</f>
        <v>55.902221040692176</v>
      </c>
      <c r="AB77" s="63">
        <f t="shared" ref="AB77:AB140" ca="1" si="12">K77+L77+R77</f>
        <v>55.902221040692176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45191</v>
      </c>
      <c r="K78">
        <f ca="1"/>
        <v>56.045648042605457</v>
      </c>
      <c r="L78">
        <f ca="1"/>
        <v>0</v>
      </c>
      <c r="M78">
        <f ca="1"/>
        <v>-2.2213290621306392E-2</v>
      </c>
      <c r="N78">
        <f ca="1"/>
        <v>0.1656402925345912</v>
      </c>
      <c r="O78">
        <f ca="1"/>
        <v>0</v>
      </c>
      <c r="P78">
        <f ca="1"/>
        <v>0.96524946299463588</v>
      </c>
      <c r="Q78">
        <f ca="1"/>
        <v>0.52735580417267902</v>
      </c>
      <c r="R78">
        <f ca="1"/>
        <v>0</v>
      </c>
      <c r="S78">
        <f ca="1"/>
        <v>0.36592504321091707</v>
      </c>
      <c r="T78">
        <f ca="1"/>
        <v>0</v>
      </c>
      <c r="U78">
        <f ca="1"/>
        <v>0</v>
      </c>
      <c r="V78">
        <f ca="1"/>
        <v>5.0196381932136411E-3</v>
      </c>
      <c r="X78" s="2">
        <f t="shared" ca="1" si="8"/>
        <v>45191</v>
      </c>
      <c r="Y78">
        <f t="shared" ca="1" si="9"/>
        <v>0</v>
      </c>
      <c r="AA78" s="63">
        <f t="shared" ca="1" si="11"/>
        <v>56.045648042605457</v>
      </c>
      <c r="AB78" s="63">
        <f t="shared" ca="1" si="12"/>
        <v>56.045648042605457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45192</v>
      </c>
      <c r="K79">
        <f ca="1"/>
        <v>56.184953007427602</v>
      </c>
      <c r="L79">
        <f ca="1"/>
        <v>0</v>
      </c>
      <c r="M79">
        <f ca="1"/>
        <v>-2.0163493339757643E-2</v>
      </c>
      <c r="N79">
        <f ca="1"/>
        <v>0.15946845816190261</v>
      </c>
      <c r="O79">
        <f ca="1"/>
        <v>0</v>
      </c>
      <c r="P79">
        <f ca="1"/>
        <v>0.96524946299463588</v>
      </c>
      <c r="Q79">
        <f ca="1"/>
        <v>0.52735580417267902</v>
      </c>
      <c r="R79">
        <f ca="1"/>
        <v>0</v>
      </c>
      <c r="S79">
        <f ca="1"/>
        <v>0.35122212784551105</v>
      </c>
      <c r="T79">
        <f ca="1"/>
        <v>0</v>
      </c>
      <c r="U79">
        <f ca="1"/>
        <v>0</v>
      </c>
      <c r="V79">
        <f ca="1"/>
        <v>5.0196381932136411E-3</v>
      </c>
      <c r="X79" s="2">
        <f t="shared" ca="1" si="8"/>
        <v>45192</v>
      </c>
      <c r="Y79">
        <f t="shared" ca="1" si="9"/>
        <v>0</v>
      </c>
      <c r="AA79" s="63">
        <f t="shared" ca="1" si="11"/>
        <v>56.184953007427602</v>
      </c>
      <c r="AB79" s="63">
        <f t="shared" ca="1" si="12"/>
        <v>56.184953007427602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45193</v>
      </c>
      <c r="K80">
        <f ca="1"/>
        <v>56.331486158810712</v>
      </c>
      <c r="L80">
        <f ca="1"/>
        <v>0</v>
      </c>
      <c r="M80">
        <f ca="1"/>
        <v>-1.9652985890957098E-2</v>
      </c>
      <c r="N80">
        <f ca="1"/>
        <v>0.16618613727406917</v>
      </c>
      <c r="O80">
        <f ca="1"/>
        <v>0</v>
      </c>
      <c r="P80">
        <f ca="1"/>
        <v>0.96524946299463588</v>
      </c>
      <c r="Q80">
        <f ca="1"/>
        <v>0.52735580417267902</v>
      </c>
      <c r="R80">
        <f ca="1"/>
        <v>0</v>
      </c>
      <c r="S80">
        <f ca="1"/>
        <v>0.34504876910167931</v>
      </c>
      <c r="T80">
        <f ca="1"/>
        <v>0</v>
      </c>
      <c r="U80">
        <f ca="1"/>
        <v>0</v>
      </c>
      <c r="V80">
        <f ca="1"/>
        <v>5.0196381932136411E-3</v>
      </c>
      <c r="X80" s="2">
        <f t="shared" ca="1" si="8"/>
        <v>45193</v>
      </c>
      <c r="Y80">
        <f t="shared" ca="1" si="9"/>
        <v>0</v>
      </c>
      <c r="AA80" s="63">
        <f t="shared" ca="1" si="11"/>
        <v>56.331486158810712</v>
      </c>
      <c r="AB80" s="63">
        <f t="shared" ca="1" si="12"/>
        <v>56.331486158810712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45194</v>
      </c>
      <c r="K81">
        <f ca="1"/>
        <v>56.47127314567021</v>
      </c>
      <c r="L81">
        <f ca="1"/>
        <v>0</v>
      </c>
      <c r="M81">
        <f ca="1"/>
        <v>-1.8062704812649599E-2</v>
      </c>
      <c r="N81">
        <f ca="1"/>
        <v>0.15784969167214796</v>
      </c>
      <c r="O81">
        <f ca="1"/>
        <v>0</v>
      </c>
      <c r="P81">
        <f ca="1"/>
        <v>0.96524946299463588</v>
      </c>
      <c r="Q81">
        <f ca="1"/>
        <v>0.52735580417267902</v>
      </c>
      <c r="R81">
        <f ca="1"/>
        <v>0</v>
      </c>
      <c r="S81">
        <f ca="1"/>
        <v>0.34196158615218541</v>
      </c>
      <c r="T81">
        <f ca="1"/>
        <v>0</v>
      </c>
      <c r="U81">
        <f ca="1"/>
        <v>0</v>
      </c>
      <c r="V81">
        <f ca="1"/>
        <v>5.0196381932136411E-3</v>
      </c>
      <c r="X81" s="2">
        <f t="shared" ca="1" si="8"/>
        <v>45194</v>
      </c>
      <c r="Y81">
        <f t="shared" ca="1" si="9"/>
        <v>0</v>
      </c>
      <c r="AA81" s="63">
        <f t="shared" ca="1" si="11"/>
        <v>56.47127314567021</v>
      </c>
      <c r="AB81" s="63">
        <f t="shared" ca="1" si="12"/>
        <v>56.47127314567021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45195</v>
      </c>
      <c r="K82">
        <f ca="1"/>
        <v>56.622149734161269</v>
      </c>
      <c r="L82">
        <f ca="1"/>
        <v>0</v>
      </c>
      <c r="M82">
        <f ca="1"/>
        <v>-1.7702301062053394E-2</v>
      </c>
      <c r="N82">
        <f ca="1"/>
        <v>0.16857888955311376</v>
      </c>
      <c r="O82">
        <f ca="1"/>
        <v>0</v>
      </c>
      <c r="P82">
        <f ca="1"/>
        <v>0.96524946299463588</v>
      </c>
      <c r="Q82">
        <f ca="1"/>
        <v>0.52735580417267902</v>
      </c>
      <c r="R82">
        <f ca="1"/>
        <v>0</v>
      </c>
      <c r="S82">
        <f ca="1"/>
        <v>0.33082426617453042</v>
      </c>
      <c r="T82">
        <f ca="1"/>
        <v>0</v>
      </c>
      <c r="U82">
        <f ca="1"/>
        <v>0</v>
      </c>
      <c r="V82">
        <f ca="1"/>
        <v>5.0196381932136411E-3</v>
      </c>
      <c r="X82" s="2">
        <f t="shared" ca="1" si="8"/>
        <v>45195</v>
      </c>
      <c r="Y82">
        <f t="shared" ca="1" si="9"/>
        <v>0</v>
      </c>
      <c r="AA82" s="63">
        <f t="shared" ca="1" si="11"/>
        <v>56.622149734161269</v>
      </c>
      <c r="AB82" s="63">
        <f t="shared" ca="1" si="12"/>
        <v>56.622149734161269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45196</v>
      </c>
      <c r="K83">
        <f ca="1"/>
        <v>56.774500239729193</v>
      </c>
      <c r="L83">
        <f ca="1"/>
        <v>0</v>
      </c>
      <c r="M83">
        <f ca="1"/>
        <v>-1.63367602501161E-2</v>
      </c>
      <c r="N83">
        <f ca="1"/>
        <v>0.16868726581803423</v>
      </c>
      <c r="O83">
        <f ca="1"/>
        <v>0</v>
      </c>
      <c r="P83">
        <f ca="1"/>
        <v>0.96524946299463588</v>
      </c>
      <c r="Q83">
        <f ca="1"/>
        <v>0.52735580417267902</v>
      </c>
      <c r="R83">
        <f ca="1"/>
        <v>0</v>
      </c>
      <c r="S83">
        <f ca="1"/>
        <v>0.31412209598586605</v>
      </c>
      <c r="T83">
        <f ca="1"/>
        <v>0</v>
      </c>
      <c r="U83">
        <f ca="1"/>
        <v>0</v>
      </c>
      <c r="V83">
        <f ca="1"/>
        <v>5.0196381932136411E-3</v>
      </c>
      <c r="X83" s="2">
        <f t="shared" ca="1" si="8"/>
        <v>45196</v>
      </c>
      <c r="Y83">
        <f t="shared" ca="1" si="9"/>
        <v>0</v>
      </c>
      <c r="AA83" s="63">
        <f t="shared" ca="1" si="11"/>
        <v>56.774500239729193</v>
      </c>
      <c r="AB83" s="63">
        <f t="shared" ca="1" si="12"/>
        <v>56.774500239729193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45197</v>
      </c>
      <c r="K84">
        <f ca="1"/>
        <v>56.92339123750569</v>
      </c>
      <c r="L84">
        <f ca="1"/>
        <v>0</v>
      </c>
      <c r="M84">
        <f ca="1"/>
        <v>-1.5264640988265299E-2</v>
      </c>
      <c r="N84">
        <f ca="1"/>
        <v>0.16415563876476355</v>
      </c>
      <c r="O84">
        <f ca="1"/>
        <v>0</v>
      </c>
      <c r="P84">
        <f ca="1"/>
        <v>0.96524946299463588</v>
      </c>
      <c r="Q84">
        <f ca="1"/>
        <v>0.52735580417267902</v>
      </c>
      <c r="R84">
        <f ca="1"/>
        <v>0</v>
      </c>
      <c r="S84">
        <f ca="1"/>
        <v>0.31161673175746774</v>
      </c>
      <c r="T84">
        <f ca="1"/>
        <v>0</v>
      </c>
      <c r="U84">
        <f ca="1"/>
        <v>0</v>
      </c>
      <c r="V84">
        <f ca="1"/>
        <v>5.0196381932136411E-3</v>
      </c>
      <c r="X84" s="2">
        <f t="shared" ca="1" si="8"/>
        <v>45197</v>
      </c>
      <c r="Y84">
        <f t="shared" ca="1" si="9"/>
        <v>0</v>
      </c>
      <c r="AA84" s="63">
        <f t="shared" ca="1" si="11"/>
        <v>56.92339123750569</v>
      </c>
      <c r="AB84" s="63">
        <f t="shared" ca="1" si="12"/>
        <v>56.92339123750569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45198</v>
      </c>
      <c r="K85">
        <f ca="1"/>
        <v>57.070229194962238</v>
      </c>
      <c r="L85">
        <f ca="1"/>
        <v>0</v>
      </c>
      <c r="M85">
        <f ca="1"/>
        <v>-1.4257594163949783E-2</v>
      </c>
      <c r="N85">
        <f ca="1"/>
        <v>0.16109555162049796</v>
      </c>
      <c r="O85">
        <f ca="1"/>
        <v>0</v>
      </c>
      <c r="P85">
        <f ca="1"/>
        <v>0.96524946299463588</v>
      </c>
      <c r="Q85">
        <f ca="1"/>
        <v>0.52735580417267902</v>
      </c>
      <c r="R85">
        <f ca="1"/>
        <v>0</v>
      </c>
      <c r="S85">
        <f ca="1"/>
        <v>0.30638770913202434</v>
      </c>
      <c r="T85">
        <f ca="1"/>
        <v>0</v>
      </c>
      <c r="U85">
        <f ca="1"/>
        <v>0</v>
      </c>
      <c r="V85">
        <f ca="1"/>
        <v>5.0196381932136411E-3</v>
      </c>
      <c r="X85" s="2">
        <f t="shared" ca="1" si="8"/>
        <v>45198</v>
      </c>
      <c r="Y85">
        <f t="shared" ca="1" si="9"/>
        <v>0</v>
      </c>
      <c r="AA85" s="63">
        <f t="shared" ca="1" si="11"/>
        <v>57.070229194962238</v>
      </c>
      <c r="AB85" s="63">
        <f t="shared" ca="1" si="12"/>
        <v>57.070229194962238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45199</v>
      </c>
      <c r="K86">
        <f ca="1"/>
        <v>57.233061396276263</v>
      </c>
      <c r="L86">
        <f ca="1"/>
        <v>0</v>
      </c>
      <c r="M86">
        <f ca="1"/>
        <v>-1.3964581957993438E-2</v>
      </c>
      <c r="N86">
        <f ca="1"/>
        <v>0.17679678327201764</v>
      </c>
      <c r="O86">
        <f ca="1"/>
        <v>0</v>
      </c>
      <c r="P86">
        <f ca="1"/>
        <v>0.96524946299463588</v>
      </c>
      <c r="Q86">
        <f ca="1"/>
        <v>0.52735580417267902</v>
      </c>
      <c r="R86">
        <f ca="1"/>
        <v>0</v>
      </c>
      <c r="S86">
        <f ca="1"/>
        <v>0.28870891975599011</v>
      </c>
      <c r="T86">
        <f ca="1"/>
        <v>0</v>
      </c>
      <c r="U86">
        <f ca="1"/>
        <v>0</v>
      </c>
      <c r="V86">
        <f ca="1"/>
        <v>5.0196381932136411E-3</v>
      </c>
      <c r="X86" s="2">
        <f t="shared" ca="1" si="8"/>
        <v>45199</v>
      </c>
      <c r="Y86">
        <f t="shared" ca="1" si="9"/>
        <v>0</v>
      </c>
      <c r="AA86" s="63">
        <f t="shared" ca="1" si="11"/>
        <v>57.233061396276263</v>
      </c>
      <c r="AB86" s="63">
        <f t="shared" ca="1" si="12"/>
        <v>57.233061396276263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45200</v>
      </c>
      <c r="K87">
        <f ca="1"/>
        <v>57.342683595288619</v>
      </c>
      <c r="L87">
        <f ca="1"/>
        <v>5.1890685978235651E-2</v>
      </c>
      <c r="M87">
        <f ca="1"/>
        <v>-1.2631193807589369E-2</v>
      </c>
      <c r="N87">
        <f ca="1"/>
        <v>0.17414407879818017</v>
      </c>
      <c r="O87">
        <f ca="1"/>
        <v>0</v>
      </c>
      <c r="P87">
        <f ca="1"/>
        <v>1.0171401489728715</v>
      </c>
      <c r="Q87">
        <f ca="1"/>
        <v>0.55570583748761759</v>
      </c>
      <c r="R87">
        <f ca="1"/>
        <v>0</v>
      </c>
      <c r="S87">
        <f ca="1"/>
        <v>0.27194940411491636</v>
      </c>
      <c r="T87">
        <f ca="1"/>
        <v>0</v>
      </c>
      <c r="U87">
        <f ca="1"/>
        <v>0</v>
      </c>
      <c r="V87">
        <f ca="1"/>
        <v>5.7214945691144645E-3</v>
      </c>
      <c r="X87" s="2">
        <f t="shared" ca="1" si="8"/>
        <v>45200</v>
      </c>
      <c r="Y87">
        <f t="shared" ca="1" si="9"/>
        <v>0</v>
      </c>
      <c r="AA87" s="63">
        <f t="shared" ca="1" si="11"/>
        <v>57.394574281266856</v>
      </c>
      <c r="AB87" s="63">
        <f t="shared" ca="1" si="12"/>
        <v>57.394574281266856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45201</v>
      </c>
      <c r="K88">
        <f ca="1"/>
        <v>57.446897705309688</v>
      </c>
      <c r="L88">
        <f ca="1"/>
        <v>6.0604852695431033E-2</v>
      </c>
      <c r="M88">
        <f ca="1"/>
        <v>-1.1783735951360619E-2</v>
      </c>
      <c r="N88">
        <f ca="1"/>
        <v>0.17660269866786515</v>
      </c>
      <c r="O88">
        <f ca="1"/>
        <v>0</v>
      </c>
      <c r="P88">
        <f ca="1"/>
        <v>1.0777450016683026</v>
      </c>
      <c r="Q88">
        <f ca="1"/>
        <v>0.58881678139926752</v>
      </c>
      <c r="R88">
        <f ca="1"/>
        <v>0</v>
      </c>
      <c r="S88">
        <f ca="1"/>
        <v>0.25925442848048103</v>
      </c>
      <c r="T88">
        <f ca="1"/>
        <v>0</v>
      </c>
      <c r="U88">
        <f ca="1"/>
        <v>0</v>
      </c>
      <c r="V88">
        <f ca="1"/>
        <v>6.6113112022474947E-3</v>
      </c>
      <c r="X88" s="2">
        <f t="shared" ca="1" si="8"/>
        <v>45201</v>
      </c>
      <c r="Y88">
        <f t="shared" ca="1" si="9"/>
        <v>0</v>
      </c>
      <c r="AA88" s="63">
        <f t="shared" ca="1" si="11"/>
        <v>57.507502558005122</v>
      </c>
      <c r="AB88" s="63">
        <f t="shared" ca="1" si="12"/>
        <v>57.507502558005122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45202</v>
      </c>
      <c r="K89">
        <f ca="1"/>
        <v>57.544106704561884</v>
      </c>
      <c r="L89">
        <f ca="1"/>
        <v>5.6794480555270477E-2</v>
      </c>
      <c r="M89">
        <f ca="1"/>
        <v>-1.074498740779628E-2</v>
      </c>
      <c r="N89">
        <f ca="1"/>
        <v>0.16474846721526176</v>
      </c>
      <c r="O89">
        <f ca="1"/>
        <v>0</v>
      </c>
      <c r="P89">
        <f ca="1"/>
        <v>1.134539482223573</v>
      </c>
      <c r="Q89">
        <f ca="1"/>
        <v>0.61984596101970812</v>
      </c>
      <c r="R89">
        <f ca="1"/>
        <v>0</v>
      </c>
      <c r="S89">
        <f ca="1"/>
        <v>0.25944675899096992</v>
      </c>
      <c r="T89">
        <f ca="1"/>
        <v>0</v>
      </c>
      <c r="U89">
        <f ca="1"/>
        <v>0</v>
      </c>
      <c r="V89">
        <f ca="1"/>
        <v>7.5153462546830438E-3</v>
      </c>
      <c r="X89" s="2">
        <f t="shared" ca="1" si="8"/>
        <v>45202</v>
      </c>
      <c r="Y89">
        <f t="shared" ca="1" si="9"/>
        <v>0</v>
      </c>
      <c r="AA89" s="63">
        <f t="shared" ca="1" si="11"/>
        <v>57.600901185117152</v>
      </c>
      <c r="AB89" s="63">
        <f t="shared" ca="1" si="12"/>
        <v>57.600901185117152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45203</v>
      </c>
      <c r="K90">
        <f ca="1"/>
        <v>57.637907672287831</v>
      </c>
      <c r="L90">
        <f ca="1"/>
        <v>5.6936683618144857E-2</v>
      </c>
      <c r="M90">
        <f ca="1"/>
        <v>-1.0208529295037572E-2</v>
      </c>
      <c r="N90">
        <f ca="1"/>
        <v>0.16094618063913194</v>
      </c>
      <c r="O90">
        <f ca="1"/>
        <v>0</v>
      </c>
      <c r="P90">
        <f ca="1"/>
        <v>1.1914761658417179</v>
      </c>
      <c r="Q90">
        <f ca="1"/>
        <v>0.6509528320696214</v>
      </c>
      <c r="R90">
        <f ca="1"/>
        <v>0</v>
      </c>
      <c r="S90">
        <f ca="1"/>
        <v>0.26175674125651788</v>
      </c>
      <c r="T90">
        <f ca="1"/>
        <v>0</v>
      </c>
      <c r="U90">
        <f ca="1"/>
        <v>0</v>
      </c>
      <c r="V90">
        <f ca="1"/>
        <v>8.4913011964490304E-3</v>
      </c>
      <c r="X90" s="2">
        <f t="shared" ca="1" si="8"/>
        <v>45203</v>
      </c>
      <c r="Y90">
        <f t="shared" ca="1" si="9"/>
        <v>0</v>
      </c>
      <c r="AA90" s="63">
        <f t="shared" ca="1" si="11"/>
        <v>57.694844355905978</v>
      </c>
      <c r="AB90" s="63">
        <f t="shared" ca="1" si="12"/>
        <v>57.694844355905978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45204</v>
      </c>
      <c r="K91">
        <f ca="1"/>
        <v>57.727833814842221</v>
      </c>
      <c r="L91">
        <f ca="1"/>
        <v>5.8891499320325558E-2</v>
      </c>
      <c r="M91">
        <f ca="1"/>
        <v>-9.4274209529539021E-3</v>
      </c>
      <c r="N91">
        <f ca="1"/>
        <v>0.15824506282766956</v>
      </c>
      <c r="O91">
        <f ca="1"/>
        <v>0</v>
      </c>
      <c r="P91">
        <f ca="1"/>
        <v>1.2503676651620435</v>
      </c>
      <c r="Q91">
        <f ca="1"/>
        <v>0.68312769999097001</v>
      </c>
      <c r="R91">
        <f ca="1"/>
        <v>0</v>
      </c>
      <c r="S91">
        <f ca="1"/>
        <v>0.25331912159775555</v>
      </c>
      <c r="T91">
        <f ca="1"/>
        <v>0</v>
      </c>
      <c r="U91">
        <f ca="1"/>
        <v>0</v>
      </c>
      <c r="V91">
        <f ca="1"/>
        <v>9.5756173386439842E-3</v>
      </c>
      <c r="X91" s="2">
        <f t="shared" ca="1" si="8"/>
        <v>45204</v>
      </c>
      <c r="Y91">
        <f t="shared" ca="1" si="9"/>
        <v>0</v>
      </c>
      <c r="AA91" s="63">
        <f t="shared" ca="1" si="11"/>
        <v>57.786725314162545</v>
      </c>
      <c r="AB91" s="63">
        <f t="shared" ca="1" si="12"/>
        <v>57.786725314162545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45205</v>
      </c>
      <c r="K92">
        <f ca="1"/>
        <v>57.815588662322554</v>
      </c>
      <c r="L92">
        <f ca="1"/>
        <v>6.8463888279064689E-2</v>
      </c>
      <c r="M92">
        <f ca="1"/>
        <v>-8.9884733305769515E-3</v>
      </c>
      <c r="N92">
        <f ca="1"/>
        <v>0.16520720908997419</v>
      </c>
      <c r="O92">
        <f ca="1"/>
        <v>0</v>
      </c>
      <c r="P92">
        <f ca="1"/>
        <v>1.3188315534411081</v>
      </c>
      <c r="Q92">
        <f ca="1"/>
        <v>0.7205323609044102</v>
      </c>
      <c r="R92">
        <f ca="1"/>
        <v>0</v>
      </c>
      <c r="S92">
        <f ca="1"/>
        <v>0.24178554781987244</v>
      </c>
      <c r="T92">
        <f ca="1"/>
        <v>0</v>
      </c>
      <c r="U92">
        <f ca="1"/>
        <v>0</v>
      </c>
      <c r="V92">
        <f ca="1"/>
        <v>1.0933733541352898E-2</v>
      </c>
      <c r="X92" s="2">
        <f t="shared" ca="1" si="8"/>
        <v>45205</v>
      </c>
      <c r="Y92">
        <f t="shared" ca="1" si="9"/>
        <v>0</v>
      </c>
      <c r="AA92" s="63">
        <f t="shared" ca="1" si="11"/>
        <v>57.884052550601616</v>
      </c>
      <c r="AB92" s="63">
        <f t="shared" ca="1" si="12"/>
        <v>57.884052550601616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45206</v>
      </c>
      <c r="K93">
        <f ca="1"/>
        <v>57.898873654142029</v>
      </c>
      <c r="L93">
        <f ca="1"/>
        <v>7.3151457720182833E-2</v>
      </c>
      <c r="M93">
        <f ca="1"/>
        <v>-8.3235556408753908E-3</v>
      </c>
      <c r="N93">
        <f ca="1"/>
        <v>0.16476000518053835</v>
      </c>
      <c r="O93">
        <f ca="1"/>
        <v>0</v>
      </c>
      <c r="P93">
        <f ca="1"/>
        <v>1.391983011161291</v>
      </c>
      <c r="Q93">
        <f ca="1"/>
        <v>0.76049803536616856</v>
      </c>
      <c r="R93">
        <f ca="1"/>
        <v>0</v>
      </c>
      <c r="S93">
        <f ca="1"/>
        <v>0.23206580929557138</v>
      </c>
      <c r="T93">
        <f ca="1"/>
        <v>0</v>
      </c>
      <c r="U93">
        <f ca="1"/>
        <v>0</v>
      </c>
      <c r="V93">
        <f ca="1"/>
        <v>1.2502959693193462E-2</v>
      </c>
      <c r="X93" s="2">
        <f t="shared" ca="1" si="8"/>
        <v>45206</v>
      </c>
      <c r="Y93">
        <f t="shared" ca="1" si="9"/>
        <v>0</v>
      </c>
      <c r="AA93" s="63">
        <f t="shared" ca="1" si="11"/>
        <v>57.972025111862216</v>
      </c>
      <c r="AB93" s="63">
        <f t="shared" ca="1" si="12"/>
        <v>57.972025111862209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45207</v>
      </c>
      <c r="K94">
        <f ca="1"/>
        <v>57.978219897741972</v>
      </c>
      <c r="L94">
        <f ca="1"/>
        <v>6.7933533307847016E-2</v>
      </c>
      <c r="M94">
        <f ca="1"/>
        <v>-7.8682045047226978E-3</v>
      </c>
      <c r="N94">
        <f ca="1"/>
        <v>0.15514798141251152</v>
      </c>
      <c r="O94">
        <f ca="1"/>
        <v>0</v>
      </c>
      <c r="P94">
        <f ca="1"/>
        <v>1.459916544469138</v>
      </c>
      <c r="Q94">
        <f ca="1"/>
        <v>0.79761294136850447</v>
      </c>
      <c r="R94">
        <f ca="1"/>
        <v>0</v>
      </c>
      <c r="S94">
        <f ca="1"/>
        <v>0.24031365415998909</v>
      </c>
      <c r="T94">
        <f ca="1"/>
        <v>0</v>
      </c>
      <c r="U94">
        <f ca="1"/>
        <v>0</v>
      </c>
      <c r="V94">
        <f ca="1"/>
        <v>1.4071485524441421E-2</v>
      </c>
      <c r="X94" s="2">
        <f t="shared" ca="1" si="8"/>
        <v>45207</v>
      </c>
      <c r="Y94">
        <f t="shared" ca="1" si="9"/>
        <v>0</v>
      </c>
      <c r="AA94" s="63">
        <f t="shared" ca="1" si="11"/>
        <v>58.046153431049817</v>
      </c>
      <c r="AB94" s="63">
        <f t="shared" ca="1" si="12"/>
        <v>58.046153431049817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45208</v>
      </c>
      <c r="K95">
        <f ca="1"/>
        <v>58.0546738385612</v>
      </c>
      <c r="L95">
        <f ca="1"/>
        <v>6.7064476995383426E-2</v>
      </c>
      <c r="M95">
        <f ca="1"/>
        <v>-7.4731482417158546E-3</v>
      </c>
      <c r="N95">
        <f ca="1"/>
        <v>0.15099156605632952</v>
      </c>
      <c r="O95">
        <f ca="1"/>
        <v>0</v>
      </c>
      <c r="P95">
        <f ca="1"/>
        <v>1.5269810214645214</v>
      </c>
      <c r="Q95">
        <f ca="1"/>
        <v>0.83425304587329929</v>
      </c>
      <c r="R95">
        <f ca="1"/>
        <v>0</v>
      </c>
      <c r="S95">
        <f ca="1"/>
        <v>0.24314635373881435</v>
      </c>
      <c r="T95">
        <f ca="1"/>
        <v>0</v>
      </c>
      <c r="U95">
        <f ca="1"/>
        <v>0</v>
      </c>
      <c r="V95">
        <f ca="1"/>
        <v>1.5726651707334994E-2</v>
      </c>
      <c r="X95" s="2">
        <f t="shared" ca="1" si="8"/>
        <v>45208</v>
      </c>
      <c r="Y95">
        <f t="shared" ca="1" si="9"/>
        <v>0</v>
      </c>
      <c r="AA95" s="63">
        <f t="shared" ca="1" si="11"/>
        <v>58.121738315556584</v>
      </c>
      <c r="AB95" s="63">
        <f t="shared" ca="1" si="12"/>
        <v>58.121738315556584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45209</v>
      </c>
      <c r="K96">
        <f ca="1"/>
        <v>58.128409994891172</v>
      </c>
      <c r="L96">
        <f ca="1"/>
        <v>6.9132993335294213E-2</v>
      </c>
      <c r="M96">
        <f ca="1"/>
        <v>-7.1359819723930684E-3</v>
      </c>
      <c r="N96">
        <f ca="1"/>
        <v>0.15000513163765386</v>
      </c>
      <c r="O96">
        <f ca="1"/>
        <v>0</v>
      </c>
      <c r="P96">
        <f ca="1"/>
        <v>1.5961140147998156</v>
      </c>
      <c r="Q96">
        <f ca="1"/>
        <v>0.87202326662233798</v>
      </c>
      <c r="R96">
        <f ca="1"/>
        <v>0</v>
      </c>
      <c r="S96">
        <f ca="1"/>
        <v>0.24343183533734281</v>
      </c>
      <c r="T96">
        <f ca="1"/>
        <v>0</v>
      </c>
      <c r="U96">
        <f ca="1"/>
        <v>0</v>
      </c>
      <c r="V96">
        <f ca="1"/>
        <v>1.7545311995583186E-2</v>
      </c>
      <c r="X96" s="2">
        <f t="shared" ca="1" si="8"/>
        <v>45209</v>
      </c>
      <c r="Y96">
        <f t="shared" ca="1" si="9"/>
        <v>0</v>
      </c>
      <c r="AA96" s="63">
        <f t="shared" ca="1" si="11"/>
        <v>58.197542988226459</v>
      </c>
      <c r="AB96" s="63">
        <f t="shared" ca="1" si="12"/>
        <v>58.197542988226466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45210</v>
      </c>
      <c r="K97">
        <f ca="1"/>
        <v>58.198478482549007</v>
      </c>
      <c r="L97">
        <f ca="1"/>
        <v>8.2322449261024389E-2</v>
      </c>
      <c r="M97">
        <f ca="1"/>
        <v>-6.990350077144214E-3</v>
      </c>
      <c r="N97">
        <f ca="1"/>
        <v>0.15938128699600432</v>
      </c>
      <c r="O97">
        <f ca="1"/>
        <v>0</v>
      </c>
      <c r="P97">
        <f ca="1"/>
        <v>1.67843646406084</v>
      </c>
      <c r="Q97">
        <f ca="1"/>
        <v>0.91699943402348327</v>
      </c>
      <c r="R97">
        <f ca="1"/>
        <v>0</v>
      </c>
      <c r="S97">
        <f ca="1"/>
        <v>0.23755680890320113</v>
      </c>
      <c r="T97">
        <f ca="1"/>
        <v>0</v>
      </c>
      <c r="U97">
        <f ca="1"/>
        <v>0</v>
      </c>
      <c r="V97">
        <f ca="1"/>
        <v>1.986162856856543E-2</v>
      </c>
      <c r="X97" s="2">
        <f t="shared" ca="1" si="8"/>
        <v>45210</v>
      </c>
      <c r="Y97">
        <f t="shared" ca="1" si="9"/>
        <v>0</v>
      </c>
      <c r="AA97" s="63">
        <f t="shared" ca="1" si="11"/>
        <v>58.280800931810028</v>
      </c>
      <c r="AB97" s="63">
        <f t="shared" ca="1" si="12"/>
        <v>58.280800931810035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45211</v>
      </c>
      <c r="K98">
        <f ca="1"/>
        <v>58.263138806612496</v>
      </c>
      <c r="L98">
        <f ca="1"/>
        <v>0.10605458808393275</v>
      </c>
      <c r="M98">
        <f ca="1"/>
        <v>-7.0144178650028977E-3</v>
      </c>
      <c r="N98">
        <f ca="1"/>
        <v>0.17772933001242855</v>
      </c>
      <c r="O98">
        <f ca="1"/>
        <v>0</v>
      </c>
      <c r="P98">
        <f ca="1"/>
        <v>1.7844910521447728</v>
      </c>
      <c r="Q98">
        <f ca="1"/>
        <v>0.97494145287909517</v>
      </c>
      <c r="R98">
        <f ca="1"/>
        <v>0</v>
      </c>
      <c r="S98">
        <f ca="1"/>
        <v>0.2289368977823058</v>
      </c>
      <c r="T98">
        <f ca="1"/>
        <v>0</v>
      </c>
      <c r="U98">
        <f ca="1"/>
        <v>0</v>
      </c>
      <c r="V98">
        <f ca="1"/>
        <v>2.3089906010695344E-2</v>
      </c>
      <c r="X98" s="2">
        <f t="shared" ca="1" si="8"/>
        <v>45211</v>
      </c>
      <c r="Y98">
        <f t="shared" ca="1" si="9"/>
        <v>0</v>
      </c>
      <c r="AA98" s="63">
        <f t="shared" ca="1" si="11"/>
        <v>58.369193394696431</v>
      </c>
      <c r="AB98" s="63">
        <f t="shared" ca="1" si="12"/>
        <v>58.369193394696431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45212</v>
      </c>
      <c r="K99">
        <f ca="1"/>
        <v>58.322132378615677</v>
      </c>
      <c r="L99">
        <f ca="1"/>
        <v>0.10341386109681938</v>
      </c>
      <c r="M99">
        <f ca="1"/>
        <v>-6.4418994567319032E-3</v>
      </c>
      <c r="N99">
        <f ca="1"/>
        <v>0.16884933255673382</v>
      </c>
      <c r="O99">
        <f ca="1"/>
        <v>0</v>
      </c>
      <c r="P99">
        <f ca="1"/>
        <v>1.8879049132415922</v>
      </c>
      <c r="Q99">
        <f ca="1"/>
        <v>1.031440733088089</v>
      </c>
      <c r="R99">
        <f ca="1"/>
        <v>0</v>
      </c>
      <c r="S99">
        <f ca="1"/>
        <v>0.22947134110906683</v>
      </c>
      <c r="T99">
        <f ca="1"/>
        <v>0</v>
      </c>
      <c r="U99">
        <f ca="1"/>
        <v>0</v>
      </c>
      <c r="V99">
        <f ca="1"/>
        <v>2.6505124513430796E-2</v>
      </c>
      <c r="X99" s="2">
        <f t="shared" ca="1" si="8"/>
        <v>45212</v>
      </c>
      <c r="Y99">
        <f t="shared" ca="1" si="9"/>
        <v>0</v>
      </c>
      <c r="AA99" s="63">
        <f t="shared" ca="1" si="11"/>
        <v>58.425546239712496</v>
      </c>
      <c r="AB99" s="63">
        <f t="shared" ca="1" si="12"/>
        <v>58.425546239712496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45213</v>
      </c>
      <c r="K100">
        <f ca="1"/>
        <v>58.375358049202013</v>
      </c>
      <c r="L100">
        <f ca="1"/>
        <v>0.10305985737822376</v>
      </c>
      <c r="M100">
        <f ca="1"/>
        <v>-5.8143461415252062E-3</v>
      </c>
      <c r="N100">
        <f ca="1"/>
        <v>0.16209987410608812</v>
      </c>
      <c r="O100">
        <f ca="1"/>
        <v>0</v>
      </c>
      <c r="P100">
        <f ca="1"/>
        <v>1.9909647706198159</v>
      </c>
      <c r="Q100">
        <f ca="1"/>
        <v>1.0877466063874115</v>
      </c>
      <c r="R100">
        <f ca="1"/>
        <v>0</v>
      </c>
      <c r="S100">
        <f ca="1"/>
        <v>0.22277246637462003</v>
      </c>
      <c r="T100">
        <f ca="1"/>
        <v>0</v>
      </c>
      <c r="U100">
        <f ca="1"/>
        <v>0</v>
      </c>
      <c r="V100">
        <f ca="1"/>
        <v>3.017294102038998E-2</v>
      </c>
      <c r="X100" s="2">
        <f t="shared" ca="1" si="8"/>
        <v>45213</v>
      </c>
      <c r="Y100">
        <f t="shared" ca="1" si="9"/>
        <v>0</v>
      </c>
      <c r="AA100" s="63">
        <f t="shared" ca="1" si="11"/>
        <v>58.478417906580241</v>
      </c>
      <c r="AB100" s="63">
        <f t="shared" ca="1" si="12"/>
        <v>58.478417906580241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45214</v>
      </c>
      <c r="K101">
        <f ca="1"/>
        <v>58.422914708611955</v>
      </c>
      <c r="L101">
        <f ca="1"/>
        <v>0.10366658698227038</v>
      </c>
      <c r="M101">
        <f ca="1"/>
        <v>-5.2097562495134753E-3</v>
      </c>
      <c r="N101">
        <f ca="1"/>
        <v>0.15643300264172588</v>
      </c>
      <c r="O101">
        <f ca="1"/>
        <v>0</v>
      </c>
      <c r="P101">
        <f ca="1"/>
        <v>2.0946313576020863</v>
      </c>
      <c r="Q101">
        <f ca="1"/>
        <v>1.1443839612265054</v>
      </c>
      <c r="R101">
        <f ca="1"/>
        <v>0</v>
      </c>
      <c r="S101">
        <f ca="1"/>
        <v>0.21306805710196142</v>
      </c>
      <c r="T101">
        <f ca="1"/>
        <v>0</v>
      </c>
      <c r="U101">
        <f ca="1"/>
        <v>0</v>
      </c>
      <c r="V101">
        <f ca="1"/>
        <v>3.4129179258995591E-2</v>
      </c>
      <c r="X101" s="2">
        <f t="shared" ca="1" si="8"/>
        <v>45214</v>
      </c>
      <c r="Y101">
        <f t="shared" ca="1" si="9"/>
        <v>0</v>
      </c>
      <c r="AA101" s="63">
        <f t="shared" ca="1" si="11"/>
        <v>58.526581295594227</v>
      </c>
      <c r="AB101" s="63">
        <f t="shared" ca="1" si="12"/>
        <v>58.526581295594227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45215</v>
      </c>
      <c r="K102">
        <f ca="1"/>
        <v>58.461368508538243</v>
      </c>
      <c r="L102">
        <f ca="1"/>
        <v>0.11975671450617087</v>
      </c>
      <c r="M102">
        <f ca="1"/>
        <v>-4.9020386070441901E-3</v>
      </c>
      <c r="N102">
        <f ca="1"/>
        <v>0.16311255303950617</v>
      </c>
      <c r="O102">
        <f ca="1"/>
        <v>0</v>
      </c>
      <c r="P102">
        <f ca="1"/>
        <v>2.2143880721082572</v>
      </c>
      <c r="Q102">
        <f ca="1"/>
        <v>1.2098120198835356</v>
      </c>
      <c r="R102">
        <f ca="1"/>
        <v>0</v>
      </c>
      <c r="S102">
        <f ca="1"/>
        <v>0.20194424225575799</v>
      </c>
      <c r="T102">
        <f ca="1"/>
        <v>0</v>
      </c>
      <c r="U102">
        <f ca="1"/>
        <v>0</v>
      </c>
      <c r="V102">
        <f ca="1"/>
        <v>3.9032085129152294E-2</v>
      </c>
      <c r="X102" s="2">
        <f t="shared" ca="1" si="8"/>
        <v>45215</v>
      </c>
      <c r="Y102">
        <f t="shared" ca="1" si="9"/>
        <v>0</v>
      </c>
      <c r="AA102" s="63">
        <f t="shared" ca="1" si="11"/>
        <v>58.581125223044417</v>
      </c>
      <c r="AB102" s="63">
        <f t="shared" ca="1" si="12"/>
        <v>58.581125223044417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45216</v>
      </c>
      <c r="K103">
        <f ca="1"/>
        <v>58.48796134444396</v>
      </c>
      <c r="L103">
        <f ca="1"/>
        <v>0.14263982501847172</v>
      </c>
      <c r="M103">
        <f ca="1"/>
        <v>-4.7238763905603776E-3</v>
      </c>
      <c r="N103">
        <f ca="1"/>
        <v>0.17395653731475366</v>
      </c>
      <c r="O103">
        <f ca="1"/>
        <v>0</v>
      </c>
      <c r="P103">
        <f ca="1"/>
        <v>2.3570278971267289</v>
      </c>
      <c r="Q103">
        <f ca="1"/>
        <v>1.2877420706253346</v>
      </c>
      <c r="R103">
        <f ca="1"/>
        <v>0</v>
      </c>
      <c r="S103">
        <f ca="1"/>
        <v>0.19317563363473958</v>
      </c>
      <c r="T103">
        <f ca="1"/>
        <v>0</v>
      </c>
      <c r="U103">
        <f ca="1"/>
        <v>0</v>
      </c>
      <c r="V103">
        <f ca="1"/>
        <v>4.5333963371154203E-2</v>
      </c>
      <c r="X103" s="2">
        <f t="shared" ca="1" si="8"/>
        <v>45216</v>
      </c>
      <c r="Y103">
        <f t="shared" ca="1" si="9"/>
        <v>0</v>
      </c>
      <c r="AA103" s="63">
        <f t="shared" ca="1" si="11"/>
        <v>58.630601169462437</v>
      </c>
      <c r="AB103" s="63">
        <f t="shared" ca="1" si="12"/>
        <v>58.63060116946243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45217</v>
      </c>
      <c r="K104">
        <f ca="1"/>
        <v>58.507931686810686</v>
      </c>
      <c r="L104">
        <f ca="1"/>
        <v>0.1383977078116474</v>
      </c>
      <c r="M104">
        <f ca="1"/>
        <v>-4.0291435248871466E-3</v>
      </c>
      <c r="N104">
        <f ca="1"/>
        <v>0.16239719370326033</v>
      </c>
      <c r="O104">
        <f ca="1"/>
        <v>0</v>
      </c>
      <c r="P104">
        <f ca="1"/>
        <v>2.4954256049383763</v>
      </c>
      <c r="Q104">
        <f ca="1"/>
        <v>1.363354476844381</v>
      </c>
      <c r="R104">
        <f ca="1"/>
        <v>0</v>
      </c>
      <c r="S104">
        <f ca="1"/>
        <v>0.18006670824736784</v>
      </c>
      <c r="T104">
        <f ca="1"/>
        <v>0</v>
      </c>
      <c r="U104">
        <f ca="1"/>
        <v>0</v>
      </c>
      <c r="V104">
        <f ca="1"/>
        <v>5.1922264103989438E-2</v>
      </c>
      <c r="X104" s="2">
        <f t="shared" ca="1" si="8"/>
        <v>45217</v>
      </c>
      <c r="Y104">
        <f t="shared" ca="1" si="9"/>
        <v>0</v>
      </c>
      <c r="AA104" s="63">
        <f t="shared" ca="1" si="11"/>
        <v>58.646329394622335</v>
      </c>
      <c r="AB104" s="63">
        <f t="shared" ca="1" si="12"/>
        <v>58.646329394622335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45218</v>
      </c>
      <c r="K105">
        <f ca="1"/>
        <v>58.519612193915137</v>
      </c>
      <c r="L105">
        <f ca="1"/>
        <v>0.14568448431887315</v>
      </c>
      <c r="M105">
        <f ca="1"/>
        <v>-3.7257114304836136E-3</v>
      </c>
      <c r="N105">
        <f ca="1"/>
        <v>0.16109070285380256</v>
      </c>
      <c r="O105">
        <f ca="1"/>
        <v>0</v>
      </c>
      <c r="P105">
        <f ca="1"/>
        <v>2.6411100892572494</v>
      </c>
      <c r="Q105">
        <f ca="1"/>
        <v>1.4429479512039602</v>
      </c>
      <c r="R105">
        <f ca="1"/>
        <v>0</v>
      </c>
      <c r="S105">
        <f ca="1"/>
        <v>0.17444597884519883</v>
      </c>
      <c r="T105">
        <f ca="1"/>
        <v>0</v>
      </c>
      <c r="U105">
        <f ca="1"/>
        <v>0</v>
      </c>
      <c r="V105">
        <f ca="1"/>
        <v>5.9351064640878359E-2</v>
      </c>
      <c r="X105" s="2">
        <f t="shared" ca="1" si="8"/>
        <v>45218</v>
      </c>
      <c r="Y105">
        <f t="shared" ca="1" si="9"/>
        <v>0</v>
      </c>
      <c r="AA105" s="63">
        <f t="shared" ca="1" si="11"/>
        <v>58.665296678234007</v>
      </c>
      <c r="AB105" s="63">
        <f t="shared" ca="1" si="12"/>
        <v>58.665296678234007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45219</v>
      </c>
      <c r="K106">
        <f ca="1"/>
        <v>58.520783683989542</v>
      </c>
      <c r="L106">
        <f ca="1"/>
        <v>0.15547716081761909</v>
      </c>
      <c r="M106">
        <f ca="1"/>
        <v>-3.2983484403104057E-3</v>
      </c>
      <c r="N106">
        <f ca="1"/>
        <v>0.15994699933233672</v>
      </c>
      <c r="O106">
        <f ca="1"/>
        <v>0</v>
      </c>
      <c r="P106">
        <f ca="1"/>
        <v>2.7965872500748685</v>
      </c>
      <c r="Q106">
        <f ca="1"/>
        <v>1.5278915707726111</v>
      </c>
      <c r="R106">
        <f ca="1"/>
        <v>0</v>
      </c>
      <c r="S106">
        <f ca="1"/>
        <v>0.16061253488838942</v>
      </c>
      <c r="T106">
        <f ca="1"/>
        <v>0</v>
      </c>
      <c r="U106">
        <f ca="1"/>
        <v>0</v>
      </c>
      <c r="V106">
        <f ca="1"/>
        <v>6.7821420820023043E-2</v>
      </c>
      <c r="X106" s="2">
        <f t="shared" ca="1" si="8"/>
        <v>45219</v>
      </c>
      <c r="Y106">
        <f t="shared" ca="1" si="9"/>
        <v>0</v>
      </c>
      <c r="AA106" s="63">
        <f t="shared" ca="1" si="11"/>
        <v>58.67626084480716</v>
      </c>
      <c r="AB106" s="63">
        <f t="shared" ca="1" si="12"/>
        <v>58.67626084480716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45220</v>
      </c>
      <c r="K107">
        <f ca="1"/>
        <v>58.499898444525634</v>
      </c>
      <c r="L107">
        <f ca="1"/>
        <v>0.19227555722480894</v>
      </c>
      <c r="M107">
        <f ca="1"/>
        <v>-3.135570046596925E-3</v>
      </c>
      <c r="N107">
        <f ca="1"/>
        <v>0.17452588780749798</v>
      </c>
      <c r="O107">
        <f ca="1"/>
        <v>0</v>
      </c>
      <c r="P107">
        <f ca="1"/>
        <v>2.9888628072996775</v>
      </c>
      <c r="Q107">
        <f ca="1"/>
        <v>1.6329396800856772</v>
      </c>
      <c r="R107">
        <f ca="1"/>
        <v>0</v>
      </c>
      <c r="S107">
        <f ca="1"/>
        <v>0.14786134410812807</v>
      </c>
      <c r="T107">
        <f ca="1"/>
        <v>0</v>
      </c>
      <c r="U107">
        <f ca="1"/>
        <v>0</v>
      </c>
      <c r="V107">
        <f ca="1"/>
        <v>7.9038315740497828E-2</v>
      </c>
      <c r="X107" s="2">
        <f t="shared" ca="1" si="8"/>
        <v>45220</v>
      </c>
      <c r="Y107">
        <f t="shared" ca="1" si="9"/>
        <v>0</v>
      </c>
      <c r="AA107" s="63">
        <f t="shared" ca="1" si="11"/>
        <v>58.692174001750445</v>
      </c>
      <c r="AB107" s="63">
        <f t="shared" ca="1" si="12"/>
        <v>58.692174001750445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45221</v>
      </c>
      <c r="K108">
        <f ca="1"/>
        <v>58.478441742108437</v>
      </c>
      <c r="L108">
        <f ca="1"/>
        <v>0.17576496894146265</v>
      </c>
      <c r="M108">
        <f ca="1"/>
        <v>-2.6025117268062559E-3</v>
      </c>
      <c r="N108">
        <f ca="1"/>
        <v>0.15691077825107738</v>
      </c>
      <c r="O108">
        <f ca="1"/>
        <v>0</v>
      </c>
      <c r="P108">
        <f ca="1"/>
        <v>3.1646277762411401</v>
      </c>
      <c r="Q108">
        <f ca="1"/>
        <v>1.7289673704341837</v>
      </c>
      <c r="R108">
        <f ca="1"/>
        <v>0</v>
      </c>
      <c r="S108">
        <f ca="1"/>
        <v>0.13768699805693177</v>
      </c>
      <c r="T108">
        <f ca="1"/>
        <v>0</v>
      </c>
      <c r="U108">
        <f ca="1"/>
        <v>0</v>
      </c>
      <c r="V108">
        <f ca="1"/>
        <v>8.9969927397968608E-2</v>
      </c>
      <c r="X108" s="2">
        <f t="shared" ca="1" si="8"/>
        <v>45221</v>
      </c>
      <c r="Y108">
        <f t="shared" ca="1" si="9"/>
        <v>0</v>
      </c>
      <c r="AA108" s="63">
        <f t="shared" ca="1" si="11"/>
        <v>58.654206711049902</v>
      </c>
      <c r="AB108" s="63">
        <f t="shared" ca="1" si="12"/>
        <v>58.654206711049902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45222</v>
      </c>
      <c r="K109">
        <f ca="1"/>
        <v>58.447234103328633</v>
      </c>
      <c r="L109">
        <f ca="1"/>
        <v>0.1838298747908893</v>
      </c>
      <c r="M109">
        <f ca="1"/>
        <v>-2.3687240790888353E-3</v>
      </c>
      <c r="N109">
        <f ca="1"/>
        <v>0.15499096009017102</v>
      </c>
      <c r="O109">
        <f ca="1"/>
        <v>0</v>
      </c>
      <c r="P109">
        <f ca="1"/>
        <v>3.3484576510320294</v>
      </c>
      <c r="Q109">
        <f ca="1"/>
        <v>1.8294012532467669</v>
      </c>
      <c r="R109">
        <f ca="1"/>
        <v>0</v>
      </c>
      <c r="S109">
        <f ca="1"/>
        <v>0.13079233519429698</v>
      </c>
      <c r="T109">
        <f ca="1"/>
        <v>0</v>
      </c>
      <c r="U109">
        <f ca="1"/>
        <v>0</v>
      </c>
      <c r="V109">
        <f ca="1"/>
        <v>0.10204664311766795</v>
      </c>
      <c r="X109" s="2">
        <f t="shared" ca="1" si="8"/>
        <v>45222</v>
      </c>
      <c r="Y109">
        <f t="shared" ca="1" si="9"/>
        <v>0</v>
      </c>
      <c r="AA109" s="63">
        <f t="shared" ca="1" si="11"/>
        <v>58.631063978119521</v>
      </c>
      <c r="AB109" s="63">
        <f t="shared" ca="1" si="12"/>
        <v>58.631063978119521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45223</v>
      </c>
      <c r="K110">
        <f ca="1"/>
        <v>58.40310586863248</v>
      </c>
      <c r="L110">
        <f ca="1"/>
        <v>0.19668667013246388</v>
      </c>
      <c r="M110">
        <f ca="1"/>
        <v>-2.0897211102823832E-3</v>
      </c>
      <c r="N110">
        <f ca="1"/>
        <v>0.15464815654659209</v>
      </c>
      <c r="O110">
        <f ca="1"/>
        <v>0</v>
      </c>
      <c r="P110">
        <f ca="1"/>
        <v>3.5451443211644933</v>
      </c>
      <c r="Q110">
        <f ca="1"/>
        <v>1.9368593364410889</v>
      </c>
      <c r="R110">
        <f ca="1"/>
        <v>0</v>
      </c>
      <c r="S110">
        <f ca="1"/>
        <v>0.11897945692122373</v>
      </c>
      <c r="T110">
        <f ca="1"/>
        <v>0</v>
      </c>
      <c r="U110">
        <f ca="1"/>
        <v>0</v>
      </c>
      <c r="V110">
        <f ca="1"/>
        <v>0.11563379022270277</v>
      </c>
      <c r="X110" s="2">
        <f t="shared" ca="1" si="8"/>
        <v>45223</v>
      </c>
      <c r="Y110">
        <f t="shared" ca="1" si="9"/>
        <v>0</v>
      </c>
      <c r="AA110" s="63">
        <f t="shared" ca="1" si="11"/>
        <v>58.599792538764945</v>
      </c>
      <c r="AB110" s="63">
        <f t="shared" ca="1" si="12"/>
        <v>58.599792538764945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45224</v>
      </c>
      <c r="K111">
        <f ca="1"/>
        <v>58.342281362736969</v>
      </c>
      <c r="L111">
        <f ca="1"/>
        <v>0.2147291189680427</v>
      </c>
      <c r="M111">
        <f ca="1"/>
        <v>-1.7677395169251042E-3</v>
      </c>
      <c r="N111">
        <f ca="1"/>
        <v>0.1556723525894651</v>
      </c>
      <c r="O111">
        <f ca="1"/>
        <v>0</v>
      </c>
      <c r="P111">
        <f ca="1"/>
        <v>3.759873440132536</v>
      </c>
      <c r="Q111">
        <f ca="1"/>
        <v>2.0541747575358245</v>
      </c>
      <c r="R111">
        <f ca="1"/>
        <v>0</v>
      </c>
      <c r="S111">
        <f ca="1"/>
        <v>0.10254548550209967</v>
      </c>
      <c r="T111">
        <f ca="1"/>
        <v>0</v>
      </c>
      <c r="U111">
        <f ca="1"/>
        <v>0</v>
      </c>
      <c r="V111">
        <f ca="1"/>
        <v>0.13116710246359767</v>
      </c>
      <c r="X111" s="2">
        <f t="shared" ca="1" si="8"/>
        <v>45224</v>
      </c>
      <c r="Y111">
        <f t="shared" ca="1" si="9"/>
        <v>0</v>
      </c>
      <c r="AA111" s="63">
        <f t="shared" ca="1" si="11"/>
        <v>58.557010481705021</v>
      </c>
      <c r="AB111" s="63">
        <f t="shared" ca="1" si="12"/>
        <v>58.557010481705014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45225</v>
      </c>
      <c r="K112">
        <f ca="1"/>
        <v>58.246874202704454</v>
      </c>
      <c r="L112">
        <f ca="1"/>
        <v>0.2635384069417932</v>
      </c>
      <c r="M112">
        <f ca="1"/>
        <v>-1.6397439024213867E-3</v>
      </c>
      <c r="N112">
        <f ca="1"/>
        <v>0.16977099081170077</v>
      </c>
      <c r="O112">
        <f ca="1"/>
        <v>0</v>
      </c>
      <c r="P112">
        <f ca="1"/>
        <v>4.0234118470743292</v>
      </c>
      <c r="Q112">
        <f ca="1"/>
        <v>2.1981567164503648</v>
      </c>
      <c r="R112">
        <f ca="1"/>
        <v>0</v>
      </c>
      <c r="S112">
        <f ca="1"/>
        <v>9.1233461325233703E-2</v>
      </c>
      <c r="T112">
        <f ca="1"/>
        <v>0</v>
      </c>
      <c r="U112">
        <f ca="1"/>
        <v>0</v>
      </c>
      <c r="V112">
        <f ca="1"/>
        <v>0.15108154009643635</v>
      </c>
      <c r="X112" s="2">
        <f t="shared" ca="1" si="8"/>
        <v>45225</v>
      </c>
      <c r="Y112">
        <f t="shared" ca="1" si="9"/>
        <v>0</v>
      </c>
      <c r="AA112" s="63">
        <f t="shared" ca="1" si="11"/>
        <v>58.510412609646245</v>
      </c>
      <c r="AB112" s="63">
        <f t="shared" ca="1" si="12"/>
        <v>58.510412609646245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45226</v>
      </c>
      <c r="K113">
        <f ca="1"/>
        <v>58.143655757925892</v>
      </c>
      <c r="L113">
        <f ca="1"/>
        <v>0.26374524703346314</v>
      </c>
      <c r="M113">
        <f ca="1"/>
        <v>-1.4472006840833274E-3</v>
      </c>
      <c r="N113">
        <f ca="1"/>
        <v>0.16197400293898151</v>
      </c>
      <c r="O113">
        <f ca="1"/>
        <v>0</v>
      </c>
      <c r="P113">
        <f ca="1"/>
        <v>4.2871570941077923</v>
      </c>
      <c r="Q113">
        <f ca="1"/>
        <v>2.3422516806832814</v>
      </c>
      <c r="R113">
        <f ca="1"/>
        <v>0</v>
      </c>
      <c r="S113">
        <f ca="1"/>
        <v>8.5749080068948005E-2</v>
      </c>
      <c r="T113">
        <f ca="1"/>
        <v>0</v>
      </c>
      <c r="U113">
        <f ca="1"/>
        <v>0</v>
      </c>
      <c r="V113">
        <f ca="1"/>
        <v>0.17176351443187476</v>
      </c>
      <c r="X113" s="2">
        <f t="shared" ca="1" si="8"/>
        <v>45226</v>
      </c>
      <c r="Y113">
        <f t="shared" ca="1" si="9"/>
        <v>0</v>
      </c>
      <c r="AA113" s="63">
        <f t="shared" ca="1" si="11"/>
        <v>58.407401004959354</v>
      </c>
      <c r="AB113" s="63">
        <f t="shared" ca="1" si="12"/>
        <v>58.407401004959354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45227</v>
      </c>
      <c r="K114">
        <f ca="1"/>
        <v>58.00790588692098</v>
      </c>
      <c r="L114">
        <f ca="1"/>
        <v>0.30518646451076847</v>
      </c>
      <c r="M114">
        <f ca="1"/>
        <v>-1.3930341088173037E-3</v>
      </c>
      <c r="N114">
        <f ca="1"/>
        <v>0.17082962761467146</v>
      </c>
      <c r="O114">
        <f ca="1"/>
        <v>0</v>
      </c>
      <c r="P114">
        <f ca="1"/>
        <v>4.5923435586185608</v>
      </c>
      <c r="Q114">
        <f ca="1"/>
        <v>2.5089877003184329</v>
      </c>
      <c r="R114">
        <f ca="1"/>
        <v>0</v>
      </c>
      <c r="S114">
        <f ca="1"/>
        <v>8.1313699109939117E-2</v>
      </c>
      <c r="T114">
        <f ca="1"/>
        <v>0</v>
      </c>
      <c r="U114">
        <f ca="1"/>
        <v>0</v>
      </c>
      <c r="V114">
        <f ca="1"/>
        <v>0.19637094778040354</v>
      </c>
      <c r="X114" s="2">
        <f t="shared" ca="1" si="8"/>
        <v>45227</v>
      </c>
      <c r="Y114">
        <f t="shared" ca="1" si="9"/>
        <v>0</v>
      </c>
      <c r="AA114" s="63">
        <f t="shared" ca="1" si="11"/>
        <v>58.313092351431749</v>
      </c>
      <c r="AB114" s="63">
        <f t="shared" ca="1" si="12"/>
        <v>58.313092351431749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45228</v>
      </c>
      <c r="K115">
        <f ca="1"/>
        <v>57.845381979639491</v>
      </c>
      <c r="L115">
        <f ca="1"/>
        <v>0.33413952657604895</v>
      </c>
      <c r="M115">
        <f ca="1"/>
        <v>-1.2527949685310347E-3</v>
      </c>
      <c r="N115">
        <f ca="1"/>
        <v>0.17286841426309554</v>
      </c>
      <c r="O115">
        <f ca="1"/>
        <v>0</v>
      </c>
      <c r="P115">
        <f ca="1"/>
        <v>4.9264830851946098</v>
      </c>
      <c r="Q115">
        <f ca="1"/>
        <v>2.6915419782526646</v>
      </c>
      <c r="R115">
        <f ca="1"/>
        <v>0</v>
      </c>
      <c r="S115">
        <f ca="1"/>
        <v>7.4226296277044523E-2</v>
      </c>
      <c r="T115">
        <f ca="1"/>
        <v>0</v>
      </c>
      <c r="U115">
        <f ca="1"/>
        <v>0</v>
      </c>
      <c r="V115">
        <f ca="1"/>
        <v>0.22380254295341784</v>
      </c>
      <c r="X115" s="2">
        <f t="shared" ca="1" si="8"/>
        <v>45228</v>
      </c>
      <c r="Y115">
        <f t="shared" ca="1" si="9"/>
        <v>0</v>
      </c>
      <c r="AA115" s="63">
        <f t="shared" ca="1" si="11"/>
        <v>58.179521506215544</v>
      </c>
      <c r="AB115" s="63">
        <f t="shared" ca="1" si="12"/>
        <v>58.179521506215536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45229</v>
      </c>
      <c r="K116">
        <f ca="1"/>
        <v>57.669334952564625</v>
      </c>
      <c r="L116">
        <f ca="1"/>
        <v>0.34224160602450571</v>
      </c>
      <c r="M116">
        <f ca="1"/>
        <v>-1.1320716250331486E-3</v>
      </c>
      <c r="N116">
        <f ca="1"/>
        <v>0.16732665057466939</v>
      </c>
      <c r="O116">
        <f ca="1"/>
        <v>0</v>
      </c>
      <c r="P116">
        <f ca="1"/>
        <v>5.2687246912191155</v>
      </c>
      <c r="Q116">
        <f ca="1"/>
        <v>2.8785227581294675</v>
      </c>
      <c r="R116">
        <f ca="1"/>
        <v>0</v>
      </c>
      <c r="S116">
        <f ca="1"/>
        <v>7.0520644550902928E-2</v>
      </c>
      <c r="T116">
        <f ca="1"/>
        <v>0</v>
      </c>
      <c r="U116">
        <f ca="1"/>
        <v>0</v>
      </c>
      <c r="V116">
        <f ca="1"/>
        <v>0.25205288190091402</v>
      </c>
      <c r="X116" s="2">
        <f t="shared" ca="1" si="8"/>
        <v>45229</v>
      </c>
      <c r="Y116">
        <f t="shared" ca="1" si="9"/>
        <v>0</v>
      </c>
      <c r="AA116" s="63">
        <f t="shared" ca="1" si="11"/>
        <v>58.011576558589134</v>
      </c>
      <c r="AB116" s="63">
        <f t="shared" ca="1" si="12"/>
        <v>58.011576558589134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45230</v>
      </c>
      <c r="K117">
        <f ca="1"/>
        <v>57.471975534378174</v>
      </c>
      <c r="L117">
        <f ca="1"/>
        <v>0.36170389302044814</v>
      </c>
      <c r="M117">
        <f ca="1"/>
        <v>-9.5899069588156749E-4</v>
      </c>
      <c r="N117">
        <f ca="1"/>
        <v>0.16530346552987069</v>
      </c>
      <c r="O117">
        <f ca="1"/>
        <v>0</v>
      </c>
      <c r="P117">
        <f ca="1"/>
        <v>5.6304285842395636</v>
      </c>
      <c r="Q117">
        <f ca="1"/>
        <v>3.0761365923650295</v>
      </c>
      <c r="R117">
        <f ca="1"/>
        <v>0</v>
      </c>
      <c r="S117">
        <f ca="1"/>
        <v>6.1507723904552239E-2</v>
      </c>
      <c r="T117">
        <f ca="1"/>
        <v>0</v>
      </c>
      <c r="U117">
        <f ca="1"/>
        <v>0</v>
      </c>
      <c r="V117">
        <f ca="1"/>
        <v>0.28168605562414567</v>
      </c>
      <c r="X117" s="2">
        <f t="shared" ca="1" si="8"/>
        <v>45230</v>
      </c>
      <c r="Y117">
        <f t="shared" ca="1" si="9"/>
        <v>0</v>
      </c>
      <c r="AA117" s="63">
        <f t="shared" ca="1" si="11"/>
        <v>57.833679427398621</v>
      </c>
      <c r="AB117" s="63">
        <f t="shared" ca="1" si="12"/>
        <v>57.833679427398621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45231</v>
      </c>
      <c r="K118">
        <f ca="1"/>
        <v>57.227220922887021</v>
      </c>
      <c r="L118">
        <f ca="1"/>
        <v>0.41818525832623887</v>
      </c>
      <c r="M118">
        <f ca="1"/>
        <v>-8.9744654049184192E-4</v>
      </c>
      <c r="N118">
        <f ca="1"/>
        <v>0.1743280933755752</v>
      </c>
      <c r="O118">
        <f ca="1"/>
        <v>0</v>
      </c>
      <c r="P118">
        <f ca="1"/>
        <v>6.0486138425658025</v>
      </c>
      <c r="Q118">
        <f ca="1"/>
        <v>3.3046085383774133</v>
      </c>
      <c r="R118">
        <f ca="1"/>
        <v>0</v>
      </c>
      <c r="S118">
        <f ca="1"/>
        <v>5.6316662351477399E-2</v>
      </c>
      <c r="T118">
        <f ca="1"/>
        <v>0</v>
      </c>
      <c r="U118">
        <f ca="1"/>
        <v>0</v>
      </c>
      <c r="V118">
        <f ca="1"/>
        <v>0.31519943935613359</v>
      </c>
      <c r="X118" s="2">
        <f t="shared" ca="1" si="8"/>
        <v>45231</v>
      </c>
      <c r="Y118">
        <f t="shared" ca="1" si="9"/>
        <v>0</v>
      </c>
      <c r="AA118" s="63">
        <f t="shared" ca="1" si="11"/>
        <v>57.645406181213261</v>
      </c>
      <c r="AB118" s="63">
        <f t="shared" ca="1" si="12"/>
        <v>57.645406181213261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45232</v>
      </c>
      <c r="K119">
        <f ca="1"/>
        <v>56.97999069435911</v>
      </c>
      <c r="L119">
        <f ca="1"/>
        <v>0.41057084234987951</v>
      </c>
      <c r="M119">
        <f ca="1"/>
        <v>-8.3887635384805037E-4</v>
      </c>
      <c r="N119">
        <f ca="1"/>
        <v>0.16417949017581068</v>
      </c>
      <c r="O119">
        <f ca="1"/>
        <v>0</v>
      </c>
      <c r="P119">
        <f ca="1"/>
        <v>6.459184684915682</v>
      </c>
      <c r="Q119">
        <f ca="1"/>
        <v>3.5289204132222256</v>
      </c>
      <c r="R119">
        <f ca="1"/>
        <v>0</v>
      </c>
      <c r="S119">
        <f ca="1"/>
        <v>5.6403562570642711E-2</v>
      </c>
      <c r="T119">
        <f ca="1"/>
        <v>0</v>
      </c>
      <c r="U119">
        <f ca="1"/>
        <v>0</v>
      </c>
      <c r="V119">
        <f ca="1"/>
        <v>0.34691693635859666</v>
      </c>
      <c r="X119" s="2">
        <f t="shared" ca="1" si="8"/>
        <v>45232</v>
      </c>
      <c r="Y119">
        <f t="shared" ca="1" si="9"/>
        <v>0</v>
      </c>
      <c r="AA119" s="63">
        <f t="shared" ca="1" si="11"/>
        <v>57.390561536708987</v>
      </c>
      <c r="AB119" s="63">
        <f t="shared" ca="1" si="12"/>
        <v>57.390561536708987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45233</v>
      </c>
      <c r="K120">
        <f ca="1"/>
        <v>56.69726305398305</v>
      </c>
      <c r="L120">
        <f ca="1"/>
        <v>0.44867635989968768</v>
      </c>
      <c r="M120">
        <f ca="1"/>
        <v>-7.7554177764049825E-4</v>
      </c>
      <c r="N120">
        <f ca="1"/>
        <v>0.1667242613012658</v>
      </c>
      <c r="O120">
        <f ca="1"/>
        <v>0</v>
      </c>
      <c r="P120">
        <f ca="1"/>
        <v>6.9078610448153697</v>
      </c>
      <c r="Q120">
        <f ca="1"/>
        <v>3.7740509122893724</v>
      </c>
      <c r="R120">
        <f ca="1"/>
        <v>0</v>
      </c>
      <c r="S120">
        <f ca="1"/>
        <v>5.2526303493573553E-2</v>
      </c>
      <c r="T120">
        <f ca="1"/>
        <v>0</v>
      </c>
      <c r="U120">
        <f ca="1"/>
        <v>0</v>
      </c>
      <c r="V120">
        <f ca="1"/>
        <v>0.37987296715553309</v>
      </c>
      <c r="X120" s="2">
        <f t="shared" ca="1" si="8"/>
        <v>45233</v>
      </c>
      <c r="Y120">
        <f t="shared" ca="1" si="9"/>
        <v>0</v>
      </c>
      <c r="AA120" s="63">
        <f t="shared" ca="1" si="11"/>
        <v>57.145939413882736</v>
      </c>
      <c r="AB120" s="63">
        <f t="shared" ca="1" si="12"/>
        <v>57.145939413882736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45234</v>
      </c>
      <c r="K121">
        <f ca="1"/>
        <v>56.381996371803851</v>
      </c>
      <c r="L121">
        <f ca="1"/>
        <v>0.48189252042307995</v>
      </c>
      <c r="M121">
        <f ca="1"/>
        <v>-7.2620394019295986E-4</v>
      </c>
      <c r="N121">
        <f ca="1"/>
        <v>0.16735204218407188</v>
      </c>
      <c r="O121">
        <f ca="1"/>
        <v>0</v>
      </c>
      <c r="P121">
        <f ca="1"/>
        <v>7.3897535652384496</v>
      </c>
      <c r="Q121">
        <f ca="1"/>
        <v>4.0373287771058841</v>
      </c>
      <c r="R121">
        <f ca="1"/>
        <v>0</v>
      </c>
      <c r="S121">
        <f ca="1"/>
        <v>4.9990374607368403E-2</v>
      </c>
      <c r="T121">
        <f ca="1"/>
        <v>0</v>
      </c>
      <c r="U121">
        <f ca="1"/>
        <v>0</v>
      </c>
      <c r="V121">
        <f ca="1"/>
        <v>0.41300015830743519</v>
      </c>
      <c r="X121" s="2">
        <f t="shared" ca="1" si="8"/>
        <v>45234</v>
      </c>
      <c r="Y121">
        <f t="shared" ca="1" si="9"/>
        <v>0</v>
      </c>
      <c r="AA121" s="63">
        <f t="shared" ca="1" si="11"/>
        <v>56.863888892226932</v>
      </c>
      <c r="AB121" s="63">
        <f t="shared" ca="1" si="12"/>
        <v>56.863888892226932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45235</v>
      </c>
      <c r="K122">
        <f ca="1"/>
        <v>56.044487997353016</v>
      </c>
      <c r="L122">
        <f ca="1"/>
        <v>0.50168736443024553</v>
      </c>
      <c r="M122">
        <f ca="1"/>
        <v>-7.3213475978306519E-4</v>
      </c>
      <c r="N122">
        <f ca="1"/>
        <v>0.16491112473919844</v>
      </c>
      <c r="O122">
        <f ca="1"/>
        <v>0</v>
      </c>
      <c r="P122">
        <f ca="1"/>
        <v>7.8914409296686951</v>
      </c>
      <c r="Q122">
        <f ca="1"/>
        <v>4.3114213859653354</v>
      </c>
      <c r="R122">
        <f ca="1"/>
        <v>0</v>
      </c>
      <c r="S122">
        <f ca="1"/>
        <v>5.2091153183453684E-2</v>
      </c>
      <c r="T122">
        <f ca="1"/>
        <v>0</v>
      </c>
      <c r="U122">
        <f ca="1"/>
        <v>0</v>
      </c>
      <c r="V122">
        <f ca="1"/>
        <v>0.44481845933252007</v>
      </c>
      <c r="X122" s="2">
        <f t="shared" ca="1" si="8"/>
        <v>45235</v>
      </c>
      <c r="Y122">
        <f t="shared" ca="1" si="9"/>
        <v>0</v>
      </c>
      <c r="AA122" s="63">
        <f t="shared" ca="1" si="11"/>
        <v>56.546175361783263</v>
      </c>
      <c r="AB122" s="63">
        <f t="shared" ca="1" si="12"/>
        <v>56.546175361783263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45236</v>
      </c>
      <c r="K123">
        <f ca="1"/>
        <v>55.703891431242198</v>
      </c>
      <c r="L123">
        <f ca="1"/>
        <v>0.49723026781265744</v>
      </c>
      <c r="M123">
        <f ca="1"/>
        <v>-6.8266519969384376E-4</v>
      </c>
      <c r="N123">
        <f ca="1"/>
        <v>0.15731636690152337</v>
      </c>
      <c r="O123">
        <f ca="1"/>
        <v>0</v>
      </c>
      <c r="P123">
        <f ca="1"/>
        <v>8.3886711974813526</v>
      </c>
      <c r="Q123">
        <f ca="1"/>
        <v>4.5830788981361534</v>
      </c>
      <c r="R123">
        <f ca="1"/>
        <v>0</v>
      </c>
      <c r="S123">
        <f ca="1"/>
        <v>5.1405919685014657E-2</v>
      </c>
      <c r="T123">
        <f ca="1"/>
        <v>0</v>
      </c>
      <c r="U123">
        <f ca="1"/>
        <v>0</v>
      </c>
      <c r="V123">
        <f ca="1"/>
        <v>0.47362421332409399</v>
      </c>
      <c r="X123" s="2">
        <f t="shared" ca="1" si="8"/>
        <v>45236</v>
      </c>
      <c r="Y123">
        <f t="shared" ca="1" si="9"/>
        <v>0</v>
      </c>
      <c r="AA123" s="63">
        <f t="shared" ca="1" si="11"/>
        <v>56.201121699054852</v>
      </c>
      <c r="AB123" s="63">
        <f t="shared" ca="1" si="12"/>
        <v>56.201121699054852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45237</v>
      </c>
      <c r="K124">
        <f ca="1"/>
        <v>55.317793991748502</v>
      </c>
      <c r="L124">
        <f ca="1"/>
        <v>0.54725215156844875</v>
      </c>
      <c r="M124">
        <f ca="1"/>
        <v>-7.5585702670011301E-4</v>
      </c>
      <c r="N124">
        <f ca="1"/>
        <v>0.16191056910145404</v>
      </c>
      <c r="O124">
        <f ca="1"/>
        <v>0</v>
      </c>
      <c r="P124">
        <f ca="1"/>
        <v>8.9359233490498013</v>
      </c>
      <c r="Q124">
        <f ca="1"/>
        <v>4.8820654394808658</v>
      </c>
      <c r="R124">
        <f ca="1"/>
        <v>0</v>
      </c>
      <c r="S124">
        <f ca="1"/>
        <v>5.7056457122190436E-2</v>
      </c>
      <c r="T124">
        <f ca="1"/>
        <v>0</v>
      </c>
      <c r="U124">
        <f ca="1"/>
        <v>0</v>
      </c>
      <c r="V124">
        <f ca="1"/>
        <v>0.50226009174281461</v>
      </c>
      <c r="X124" s="2">
        <f t="shared" ca="1" si="8"/>
        <v>45237</v>
      </c>
      <c r="Y124">
        <f t="shared" ca="1" si="9"/>
        <v>0</v>
      </c>
      <c r="AA124" s="63">
        <f t="shared" ca="1" si="11"/>
        <v>55.865046143316945</v>
      </c>
      <c r="AB124" s="63">
        <f t="shared" ca="1" si="12"/>
        <v>55.865046143316953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45238</v>
      </c>
      <c r="K125">
        <f ca="1"/>
        <v>54.901492555686175</v>
      </c>
      <c r="L125">
        <f ca="1"/>
        <v>0.57652117441766926</v>
      </c>
      <c r="M125">
        <f ca="1"/>
        <v>-7.0262930876729968E-4</v>
      </c>
      <c r="N125">
        <f ca="1"/>
        <v>0.16092236766411577</v>
      </c>
      <c r="O125">
        <f ca="1"/>
        <v>0</v>
      </c>
      <c r="P125">
        <f ca="1"/>
        <v>9.5124445234674706</v>
      </c>
      <c r="Q125">
        <f ca="1"/>
        <v>5.1970428616017399</v>
      </c>
      <c r="R125">
        <f ca="1"/>
        <v>0</v>
      </c>
      <c r="S125">
        <f ca="1"/>
        <v>5.446275334675095E-2</v>
      </c>
      <c r="T125">
        <f ca="1"/>
        <v>0</v>
      </c>
      <c r="U125">
        <f ca="1"/>
        <v>0</v>
      </c>
      <c r="V125">
        <f ca="1"/>
        <v>0.52913917939647925</v>
      </c>
      <c r="X125" s="2">
        <f t="shared" ca="1" si="8"/>
        <v>45238</v>
      </c>
      <c r="Y125">
        <f t="shared" ca="1" si="9"/>
        <v>0</v>
      </c>
      <c r="AA125" s="63">
        <f t="shared" ca="1" si="11"/>
        <v>55.478013730103847</v>
      </c>
      <c r="AB125" s="63">
        <f t="shared" ca="1" si="12"/>
        <v>55.478013730103847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45239</v>
      </c>
      <c r="K126">
        <f ca="1"/>
        <v>54.432056277500472</v>
      </c>
      <c r="L126">
        <f ca="1"/>
        <v>0.63343975952437503</v>
      </c>
      <c r="M126">
        <f ca="1"/>
        <v>-6.7735203864494054E-4</v>
      </c>
      <c r="N126">
        <f ca="1"/>
        <v>0.16468083337730741</v>
      </c>
      <c r="O126">
        <f ca="1"/>
        <v>0</v>
      </c>
      <c r="P126">
        <f ca="1"/>
        <v>10.145884282991846</v>
      </c>
      <c r="Q126">
        <f ca="1"/>
        <v>5.5431172668053001</v>
      </c>
      <c r="R126">
        <f ca="1"/>
        <v>0</v>
      </c>
      <c r="S126">
        <f ca="1"/>
        <v>5.2713302021156927E-2</v>
      </c>
      <c r="T126">
        <f ca="1"/>
        <v>0</v>
      </c>
      <c r="U126">
        <f ca="1"/>
        <v>0</v>
      </c>
      <c r="V126">
        <f ca="1"/>
        <v>0.5551012511620862</v>
      </c>
      <c r="X126" s="2">
        <f t="shared" ca="1" si="8"/>
        <v>45239</v>
      </c>
      <c r="Y126">
        <f t="shared" ca="1" si="9"/>
        <v>0</v>
      </c>
      <c r="AA126" s="63">
        <f t="shared" ca="1" si="11"/>
        <v>55.065496037024843</v>
      </c>
      <c r="AB126" s="63">
        <f t="shared" ca="1" si="12"/>
        <v>55.065496037024843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45240</v>
      </c>
      <c r="K127">
        <f ca="1"/>
        <v>53.811971045063039</v>
      </c>
      <c r="L127">
        <f ca="1"/>
        <v>0.80666748306833824</v>
      </c>
      <c r="M127">
        <f ca="1"/>
        <v>-6.7224844696056607E-4</v>
      </c>
      <c r="N127">
        <f ca="1"/>
        <v>0.18725449907786451</v>
      </c>
      <c r="O127">
        <f ca="1"/>
        <v>0</v>
      </c>
      <c r="P127">
        <f ca="1"/>
        <v>10.952551766060184</v>
      </c>
      <c r="Q127">
        <f ca="1"/>
        <v>5.9838331599938552</v>
      </c>
      <c r="R127">
        <f ca="1"/>
        <v>0</v>
      </c>
      <c r="S127">
        <f ca="1"/>
        <v>4.822005564054118E-2</v>
      </c>
      <c r="T127">
        <f ca="1"/>
        <v>0</v>
      </c>
      <c r="U127">
        <f ca="1"/>
        <v>0</v>
      </c>
      <c r="V127">
        <f ca="1"/>
        <v>0.58336638368207683</v>
      </c>
      <c r="X127" s="2">
        <f t="shared" ca="1" si="8"/>
        <v>45240</v>
      </c>
      <c r="Y127">
        <f t="shared" ca="1" si="9"/>
        <v>0</v>
      </c>
      <c r="AA127" s="63">
        <f t="shared" ca="1" si="11"/>
        <v>54.618638528131378</v>
      </c>
      <c r="AB127" s="63">
        <f t="shared" ca="1" si="12"/>
        <v>54.618638528131378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45241</v>
      </c>
      <c r="K128">
        <f ca="1"/>
        <v>53.187011318250129</v>
      </c>
      <c r="L128">
        <f ca="1"/>
        <v>0.80100251070417094</v>
      </c>
      <c r="M128">
        <f ca="1"/>
        <v>-6.0794891831861264E-4</v>
      </c>
      <c r="N128">
        <f ca="1"/>
        <v>0.17665073280957691</v>
      </c>
      <c r="O128">
        <f ca="1"/>
        <v>0</v>
      </c>
      <c r="P128">
        <f ca="1"/>
        <v>11.753554276764355</v>
      </c>
      <c r="Q128">
        <f ca="1"/>
        <v>6.4214540438907681</v>
      </c>
      <c r="R128">
        <f ca="1"/>
        <v>0</v>
      </c>
      <c r="S128">
        <f ca="1"/>
        <v>4.673695955919193E-2</v>
      </c>
      <c r="T128">
        <f ca="1"/>
        <v>0</v>
      </c>
      <c r="U128">
        <f ca="1"/>
        <v>0</v>
      </c>
      <c r="V128">
        <f ca="1"/>
        <v>0.6068683964268764</v>
      </c>
      <c r="X128" s="2">
        <f t="shared" ca="1" si="8"/>
        <v>45241</v>
      </c>
      <c r="Y128">
        <f t="shared" ca="1" si="9"/>
        <v>0</v>
      </c>
      <c r="AA128" s="63">
        <f t="shared" ca="1" si="11"/>
        <v>53.988013828954294</v>
      </c>
      <c r="AB128" s="63">
        <f t="shared" ca="1" si="12"/>
        <v>53.988013828954301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45242</v>
      </c>
      <c r="K129">
        <f ca="1"/>
        <v>52.54077221471929</v>
      </c>
      <c r="L129">
        <f ca="1"/>
        <v>0.81744673623840569</v>
      </c>
      <c r="M129">
        <f ca="1"/>
        <v>-6.5867919972184552E-4</v>
      </c>
      <c r="N129">
        <f ca="1"/>
        <v>0.17186631190729326</v>
      </c>
      <c r="O129">
        <f ca="1"/>
        <v>0</v>
      </c>
      <c r="P129">
        <f ca="1"/>
        <v>12.571001013002761</v>
      </c>
      <c r="Q129">
        <f ca="1"/>
        <v>6.8680590900307754</v>
      </c>
      <c r="R129">
        <f ca="1"/>
        <v>0</v>
      </c>
      <c r="S129">
        <f ca="1"/>
        <v>5.3156132745998896E-2</v>
      </c>
      <c r="T129">
        <f ca="1"/>
        <v>0</v>
      </c>
      <c r="U129">
        <f ca="1"/>
        <v>0</v>
      </c>
      <c r="V129">
        <f ca="1"/>
        <v>0.62693343472540841</v>
      </c>
      <c r="X129" s="2">
        <f t="shared" ca="1" si="8"/>
        <v>45242</v>
      </c>
      <c r="Y129">
        <f t="shared" ca="1" si="9"/>
        <v>0</v>
      </c>
      <c r="AA129" s="63">
        <f t="shared" ca="1" si="11"/>
        <v>53.358218950957699</v>
      </c>
      <c r="AB129" s="63">
        <f t="shared" ca="1" si="12"/>
        <v>53.358218950957692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45243</v>
      </c>
      <c r="K130">
        <f ca="1"/>
        <v>51.925106608162451</v>
      </c>
      <c r="L130">
        <f ca="1"/>
        <v>0.77395397470290384</v>
      </c>
      <c r="M130">
        <f ca="1"/>
        <v>-6.0142032946330914E-4</v>
      </c>
      <c r="N130">
        <f ca="1"/>
        <v>0.15888978847553656</v>
      </c>
      <c r="O130">
        <f ca="1"/>
        <v>0</v>
      </c>
      <c r="P130">
        <f ca="1"/>
        <v>13.344954987705664</v>
      </c>
      <c r="Q130">
        <f ca="1"/>
        <v>7.2909022371855325</v>
      </c>
      <c r="R130">
        <f ca="1"/>
        <v>0</v>
      </c>
      <c r="S130">
        <f ca="1"/>
        <v>5.2866962571310884E-2</v>
      </c>
      <c r="T130">
        <f ca="1"/>
        <v>0</v>
      </c>
      <c r="U130">
        <f ca="1"/>
        <v>0</v>
      </c>
      <c r="V130">
        <f ca="1"/>
        <v>0.64289942334649774</v>
      </c>
      <c r="X130" s="2">
        <f t="shared" ca="1" si="8"/>
        <v>45243</v>
      </c>
      <c r="Y130">
        <f t="shared" ca="1" si="9"/>
        <v>0</v>
      </c>
      <c r="AA130" s="63">
        <f t="shared" ca="1" si="11"/>
        <v>52.699060582865357</v>
      </c>
      <c r="AB130" s="63">
        <f t="shared" ca="1" si="12"/>
        <v>52.699060582865357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45244</v>
      </c>
      <c r="K131">
        <f ca="1"/>
        <v>51.209246594638309</v>
      </c>
      <c r="L131">
        <f ca="1"/>
        <v>0.8821412861186726</v>
      </c>
      <c r="M131">
        <f ca="1"/>
        <v>-5.5303554695207424E-4</v>
      </c>
      <c r="N131">
        <f ca="1"/>
        <v>0.16683430814147912</v>
      </c>
      <c r="O131">
        <f ca="1"/>
        <v>0</v>
      </c>
      <c r="P131">
        <f ca="1"/>
        <v>14.227096273824337</v>
      </c>
      <c r="Q131">
        <f ca="1"/>
        <v>7.7728525983820758</v>
      </c>
      <c r="R131">
        <f ca="1"/>
        <v>0</v>
      </c>
      <c r="S131">
        <f ca="1"/>
        <v>4.7805096438214227E-2</v>
      </c>
      <c r="T131">
        <f ca="1"/>
        <v>0</v>
      </c>
      <c r="U131">
        <f ca="1"/>
        <v>0</v>
      </c>
      <c r="V131">
        <f ca="1"/>
        <v>0.65814004029362172</v>
      </c>
      <c r="X131" s="2">
        <f t="shared" ca="1" si="8"/>
        <v>45244</v>
      </c>
      <c r="Y131">
        <f t="shared" ca="1" si="9"/>
        <v>0</v>
      </c>
      <c r="AA131" s="63">
        <f t="shared" ca="1" si="11"/>
        <v>52.091387880756983</v>
      </c>
      <c r="AB131" s="63">
        <f t="shared" ca="1" si="12"/>
        <v>52.091387880756983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45245</v>
      </c>
      <c r="K132">
        <f ca="1"/>
        <v>50.396233193637435</v>
      </c>
      <c r="L132">
        <f ca="1"/>
        <v>0.98538588244958625</v>
      </c>
      <c r="M132">
        <f ca="1"/>
        <v>-5.1468363557916064E-4</v>
      </c>
      <c r="N132">
        <f ca="1"/>
        <v>0.17288716508429114</v>
      </c>
      <c r="O132">
        <f ca="1"/>
        <v>0</v>
      </c>
      <c r="P132">
        <f ca="1"/>
        <v>15.212482156273923</v>
      </c>
      <c r="Q132">
        <f ca="1"/>
        <v>8.3112097634277031</v>
      </c>
      <c r="R132">
        <f ca="1"/>
        <v>0</v>
      </c>
      <c r="S132">
        <f ca="1"/>
        <v>4.4169959479330362E-2</v>
      </c>
      <c r="T132">
        <f ca="1"/>
        <v>0</v>
      </c>
      <c r="U132">
        <f ca="1"/>
        <v>0</v>
      </c>
      <c r="V132">
        <f ca="1"/>
        <v>0.67214285202494517</v>
      </c>
      <c r="X132" s="2">
        <f t="shared" ca="1" si="8"/>
        <v>45245</v>
      </c>
      <c r="Y132">
        <f t="shared" ca="1" si="9"/>
        <v>0</v>
      </c>
      <c r="AA132" s="63">
        <f t="shared" ca="1" si="11"/>
        <v>51.38161907608702</v>
      </c>
      <c r="AB132" s="63">
        <f t="shared" ca="1" si="12"/>
        <v>51.38161907608702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45246</v>
      </c>
      <c r="K133">
        <f ca="1"/>
        <v>49.485660367771004</v>
      </c>
      <c r="L133">
        <f ca="1"/>
        <v>1.0885379891848554</v>
      </c>
      <c r="M133">
        <f ca="1"/>
        <v>-5.6512591543622648E-4</v>
      </c>
      <c r="N133">
        <f ca="1"/>
        <v>0.17853028923386063</v>
      </c>
      <c r="O133">
        <f ca="1"/>
        <v>0</v>
      </c>
      <c r="P133">
        <f ca="1"/>
        <v>16.301020145458779</v>
      </c>
      <c r="Q133">
        <f ca="1"/>
        <v>8.9059232014213787</v>
      </c>
      <c r="R133">
        <f ca="1"/>
        <v>0</v>
      </c>
      <c r="S133">
        <f ca="1"/>
        <v>4.851234660048874E-2</v>
      </c>
      <c r="T133">
        <f ca="1"/>
        <v>0</v>
      </c>
      <c r="U133">
        <f ca="1"/>
        <v>0</v>
      </c>
      <c r="V133">
        <f ca="1"/>
        <v>0.68467428703483701</v>
      </c>
      <c r="X133" s="2">
        <f t="shared" ca="1" si="8"/>
        <v>45246</v>
      </c>
      <c r="Y133">
        <f t="shared" ca="1" si="9"/>
        <v>0</v>
      </c>
      <c r="AA133" s="63">
        <f t="shared" ca="1" si="11"/>
        <v>50.574198356955861</v>
      </c>
      <c r="AB133" s="63">
        <f t="shared" ca="1" si="12"/>
        <v>50.574198356955861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45247</v>
      </c>
      <c r="K134">
        <f ca="1"/>
        <v>48.613825583315617</v>
      </c>
      <c r="L134">
        <f ca="1"/>
        <v>1.0367884573063826</v>
      </c>
      <c r="M134">
        <f ca="1"/>
        <v>-5.4054226773914138E-4</v>
      </c>
      <c r="N134">
        <f ca="1"/>
        <v>0.16549421511873746</v>
      </c>
      <c r="O134">
        <f ca="1"/>
        <v>0</v>
      </c>
      <c r="P134">
        <f ca="1"/>
        <v>17.337808602765161</v>
      </c>
      <c r="Q134">
        <f ca="1"/>
        <v>9.4723637244375496</v>
      </c>
      <c r="R134">
        <f ca="1"/>
        <v>0</v>
      </c>
      <c r="S134">
        <f ca="1"/>
        <v>5.0594908508158121E-2</v>
      </c>
      <c r="T134">
        <f ca="1"/>
        <v>0</v>
      </c>
      <c r="U134">
        <f ca="1"/>
        <v>0</v>
      </c>
      <c r="V134">
        <f ca="1"/>
        <v>0.69435840597149789</v>
      </c>
      <c r="X134" s="2">
        <f t="shared" ca="1" si="8"/>
        <v>45247</v>
      </c>
      <c r="Y134">
        <f t="shared" ca="1" si="9"/>
        <v>0</v>
      </c>
      <c r="AA134" s="63">
        <f t="shared" ca="1" si="11"/>
        <v>49.650614040621996</v>
      </c>
      <c r="AB134" s="63">
        <f t="shared" ca="1" si="12"/>
        <v>49.650614040622003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45248</v>
      </c>
      <c r="K135">
        <f ca="1"/>
        <v>47.753877242529526</v>
      </c>
      <c r="L135">
        <f ca="1"/>
        <v>1.0179873653962517</v>
      </c>
      <c r="M135">
        <f ca="1"/>
        <v>-5.9009404667520471E-4</v>
      </c>
      <c r="N135">
        <f ca="1"/>
        <v>0.15862911865683035</v>
      </c>
      <c r="O135">
        <f ca="1"/>
        <v>0</v>
      </c>
      <c r="P135">
        <f ca="1"/>
        <v>18.355795968161413</v>
      </c>
      <c r="Q135">
        <f ca="1"/>
        <v>10.028532431385747</v>
      </c>
      <c r="R135">
        <f ca="1"/>
        <v>0</v>
      </c>
      <c r="S135">
        <f ca="1"/>
        <v>5.8891116088876053E-2</v>
      </c>
      <c r="T135">
        <f ca="1"/>
        <v>0</v>
      </c>
      <c r="U135">
        <f ca="1"/>
        <v>0</v>
      </c>
      <c r="V135">
        <f ca="1"/>
        <v>0.70218400171707773</v>
      </c>
      <c r="X135" s="2">
        <f t="shared" ca="1" si="8"/>
        <v>45248</v>
      </c>
      <c r="Y135">
        <f t="shared" ca="1" si="9"/>
        <v>0</v>
      </c>
      <c r="AA135" s="63">
        <f t="shared" ca="1" si="11"/>
        <v>48.771864607925778</v>
      </c>
      <c r="AB135" s="63">
        <f t="shared" ca="1" si="12"/>
        <v>48.771864607925778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45249</v>
      </c>
      <c r="K136">
        <f ca="1"/>
        <v>46.870955473440134</v>
      </c>
      <c r="L136">
        <f ca="1"/>
        <v>1.0388880836623784</v>
      </c>
      <c r="M136">
        <f ca="1"/>
        <v>-6.4288097373221831E-4</v>
      </c>
      <c r="N136">
        <f ca="1"/>
        <v>0.15660919554672068</v>
      </c>
      <c r="O136">
        <f ca="1"/>
        <v>0</v>
      </c>
      <c r="P136">
        <f ca="1"/>
        <v>19.394684051823791</v>
      </c>
      <c r="Q136">
        <f ca="1"/>
        <v>10.596120067337875</v>
      </c>
      <c r="R136">
        <f ca="1"/>
        <v>0</v>
      </c>
      <c r="S136">
        <f ca="1"/>
        <v>6.7138046213834249E-2</v>
      </c>
      <c r="T136">
        <f ca="1"/>
        <v>0</v>
      </c>
      <c r="U136">
        <f ca="1"/>
        <v>0</v>
      </c>
      <c r="V136">
        <f ca="1"/>
        <v>0.70880213001536307</v>
      </c>
      <c r="X136" s="2">
        <f t="shared" ca="1" si="8"/>
        <v>45249</v>
      </c>
      <c r="Y136">
        <f t="shared" ca="1" si="9"/>
        <v>0</v>
      </c>
      <c r="AA136" s="63">
        <f t="shared" ca="1" si="11"/>
        <v>47.909843557102519</v>
      </c>
      <c r="AB136" s="63">
        <f t="shared" ca="1" si="12"/>
        <v>47.909843557102512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45250</v>
      </c>
      <c r="K137">
        <f ca="1"/>
        <v>45.813057239471206</v>
      </c>
      <c r="L137">
        <f ca="1"/>
        <v>1.226875066841238</v>
      </c>
      <c r="M137">
        <f ca="1"/>
        <v>-6.5999327259724794E-4</v>
      </c>
      <c r="N137">
        <f ca="1"/>
        <v>0.16963682614490713</v>
      </c>
      <c r="O137">
        <f ca="1"/>
        <v>0</v>
      </c>
      <c r="P137">
        <f ca="1"/>
        <v>20.621559118665029</v>
      </c>
      <c r="Q137">
        <f ca="1"/>
        <v>11.266412786782842</v>
      </c>
      <c r="R137">
        <f ca="1"/>
        <v>0</v>
      </c>
      <c r="S137">
        <f ca="1"/>
        <v>6.7135891560314215E-2</v>
      </c>
      <c r="T137">
        <f ca="1"/>
        <v>0</v>
      </c>
      <c r="U137">
        <f ca="1"/>
        <v>0</v>
      </c>
      <c r="V137">
        <f ca="1"/>
        <v>0.71520940360998941</v>
      </c>
      <c r="X137" s="2">
        <f t="shared" ca="1" si="8"/>
        <v>45250</v>
      </c>
      <c r="Y137">
        <f t="shared" ca="1" si="9"/>
        <v>0</v>
      </c>
      <c r="AA137" s="63">
        <f t="shared" ca="1" si="11"/>
        <v>47.039932306312444</v>
      </c>
      <c r="AB137" s="63">
        <f t="shared" ca="1" si="12"/>
        <v>47.039932306312444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45251</v>
      </c>
      <c r="K138">
        <f ca="1"/>
        <v>44.705455731544134</v>
      </c>
      <c r="L138">
        <f ca="1"/>
        <v>1.276069472716209</v>
      </c>
      <c r="M138">
        <f ca="1"/>
        <v>-7.0331792506728164E-4</v>
      </c>
      <c r="N138">
        <f ca="1"/>
        <v>0.16917128271420359</v>
      </c>
      <c r="O138">
        <f ca="1"/>
        <v>0</v>
      </c>
      <c r="P138">
        <f ca="1"/>
        <v>21.897628591381238</v>
      </c>
      <c r="Q138">
        <f ca="1"/>
        <v>11.963582449925358</v>
      </c>
      <c r="R138">
        <f ca="1"/>
        <v>0</v>
      </c>
      <c r="S138">
        <f ca="1"/>
        <v>7.4904363257973214E-2</v>
      </c>
      <c r="T138">
        <f ca="1"/>
        <v>0</v>
      </c>
      <c r="U138">
        <f ca="1"/>
        <v>0</v>
      </c>
      <c r="V138">
        <f ca="1"/>
        <v>0.72060527100697724</v>
      </c>
      <c r="X138" s="2">
        <f t="shared" ca="1" si="8"/>
        <v>45251</v>
      </c>
      <c r="Y138">
        <f t="shared" ca="1" si="9"/>
        <v>0</v>
      </c>
      <c r="AA138" s="63">
        <f t="shared" ca="1" si="11"/>
        <v>45.981525204260343</v>
      </c>
      <c r="AB138" s="63">
        <f t="shared" ca="1" si="12"/>
        <v>45.981525204260343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45252</v>
      </c>
      <c r="K139">
        <f ca="1"/>
        <v>43.642268356227476</v>
      </c>
      <c r="L139">
        <f ca="1"/>
        <v>1.2214409807810931</v>
      </c>
      <c r="M139">
        <f ca="1"/>
        <v>-6.3302045480284619E-4</v>
      </c>
      <c r="N139">
        <f ca="1"/>
        <v>0.15888662591923178</v>
      </c>
      <c r="O139">
        <f ca="1"/>
        <v>0</v>
      </c>
      <c r="P139">
        <f ca="1"/>
        <v>23.119069572162331</v>
      </c>
      <c r="Q139">
        <f ca="1"/>
        <v>12.630906302839906</v>
      </c>
      <c r="R139">
        <f ca="1"/>
        <v>0</v>
      </c>
      <c r="S139">
        <f ca="1"/>
        <v>7.3742078023439309E-2</v>
      </c>
      <c r="T139">
        <f ca="1"/>
        <v>0</v>
      </c>
      <c r="U139">
        <f ca="1"/>
        <v>0</v>
      </c>
      <c r="V139">
        <f ca="1"/>
        <v>0.72482463017343757</v>
      </c>
      <c r="X139" s="2">
        <f t="shared" ref="X139:X202" ca="1" si="15">IFERROR(J139,$X$9)</f>
        <v>45252</v>
      </c>
      <c r="Y139">
        <f t="shared" ref="Y139:Y202" ca="1" si="16">IFERROR(O139,0)</f>
        <v>0</v>
      </c>
      <c r="AA139" s="63">
        <f t="shared" ca="1" si="11"/>
        <v>44.863709337008565</v>
      </c>
      <c r="AB139" s="63">
        <f t="shared" ca="1" si="12"/>
        <v>44.863709337008572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45253</v>
      </c>
      <c r="K140">
        <f ca="1"/>
        <v>42.30289977903702</v>
      </c>
      <c r="L140">
        <f ca="1"/>
        <v>1.5172021490808447</v>
      </c>
      <c r="M140">
        <f ca="1"/>
        <v>-6.2848481869615114E-4</v>
      </c>
      <c r="N140">
        <f ca="1"/>
        <v>0.17846205670908655</v>
      </c>
      <c r="O140">
        <f ca="1"/>
        <v>0</v>
      </c>
      <c r="P140">
        <f ca="1"/>
        <v>24.636271721243176</v>
      </c>
      <c r="Q140">
        <f ca="1"/>
        <v>13.459816745264561</v>
      </c>
      <c r="R140">
        <f ca="1"/>
        <v>0</v>
      </c>
      <c r="S140">
        <f ca="1"/>
        <v>6.9632707371700131E-2</v>
      </c>
      <c r="T140">
        <f ca="1"/>
        <v>0</v>
      </c>
      <c r="U140">
        <f ca="1"/>
        <v>0</v>
      </c>
      <c r="V140">
        <f ca="1"/>
        <v>0.72906798699566688</v>
      </c>
      <c r="X140" s="2">
        <f t="shared" ca="1" si="15"/>
        <v>45253</v>
      </c>
      <c r="Y140">
        <f t="shared" ca="1" si="16"/>
        <v>0</v>
      </c>
      <c r="AA140" s="63">
        <f t="shared" ca="1" si="11"/>
        <v>43.820101928117865</v>
      </c>
      <c r="AB140" s="63">
        <f t="shared" ca="1" si="12"/>
        <v>43.820101928117865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45254</v>
      </c>
      <c r="K141">
        <f ca="1"/>
        <v>40.834683515962276</v>
      </c>
      <c r="L141">
        <f ca="1"/>
        <v>1.6503045288004756</v>
      </c>
      <c r="M141">
        <f ca="1"/>
        <v>-5.9080800233779485E-4</v>
      </c>
      <c r="N141">
        <f ca="1"/>
        <v>0.1826790737280643</v>
      </c>
      <c r="O141">
        <f ca="1"/>
        <v>0</v>
      </c>
      <c r="P141">
        <f ca="1"/>
        <v>26.286576250043652</v>
      </c>
      <c r="Q141">
        <f ca="1"/>
        <v>14.361446536609211</v>
      </c>
      <c r="R141">
        <f ca="1"/>
        <v>0</v>
      </c>
      <c r="S141">
        <f ca="1"/>
        <v>6.7091744625720262E-2</v>
      </c>
      <c r="T141">
        <f ca="1"/>
        <v>0</v>
      </c>
      <c r="U141">
        <f ca="1"/>
        <v>0</v>
      </c>
      <c r="V141">
        <f ca="1"/>
        <v>0.732721871783936</v>
      </c>
      <c r="X141" s="2">
        <f t="shared" ca="1" si="15"/>
        <v>45254</v>
      </c>
      <c r="Y141">
        <f t="shared" ca="1" si="16"/>
        <v>0</v>
      </c>
      <c r="AA141" s="63">
        <f t="shared" ref="AA141:AA204" ca="1" si="18">K140+M141+N141+O141</f>
        <v>42.484988044762751</v>
      </c>
      <c r="AB141" s="63">
        <f t="shared" ref="AB141:AB204" ca="1" si="19">K141+L141+R141</f>
        <v>42.484988044762751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45255</v>
      </c>
      <c r="K142">
        <f ca="1"/>
        <v>39.222089461173766</v>
      </c>
      <c r="L142">
        <f ca="1"/>
        <v>1.8009189811722699</v>
      </c>
      <c r="M142">
        <f ca="1"/>
        <v>-6.4732787805610315E-4</v>
      </c>
      <c r="N142">
        <f ca="1"/>
        <v>0.18897225426181877</v>
      </c>
      <c r="O142">
        <f ca="1"/>
        <v>0</v>
      </c>
      <c r="P142">
        <f ca="1"/>
        <v>28.087495231215922</v>
      </c>
      <c r="Q142">
        <f ca="1"/>
        <v>15.345363248274062</v>
      </c>
      <c r="R142">
        <f ca="1"/>
        <v>0</v>
      </c>
      <c r="S142">
        <f ca="1"/>
        <v>7.5506990176130537E-2</v>
      </c>
      <c r="T142">
        <f ca="1"/>
        <v>0</v>
      </c>
      <c r="U142">
        <f ca="1"/>
        <v>0</v>
      </c>
      <c r="V142">
        <f ca="1"/>
        <v>0.73585206884284382</v>
      </c>
      <c r="X142" s="2">
        <f t="shared" ca="1" si="15"/>
        <v>45255</v>
      </c>
      <c r="Y142">
        <f t="shared" ca="1" si="16"/>
        <v>0</v>
      </c>
      <c r="AA142" s="63">
        <f t="shared" ca="1" si="18"/>
        <v>41.02300844234604</v>
      </c>
      <c r="AB142" s="63">
        <f t="shared" ca="1" si="19"/>
        <v>41.02300844234604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45256</v>
      </c>
      <c r="K143">
        <f ca="1"/>
        <v>37.573915516136211</v>
      </c>
      <c r="L143">
        <f ca="1"/>
        <v>1.8320554983262483</v>
      </c>
      <c r="M143">
        <f ca="1"/>
        <v>-6.09099520929135E-4</v>
      </c>
      <c r="N143">
        <f ca="1"/>
        <v>0.18449065280962304</v>
      </c>
      <c r="O143">
        <f ca="1"/>
        <v>0</v>
      </c>
      <c r="P143">
        <f ca="1"/>
        <v>29.91955072954217</v>
      </c>
      <c r="Q143">
        <f ca="1"/>
        <v>16.346291130286453</v>
      </c>
      <c r="R143">
        <f ca="1"/>
        <v>0</v>
      </c>
      <c r="S143">
        <f ca="1"/>
        <v>7.6625646537768835E-2</v>
      </c>
      <c r="T143">
        <f ca="1"/>
        <v>0</v>
      </c>
      <c r="U143">
        <f ca="1"/>
        <v>0</v>
      </c>
      <c r="V143">
        <f ca="1"/>
        <v>0.73835081487064547</v>
      </c>
      <c r="X143" s="2">
        <f t="shared" ca="1" si="15"/>
        <v>45256</v>
      </c>
      <c r="Y143">
        <f t="shared" ca="1" si="16"/>
        <v>0</v>
      </c>
      <c r="AA143" s="63">
        <f t="shared" ca="1" si="18"/>
        <v>39.405971014462459</v>
      </c>
      <c r="AB143" s="63">
        <f t="shared" ca="1" si="19"/>
        <v>39.405971014462459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45257</v>
      </c>
      <c r="K144">
        <f ca="1"/>
        <v>35.903692536463538</v>
      </c>
      <c r="L144">
        <f ca="1"/>
        <v>1.8486147462418714</v>
      </c>
      <c r="M144">
        <f ca="1"/>
        <v>-5.3070733755333777E-4</v>
      </c>
      <c r="N144">
        <f ca="1"/>
        <v>0.17892247390675359</v>
      </c>
      <c r="O144">
        <f ca="1"/>
        <v>0</v>
      </c>
      <c r="P144">
        <f ca="1"/>
        <v>31.768165475784041</v>
      </c>
      <c r="Q144">
        <f ca="1"/>
        <v>17.356266016038106</v>
      </c>
      <c r="R144">
        <f ca="1"/>
        <v>0</v>
      </c>
      <c r="S144">
        <f ca="1"/>
        <v>7.2175829129142027E-2</v>
      </c>
      <c r="T144">
        <f ca="1"/>
        <v>0</v>
      </c>
      <c r="U144">
        <f ca="1"/>
        <v>0</v>
      </c>
      <c r="V144">
        <f ca="1"/>
        <v>0.74034678491818595</v>
      </c>
      <c r="X144" s="2">
        <f t="shared" ca="1" si="15"/>
        <v>45257</v>
      </c>
      <c r="Y144">
        <f t="shared" ca="1" si="16"/>
        <v>0</v>
      </c>
      <c r="AA144" s="63">
        <f t="shared" ca="1" si="18"/>
        <v>37.752307282705409</v>
      </c>
      <c r="AB144" s="63">
        <f t="shared" ca="1" si="19"/>
        <v>37.752307282705409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45258</v>
      </c>
      <c r="K145">
        <f ca="1"/>
        <v>34.198437180373098</v>
      </c>
      <c r="L145">
        <f ca="1"/>
        <v>1.8812088736277808</v>
      </c>
      <c r="M145">
        <f ca="1"/>
        <v>-5.3937178967977673E-4</v>
      </c>
      <c r="N145">
        <f ca="1"/>
        <v>0.17649288932701349</v>
      </c>
      <c r="O145">
        <f ca="1"/>
        <v>0</v>
      </c>
      <c r="P145">
        <f ca="1"/>
        <v>33.649374349411822</v>
      </c>
      <c r="Q145">
        <f ca="1"/>
        <v>18.384048425044504</v>
      </c>
      <c r="R145">
        <f ca="1"/>
        <v>0</v>
      </c>
      <c r="S145">
        <f ca="1"/>
        <v>7.8903196685119401E-2</v>
      </c>
      <c r="T145">
        <f ca="1"/>
        <v>0</v>
      </c>
      <c r="U145">
        <f ca="1"/>
        <v>0</v>
      </c>
      <c r="V145">
        <f ca="1"/>
        <v>0.74196764623801337</v>
      </c>
      <c r="X145" s="2">
        <f t="shared" ca="1" si="15"/>
        <v>45258</v>
      </c>
      <c r="Y145">
        <f t="shared" ca="1" si="16"/>
        <v>0</v>
      </c>
      <c r="AA145" s="63">
        <f t="shared" ca="1" si="18"/>
        <v>36.079646054000875</v>
      </c>
      <c r="AB145" s="63">
        <f t="shared" ca="1" si="19"/>
        <v>36.079646054000875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45259</v>
      </c>
      <c r="K146">
        <f ca="1"/>
        <v>32.481041780972689</v>
      </c>
      <c r="L146">
        <f ca="1"/>
        <v>1.8885831738994057</v>
      </c>
      <c r="M146">
        <f ca="1"/>
        <v>-4.7608827116008001E-4</v>
      </c>
      <c r="N146">
        <f ca="1"/>
        <v>0.17166386277015716</v>
      </c>
      <c r="O146">
        <f ca="1"/>
        <v>0</v>
      </c>
      <c r="P146">
        <f ca="1"/>
        <v>35.537957523311228</v>
      </c>
      <c r="Q146">
        <f ca="1"/>
        <v>19.415859720052957</v>
      </c>
      <c r="R146">
        <f ca="1"/>
        <v>0</v>
      </c>
      <c r="S146">
        <f ca="1"/>
        <v>7.5595125091849263E-2</v>
      </c>
      <c r="T146">
        <f ca="1"/>
        <v>0</v>
      </c>
      <c r="U146">
        <f ca="1"/>
        <v>0</v>
      </c>
      <c r="V146">
        <f ca="1"/>
        <v>0.74327620228784252</v>
      </c>
      <c r="X146" s="2">
        <f t="shared" ca="1" si="15"/>
        <v>45259</v>
      </c>
      <c r="Y146">
        <f t="shared" ca="1" si="16"/>
        <v>0</v>
      </c>
      <c r="AA146" s="63">
        <f t="shared" ca="1" si="18"/>
        <v>34.369624954872094</v>
      </c>
      <c r="AB146" s="63">
        <f t="shared" ca="1" si="19"/>
        <v>34.369624954872094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45260</v>
      </c>
      <c r="K147">
        <f ca="1"/>
        <v>30.599168264943483</v>
      </c>
      <c r="L147">
        <f ca="1"/>
        <v>2.0593669255304548</v>
      </c>
      <c r="M147">
        <f ca="1"/>
        <v>-4.5984652438946227E-4</v>
      </c>
      <c r="N147">
        <f ca="1"/>
        <v>0.17795325602563694</v>
      </c>
      <c r="O147">
        <f ca="1"/>
        <v>0</v>
      </c>
      <c r="P147">
        <f ca="1"/>
        <v>37.597324448841682</v>
      </c>
      <c r="Q147">
        <f ca="1"/>
        <v>20.540977259854966</v>
      </c>
      <c r="R147">
        <f ca="1"/>
        <v>0</v>
      </c>
      <c r="S147">
        <f ca="1"/>
        <v>7.5683585771499889E-2</v>
      </c>
      <c r="T147">
        <f ca="1"/>
        <v>0</v>
      </c>
      <c r="U147">
        <f ca="1"/>
        <v>0</v>
      </c>
      <c r="V147">
        <f ca="1"/>
        <v>0.74442361167291404</v>
      </c>
      <c r="X147" s="2">
        <f t="shared" ca="1" si="15"/>
        <v>45260</v>
      </c>
      <c r="Y147">
        <f t="shared" ca="1" si="16"/>
        <v>0</v>
      </c>
      <c r="AA147" s="63">
        <f t="shared" ca="1" si="18"/>
        <v>32.658535190473934</v>
      </c>
      <c r="AB147" s="63">
        <f t="shared" ca="1" si="19"/>
        <v>32.658535190473941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45261</v>
      </c>
      <c r="K148">
        <f ca="1"/>
        <v>28.404343502701757</v>
      </c>
      <c r="L148">
        <f ca="1"/>
        <v>2.3876863787331004</v>
      </c>
      <c r="M148">
        <f ca="1"/>
        <v>-4.413215297258688E-4</v>
      </c>
      <c r="N148">
        <f ca="1"/>
        <v>0.19330293802109666</v>
      </c>
      <c r="O148">
        <f ca="1"/>
        <v>0</v>
      </c>
      <c r="P148">
        <f ca="1"/>
        <v>39.985010827574783</v>
      </c>
      <c r="Q148">
        <f ca="1"/>
        <v>21.845469330187193</v>
      </c>
      <c r="R148">
        <f ca="1"/>
        <v>0</v>
      </c>
      <c r="S148">
        <f ca="1"/>
        <v>7.2756150733780986E-2</v>
      </c>
      <c r="T148">
        <f ca="1"/>
        <v>0</v>
      </c>
      <c r="U148">
        <f ca="1"/>
        <v>0</v>
      </c>
      <c r="V148">
        <f ca="1"/>
        <v>0.74547596536416183</v>
      </c>
      <c r="X148" s="2">
        <f t="shared" ca="1" si="15"/>
        <v>45261</v>
      </c>
      <c r="Y148">
        <f t="shared" ca="1" si="16"/>
        <v>0</v>
      </c>
      <c r="AA148" s="63">
        <f t="shared" ca="1" si="18"/>
        <v>30.792029881434857</v>
      </c>
      <c r="AB148" s="63">
        <f t="shared" ca="1" si="19"/>
        <v>30.792029881434857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45262</v>
      </c>
      <c r="K149">
        <f ca="1"/>
        <v>26.050488576399069</v>
      </c>
      <c r="L149">
        <f ca="1"/>
        <v>2.5505304832096556</v>
      </c>
      <c r="M149">
        <f ca="1"/>
        <v>-3.8876963509260065E-4</v>
      </c>
      <c r="N149">
        <f ca="1"/>
        <v>0.19706432654205855</v>
      </c>
      <c r="O149">
        <f ca="1"/>
        <v>0</v>
      </c>
      <c r="P149">
        <f ca="1"/>
        <v>42.535541310784438</v>
      </c>
      <c r="Q149">
        <f ca="1"/>
        <v>23.238929886867592</v>
      </c>
      <c r="R149">
        <f ca="1"/>
        <v>0</v>
      </c>
      <c r="S149">
        <f ca="1"/>
        <v>6.774436750147389E-2</v>
      </c>
      <c r="T149">
        <f ca="1"/>
        <v>0</v>
      </c>
      <c r="U149">
        <f ca="1"/>
        <v>0</v>
      </c>
      <c r="V149">
        <f ca="1"/>
        <v>0.7463524415482079</v>
      </c>
      <c r="X149" s="2">
        <f t="shared" ca="1" si="15"/>
        <v>45262</v>
      </c>
      <c r="Y149">
        <f t="shared" ca="1" si="16"/>
        <v>0</v>
      </c>
      <c r="AA149" s="63">
        <f t="shared" ca="1" si="18"/>
        <v>28.601019059608721</v>
      </c>
      <c r="AB149" s="63">
        <f t="shared" ca="1" si="19"/>
        <v>28.601019059608724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45263</v>
      </c>
      <c r="K150">
        <f ca="1"/>
        <v>47.641539012456334</v>
      </c>
      <c r="L150">
        <f ca="1"/>
        <v>2.818556406149554</v>
      </c>
      <c r="M150">
        <f ca="1"/>
        <v>-3.590190172246821E-4</v>
      </c>
      <c r="N150">
        <f ca="1"/>
        <v>0.20733547832235838</v>
      </c>
      <c r="O150">
        <f ca="1"/>
        <v>24.202630382901685</v>
      </c>
      <c r="P150">
        <f ca="1"/>
        <v>45.354097716933993</v>
      </c>
      <c r="Q150">
        <f ca="1"/>
        <v>24.778824118520031</v>
      </c>
      <c r="R150">
        <f ca="1"/>
        <v>0</v>
      </c>
      <c r="S150">
        <f ca="1"/>
        <v>6.4647056508140358E-2</v>
      </c>
      <c r="T150">
        <f ca="1"/>
        <v>0</v>
      </c>
      <c r="U150">
        <f ca="1"/>
        <v>0</v>
      </c>
      <c r="V150">
        <f ca="1"/>
        <v>0.74710094570768271</v>
      </c>
      <c r="X150" s="2">
        <f t="shared" ca="1" si="15"/>
        <v>45263</v>
      </c>
      <c r="Y150">
        <f t="shared" ca="1" si="16"/>
        <v>24.202630382901685</v>
      </c>
      <c r="AA150" s="63">
        <f t="shared" ca="1" si="18"/>
        <v>50.460095418605889</v>
      </c>
      <c r="AB150" s="63">
        <f t="shared" ca="1" si="19"/>
        <v>50.460095418605889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45264</v>
      </c>
      <c r="K151">
        <f ca="1"/>
        <v>45.046451407560859</v>
      </c>
      <c r="L151">
        <f ca="1"/>
        <v>2.7945757630150752</v>
      </c>
      <c r="M151">
        <f ca="1"/>
        <v>-3.0905569135519784E-4</v>
      </c>
      <c r="N151">
        <f ca="1"/>
        <v>0.19979721381095164</v>
      </c>
      <c r="O151">
        <f ca="1"/>
        <v>0</v>
      </c>
      <c r="P151">
        <f ca="1"/>
        <v>48.148673479949068</v>
      </c>
      <c r="Q151">
        <f ca="1"/>
        <v>26.305616730508753</v>
      </c>
      <c r="R151">
        <f ca="1"/>
        <v>0</v>
      </c>
      <c r="S151">
        <f ca="1"/>
        <v>6.210853445998215E-2</v>
      </c>
      <c r="T151">
        <f ca="1"/>
        <v>0</v>
      </c>
      <c r="U151">
        <f ca="1"/>
        <v>0</v>
      </c>
      <c r="V151">
        <f ca="1"/>
        <v>0.74767438126313057</v>
      </c>
      <c r="X151" s="2">
        <f t="shared" ca="1" si="15"/>
        <v>45264</v>
      </c>
      <c r="Y151">
        <f t="shared" ca="1" si="16"/>
        <v>0</v>
      </c>
      <c r="AA151" s="63">
        <f t="shared" ca="1" si="18"/>
        <v>47.841027170575934</v>
      </c>
      <c r="AB151" s="63">
        <f t="shared" ca="1" si="19"/>
        <v>47.841027170575934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45265</v>
      </c>
      <c r="K152">
        <f ca="1"/>
        <v>42.395734304475369</v>
      </c>
      <c r="L152">
        <f ca="1"/>
        <v>2.8487313416005264</v>
      </c>
      <c r="M152">
        <f ca="1"/>
        <v>-2.878051514478841E-4</v>
      </c>
      <c r="N152">
        <f ca="1"/>
        <v>0.19830204366648183</v>
      </c>
      <c r="O152">
        <f ca="1"/>
        <v>0</v>
      </c>
      <c r="P152">
        <f ca="1"/>
        <v>50.997404821549594</v>
      </c>
      <c r="Q152">
        <f ca="1"/>
        <v>27.86199678055392</v>
      </c>
      <c r="R152">
        <f ca="1"/>
        <v>0</v>
      </c>
      <c r="S152">
        <f ca="1"/>
        <v>6.3325504931882534E-2</v>
      </c>
      <c r="T152">
        <f ca="1"/>
        <v>0</v>
      </c>
      <c r="U152">
        <f ca="1"/>
        <v>0</v>
      </c>
      <c r="V152">
        <f ca="1"/>
        <v>0.74813055421255314</v>
      </c>
      <c r="X152" s="2">
        <f t="shared" ca="1" si="15"/>
        <v>45265</v>
      </c>
      <c r="Y152">
        <f t="shared" ca="1" si="16"/>
        <v>0</v>
      </c>
      <c r="AA152" s="63">
        <f t="shared" ca="1" si="18"/>
        <v>45.244465646075888</v>
      </c>
      <c r="AB152" s="63">
        <f t="shared" ca="1" si="19"/>
        <v>45.244465646075895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45266</v>
      </c>
      <c r="K153">
        <f ca="1"/>
        <v>39.840764809033693</v>
      </c>
      <c r="L153">
        <f ca="1"/>
        <v>2.7435999683072509</v>
      </c>
      <c r="M153">
        <f ca="1"/>
        <v>-2.6277000774399539E-4</v>
      </c>
      <c r="N153">
        <f ca="1"/>
        <v>0.18889324287331954</v>
      </c>
      <c r="O153">
        <f ca="1"/>
        <v>0</v>
      </c>
      <c r="P153">
        <f ca="1"/>
        <v>53.741004789856845</v>
      </c>
      <c r="Q153">
        <f ca="1"/>
        <v>29.36093920226325</v>
      </c>
      <c r="R153">
        <f ca="1"/>
        <v>0</v>
      </c>
      <c r="S153">
        <f ca="1"/>
        <v>6.6034853242861902E-2</v>
      </c>
      <c r="T153">
        <f ca="1"/>
        <v>0</v>
      </c>
      <c r="U153">
        <f ca="1"/>
        <v>0</v>
      </c>
      <c r="V153">
        <f ca="1"/>
        <v>0.74847739692862214</v>
      </c>
      <c r="X153" s="2">
        <f t="shared" ca="1" si="15"/>
        <v>45266</v>
      </c>
      <c r="Y153">
        <f t="shared" ca="1" si="16"/>
        <v>0</v>
      </c>
      <c r="AA153" s="63">
        <f t="shared" ca="1" si="18"/>
        <v>42.584364777340944</v>
      </c>
      <c r="AB153" s="63">
        <f t="shared" ca="1" si="19"/>
        <v>42.584364777340944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45267</v>
      </c>
      <c r="K154">
        <f ca="1"/>
        <v>37.074852841067759</v>
      </c>
      <c r="L154">
        <f ca="1"/>
        <v>2.9629322667982976</v>
      </c>
      <c r="M154">
        <f ca="1"/>
        <v>-2.3969022498171455E-4</v>
      </c>
      <c r="N154">
        <f ca="1"/>
        <v>0.19725998905734471</v>
      </c>
      <c r="O154">
        <f ca="1"/>
        <v>0</v>
      </c>
      <c r="P154">
        <f ca="1"/>
        <v>56.703937056655143</v>
      </c>
      <c r="Q154">
        <f ca="1"/>
        <v>30.979711952904264</v>
      </c>
      <c r="R154">
        <f ca="1"/>
        <v>0</v>
      </c>
      <c r="S154">
        <f ca="1"/>
        <v>6.418202726142952E-2</v>
      </c>
      <c r="T154">
        <f ca="1"/>
        <v>0</v>
      </c>
      <c r="U154">
        <f ca="1"/>
        <v>0</v>
      </c>
      <c r="V154">
        <f ca="1"/>
        <v>0.74877442234132663</v>
      </c>
      <c r="X154" s="2">
        <f t="shared" ca="1" si="15"/>
        <v>45267</v>
      </c>
      <c r="Y154">
        <f t="shared" ca="1" si="16"/>
        <v>0</v>
      </c>
      <c r="AA154" s="63">
        <f t="shared" ca="1" si="18"/>
        <v>40.037785107866057</v>
      </c>
      <c r="AB154" s="63">
        <f t="shared" ca="1" si="19"/>
        <v>40.037785107866057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45268</v>
      </c>
      <c r="K155">
        <f ca="1"/>
        <v>34.239785320576416</v>
      </c>
      <c r="L155">
        <f ca="1"/>
        <v>3.0339417570126557</v>
      </c>
      <c r="M155">
        <f ca="1"/>
        <v>-2.3969423908098975E-4</v>
      </c>
      <c r="N155">
        <f ca="1"/>
        <v>0.19911393076038847</v>
      </c>
      <c r="O155">
        <f ca="1"/>
        <v>0</v>
      </c>
      <c r="P155">
        <f ca="1"/>
        <v>59.737878813667798</v>
      </c>
      <c r="Q155">
        <f ca="1"/>
        <v>32.637280132345332</v>
      </c>
      <c r="R155">
        <f ca="1"/>
        <v>0</v>
      </c>
      <c r="S155">
        <f ca="1"/>
        <v>7.2001585654837261E-2</v>
      </c>
      <c r="T155">
        <f ca="1"/>
        <v>0</v>
      </c>
      <c r="U155">
        <f ca="1"/>
        <v>0</v>
      </c>
      <c r="V155">
        <f ca="1"/>
        <v>0.74901466995366106</v>
      </c>
      <c r="X155" s="2">
        <f t="shared" ca="1" si="15"/>
        <v>45268</v>
      </c>
      <c r="Y155">
        <f t="shared" ca="1" si="16"/>
        <v>0</v>
      </c>
      <c r="AA155" s="63">
        <f t="shared" ca="1" si="18"/>
        <v>37.273727077589072</v>
      </c>
      <c r="AB155" s="63">
        <f t="shared" ca="1" si="19"/>
        <v>37.273727077589072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45269</v>
      </c>
      <c r="K156">
        <f ca="1"/>
        <v>31.554389270741844</v>
      </c>
      <c r="L156">
        <f ca="1"/>
        <v>2.872811595193447</v>
      </c>
      <c r="M156">
        <f ca="1"/>
        <v>-1.8364281266691762E-4</v>
      </c>
      <c r="N156">
        <f ca="1"/>
        <v>0.1875991881715372</v>
      </c>
      <c r="O156">
        <f ca="1"/>
        <v>0</v>
      </c>
      <c r="P156">
        <f ca="1"/>
        <v>62.610690408861245</v>
      </c>
      <c r="Q156">
        <f ca="1"/>
        <v>34.206816223377849</v>
      </c>
      <c r="R156">
        <f ca="1"/>
        <v>0</v>
      </c>
      <c r="S156">
        <f ca="1"/>
        <v>6.5911781631668984E-2</v>
      </c>
      <c r="T156">
        <f ca="1"/>
        <v>0</v>
      </c>
      <c r="U156">
        <f ca="1"/>
        <v>0</v>
      </c>
      <c r="V156">
        <f ca="1"/>
        <v>0.74919623715467087</v>
      </c>
      <c r="X156" s="2">
        <f t="shared" ca="1" si="15"/>
        <v>45269</v>
      </c>
      <c r="Y156">
        <f t="shared" ca="1" si="16"/>
        <v>0</v>
      </c>
      <c r="AA156" s="63">
        <f t="shared" ca="1" si="18"/>
        <v>34.427200865935291</v>
      </c>
      <c r="AB156" s="63">
        <f t="shared" ca="1" si="19"/>
        <v>34.427200865935291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45270</v>
      </c>
      <c r="K157">
        <f ca="1"/>
        <v>55.433150838896708</v>
      </c>
      <c r="L157">
        <f ca="1"/>
        <v>3.1221369981076919</v>
      </c>
      <c r="M157">
        <f ca="1"/>
        <v>-1.5705401739296576E-4</v>
      </c>
      <c r="N157">
        <f ca="1"/>
        <v>0.1982651861859574</v>
      </c>
      <c r="O157">
        <f ca="1"/>
        <v>26.802790434093993</v>
      </c>
      <c r="P157">
        <f ca="1"/>
        <v>65.732827406968937</v>
      </c>
      <c r="Q157">
        <f ca="1"/>
        <v>35.912569119904973</v>
      </c>
      <c r="R157">
        <f ca="1"/>
        <v>0</v>
      </c>
      <c r="S157">
        <f ca="1"/>
        <v>6.1755325388387634E-2</v>
      </c>
      <c r="T157">
        <f ca="1"/>
        <v>0</v>
      </c>
      <c r="U157">
        <f ca="1"/>
        <v>0</v>
      </c>
      <c r="V157">
        <f ca="1"/>
        <v>0.7493542967747352</v>
      </c>
      <c r="X157" s="2">
        <f t="shared" ca="1" si="15"/>
        <v>45270</v>
      </c>
      <c r="Y157">
        <f t="shared" ca="1" si="16"/>
        <v>26.802790434093993</v>
      </c>
      <c r="AA157" s="63">
        <f t="shared" ca="1" si="18"/>
        <v>58.5552878370044</v>
      </c>
      <c r="AB157" s="63">
        <f t="shared" ca="1" si="19"/>
        <v>58.5552878370044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45271</v>
      </c>
      <c r="K158">
        <f ca="1"/>
        <v>52.17345026259872</v>
      </c>
      <c r="L158">
        <f ca="1"/>
        <v>3.474365372341552</v>
      </c>
      <c r="M158">
        <f ca="1"/>
        <v>-1.2925860311341353E-4</v>
      </c>
      <c r="N158">
        <f ca="1"/>
        <v>0.2147940546466707</v>
      </c>
      <c r="O158">
        <f ca="1"/>
        <v>0</v>
      </c>
      <c r="P158">
        <f ca="1"/>
        <v>69.207192779310489</v>
      </c>
      <c r="Q158">
        <f ca="1"/>
        <v>37.810758981867188</v>
      </c>
      <c r="R158">
        <f ca="1"/>
        <v>0</v>
      </c>
      <c r="S158">
        <f ca="1"/>
        <v>5.5292243695290247E-2</v>
      </c>
      <c r="T158">
        <f ca="1"/>
        <v>0</v>
      </c>
      <c r="U158">
        <f ca="1"/>
        <v>0</v>
      </c>
      <c r="V158">
        <f ca="1"/>
        <v>0.74949297021233274</v>
      </c>
      <c r="X158" s="2">
        <f t="shared" ca="1" si="15"/>
        <v>45271</v>
      </c>
      <c r="Y158">
        <f t="shared" ca="1" si="16"/>
        <v>0</v>
      </c>
      <c r="AA158" s="63">
        <f t="shared" ca="1" si="18"/>
        <v>55.647815634940272</v>
      </c>
      <c r="AB158" s="63">
        <f t="shared" ca="1" si="19"/>
        <v>55.647815634940272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45272</v>
      </c>
      <c r="K159">
        <f ca="1"/>
        <v>48.692241468220153</v>
      </c>
      <c r="L159">
        <f ca="1"/>
        <v>3.7079863279668359</v>
      </c>
      <c r="M159">
        <f ca="1"/>
        <v>-1.1263480146084248E-4</v>
      </c>
      <c r="N159">
        <f ca="1"/>
        <v>0.226890168389733</v>
      </c>
      <c r="O159">
        <f ca="1"/>
        <v>0</v>
      </c>
      <c r="P159">
        <f ca="1"/>
        <v>72.915179107277325</v>
      </c>
      <c r="Q159">
        <f ca="1"/>
        <v>39.836585658610041</v>
      </c>
      <c r="R159">
        <f ca="1"/>
        <v>0</v>
      </c>
      <c r="S159">
        <f ca="1"/>
        <v>5.5194780636295883E-2</v>
      </c>
      <c r="T159">
        <f ca="1"/>
        <v>0</v>
      </c>
      <c r="U159">
        <f ca="1"/>
        <v>0</v>
      </c>
      <c r="V159">
        <f ca="1"/>
        <v>0.74960790373734665</v>
      </c>
      <c r="X159" s="2">
        <f t="shared" ca="1" si="15"/>
        <v>45272</v>
      </c>
      <c r="Y159">
        <f t="shared" ca="1" si="16"/>
        <v>0</v>
      </c>
      <c r="AA159" s="63">
        <f t="shared" ca="1" si="18"/>
        <v>52.400227796186989</v>
      </c>
      <c r="AB159" s="63">
        <f t="shared" ca="1" si="19"/>
        <v>52.400227796186989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45273</v>
      </c>
      <c r="K160">
        <f ca="1"/>
        <v>45.51971799953278</v>
      </c>
      <c r="L160">
        <f ca="1"/>
        <v>3.3827500385379494</v>
      </c>
      <c r="M160">
        <f ca="1"/>
        <v>-9.4303130673267788E-5</v>
      </c>
      <c r="N160">
        <f ca="1"/>
        <v>0.21032087298124694</v>
      </c>
      <c r="O160">
        <f ca="1"/>
        <v>0</v>
      </c>
      <c r="P160">
        <f ca="1"/>
        <v>76.297929145815274</v>
      </c>
      <c r="Q160">
        <f ca="1"/>
        <v>41.684722265030771</v>
      </c>
      <c r="R160">
        <f ca="1"/>
        <v>0</v>
      </c>
      <c r="S160">
        <f ca="1"/>
        <v>6.2832830050320754E-2</v>
      </c>
      <c r="T160">
        <f ca="1"/>
        <v>0</v>
      </c>
      <c r="U160">
        <f ca="1"/>
        <v>0</v>
      </c>
      <c r="V160">
        <f ca="1"/>
        <v>0.74968994836622826</v>
      </c>
      <c r="X160" s="2">
        <f t="shared" ca="1" si="15"/>
        <v>45273</v>
      </c>
      <c r="Y160">
        <f t="shared" ca="1" si="16"/>
        <v>0</v>
      </c>
      <c r="AA160" s="63">
        <f t="shared" ca="1" si="18"/>
        <v>48.90246803807073</v>
      </c>
      <c r="AB160" s="63">
        <f t="shared" ca="1" si="19"/>
        <v>48.90246803807073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45274</v>
      </c>
      <c r="K161">
        <f ca="1"/>
        <v>42.583491220875658</v>
      </c>
      <c r="L161">
        <f ca="1"/>
        <v>3.1339888370366964</v>
      </c>
      <c r="M161">
        <f ca="1"/>
        <v>-6.4032154275750486E-5</v>
      </c>
      <c r="N161">
        <f ca="1"/>
        <v>0.19782609053385097</v>
      </c>
      <c r="O161">
        <f ca="1"/>
        <v>0</v>
      </c>
      <c r="P161">
        <f ca="1"/>
        <v>79.431917982851971</v>
      </c>
      <c r="Q161">
        <f ca="1"/>
        <v>43.396950312582533</v>
      </c>
      <c r="R161">
        <f ca="1"/>
        <v>0</v>
      </c>
      <c r="S161">
        <f ca="1"/>
        <v>6.0894937064177618E-2</v>
      </c>
      <c r="T161">
        <f ca="1"/>
        <v>0</v>
      </c>
      <c r="U161">
        <f ca="1"/>
        <v>0</v>
      </c>
      <c r="V161">
        <f ca="1"/>
        <v>0.74975084201210151</v>
      </c>
      <c r="X161" s="2">
        <f t="shared" ca="1" si="15"/>
        <v>45274</v>
      </c>
      <c r="Y161">
        <f t="shared" ca="1" si="16"/>
        <v>0</v>
      </c>
      <c r="AA161" s="63">
        <f t="shared" ca="1" si="18"/>
        <v>45.717480057912354</v>
      </c>
      <c r="AB161" s="63">
        <f t="shared" ca="1" si="19"/>
        <v>45.717480057912354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45275</v>
      </c>
      <c r="K162">
        <f ca="1"/>
        <v>39.347100689596488</v>
      </c>
      <c r="L162">
        <f ca="1"/>
        <v>3.4526908026982426</v>
      </c>
      <c r="M162">
        <f ca="1"/>
        <v>-4.3725853371867629E-5</v>
      </c>
      <c r="N162">
        <f ca="1"/>
        <v>0.21634399727244316</v>
      </c>
      <c r="O162">
        <f ca="1"/>
        <v>0</v>
      </c>
      <c r="P162">
        <f ca="1"/>
        <v>82.884608785550213</v>
      </c>
      <c r="Q162">
        <f ca="1"/>
        <v>45.283298458446936</v>
      </c>
      <c r="R162">
        <f ca="1"/>
        <v>0</v>
      </c>
      <c r="S162">
        <f ca="1"/>
        <v>5.904555096078444E-2</v>
      </c>
      <c r="T162">
        <f ca="1"/>
        <v>0</v>
      </c>
      <c r="U162">
        <f ca="1"/>
        <v>0</v>
      </c>
      <c r="V162">
        <f ca="1"/>
        <v>0.74980463362264838</v>
      </c>
      <c r="X162" s="2">
        <f t="shared" ca="1" si="15"/>
        <v>45275</v>
      </c>
      <c r="Y162">
        <f t="shared" ca="1" si="16"/>
        <v>0</v>
      </c>
      <c r="AA162" s="63">
        <f t="shared" ca="1" si="18"/>
        <v>42.79979149229473</v>
      </c>
      <c r="AB162" s="63">
        <f t="shared" ca="1" si="19"/>
        <v>42.79979149229473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45276</v>
      </c>
      <c r="K163">
        <f ca="1"/>
        <v>36.288428682993725</v>
      </c>
      <c r="L163">
        <f ca="1"/>
        <v>3.2679187621044292</v>
      </c>
      <c r="M163">
        <f ca="1"/>
        <v>-2.0252446301327609E-5</v>
      </c>
      <c r="N163">
        <f ca="1"/>
        <v>0.20926700794796488</v>
      </c>
      <c r="O163">
        <f ca="1"/>
        <v>0</v>
      </c>
      <c r="P163">
        <f ca="1"/>
        <v>86.152527547654643</v>
      </c>
      <c r="Q163">
        <f ca="1"/>
        <v>47.068697977255205</v>
      </c>
      <c r="R163">
        <f ca="1"/>
        <v>0</v>
      </c>
      <c r="S163">
        <f ca="1"/>
        <v>6.2607723793256173E-2</v>
      </c>
      <c r="T163">
        <f ca="1"/>
        <v>0</v>
      </c>
      <c r="U163">
        <f ca="1"/>
        <v>0</v>
      </c>
      <c r="V163">
        <f ca="1"/>
        <v>0.74984531668043697</v>
      </c>
      <c r="X163" s="2">
        <f t="shared" ca="1" si="15"/>
        <v>45276</v>
      </c>
      <c r="Y163">
        <f t="shared" ca="1" si="16"/>
        <v>0</v>
      </c>
      <c r="AA163" s="63">
        <f t="shared" ca="1" si="18"/>
        <v>39.556347445098147</v>
      </c>
      <c r="AB163" s="63">
        <f t="shared" ca="1" si="19"/>
        <v>39.556347445098154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45277</v>
      </c>
      <c r="K164">
        <f ca="1"/>
        <v>33.377436965148675</v>
      </c>
      <c r="L164">
        <f ca="1"/>
        <v>3.1157966744665231</v>
      </c>
      <c r="M164">
        <f ca="1"/>
        <v>5.856576745344455E-6</v>
      </c>
      <c r="N164">
        <f ca="1"/>
        <v>0.20479910004472329</v>
      </c>
      <c r="O164">
        <f ca="1"/>
        <v>0</v>
      </c>
      <c r="P164">
        <f ca="1"/>
        <v>89.268324222121166</v>
      </c>
      <c r="Q164">
        <f ca="1"/>
        <v>48.770986892085702</v>
      </c>
      <c r="R164">
        <f ca="1"/>
        <v>0</v>
      </c>
      <c r="S164">
        <f ca="1"/>
        <v>6.8352571104398976E-2</v>
      </c>
      <c r="T164">
        <f ca="1"/>
        <v>0</v>
      </c>
      <c r="U164">
        <f ca="1"/>
        <v>0</v>
      </c>
      <c r="V164">
        <f ca="1"/>
        <v>0.74987668686719089</v>
      </c>
      <c r="X164" s="2">
        <f t="shared" ca="1" si="15"/>
        <v>45277</v>
      </c>
      <c r="Y164">
        <f t="shared" ca="1" si="16"/>
        <v>0</v>
      </c>
      <c r="AA164" s="63">
        <f t="shared" ca="1" si="18"/>
        <v>36.493233639615198</v>
      </c>
      <c r="AB164" s="63">
        <f t="shared" ca="1" si="19"/>
        <v>36.493233639615198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45278</v>
      </c>
      <c r="K165">
        <f ca="1"/>
        <v>58.625184334165603</v>
      </c>
      <c r="L165">
        <f ca="1"/>
        <v>3.122790792442899</v>
      </c>
      <c r="M165">
        <f ca="1"/>
        <v>3.6608776049718017E-5</v>
      </c>
      <c r="N165">
        <f ca="1"/>
        <v>0.20936197244077326</v>
      </c>
      <c r="O165">
        <f ca="1"/>
        <v>28.161139580243002</v>
      </c>
      <c r="P165">
        <f ca="1"/>
        <v>92.391115014564065</v>
      </c>
      <c r="Q165">
        <f ca="1"/>
        <v>50.477096983566703</v>
      </c>
      <c r="R165">
        <f ca="1"/>
        <v>0</v>
      </c>
      <c r="S165">
        <f ca="1"/>
        <v>7.0702740473815695E-2</v>
      </c>
      <c r="T165">
        <f ca="1"/>
        <v>0</v>
      </c>
      <c r="U165">
        <f ca="1"/>
        <v>0</v>
      </c>
      <c r="V165">
        <f ca="1"/>
        <v>0.74990223789774002</v>
      </c>
      <c r="X165" s="2">
        <f t="shared" ca="1" si="15"/>
        <v>45278</v>
      </c>
      <c r="Y165">
        <f t="shared" ca="1" si="16"/>
        <v>28.161139580243002</v>
      </c>
      <c r="AA165" s="63">
        <f t="shared" ca="1" si="18"/>
        <v>61.747975126608502</v>
      </c>
      <c r="AB165" s="63">
        <f t="shared" ca="1" si="19"/>
        <v>61.747975126608502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45279</v>
      </c>
      <c r="K166">
        <f ca="1"/>
        <v>55.787094330824203</v>
      </c>
      <c r="L166">
        <f ca="1"/>
        <v>3.0480299112029599</v>
      </c>
      <c r="M166">
        <f ca="1"/>
        <v>6.9092109256985168E-5</v>
      </c>
      <c r="N166">
        <f ca="1"/>
        <v>0.20987081575230074</v>
      </c>
      <c r="O166">
        <f ca="1"/>
        <v>0</v>
      </c>
      <c r="P166">
        <f ca="1"/>
        <v>95.439144925767025</v>
      </c>
      <c r="Q166">
        <f ca="1"/>
        <v>52.142362105784898</v>
      </c>
      <c r="R166">
        <f ca="1"/>
        <v>0</v>
      </c>
      <c r="S166">
        <f ca="1"/>
        <v>7.188748492893822E-2</v>
      </c>
      <c r="T166">
        <f ca="1"/>
        <v>0</v>
      </c>
      <c r="U166">
        <f ca="1"/>
        <v>0</v>
      </c>
      <c r="V166">
        <f ca="1"/>
        <v>0.7499225294598062</v>
      </c>
      <c r="X166" s="2">
        <f t="shared" ca="1" si="15"/>
        <v>45279</v>
      </c>
      <c r="Y166">
        <f t="shared" ca="1" si="16"/>
        <v>0</v>
      </c>
      <c r="AA166" s="63">
        <f t="shared" ca="1" si="18"/>
        <v>58.835124242027163</v>
      </c>
      <c r="AB166" s="63">
        <f t="shared" ca="1" si="19"/>
        <v>58.835124242027163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45280</v>
      </c>
      <c r="K167">
        <f ca="1"/>
        <v>53.127169194075861</v>
      </c>
      <c r="L167">
        <f ca="1"/>
        <v>2.8663636961619261</v>
      </c>
      <c r="M167">
        <f ca="1"/>
        <v>1.2148857107163735E-4</v>
      </c>
      <c r="N167">
        <f ca="1"/>
        <v>0.20631707084251244</v>
      </c>
      <c r="O167">
        <f ca="1"/>
        <v>0</v>
      </c>
      <c r="P167">
        <f ca="1"/>
        <v>98.305508621928951</v>
      </c>
      <c r="Q167">
        <f ca="1"/>
        <v>53.708375442224593</v>
      </c>
      <c r="R167">
        <f ca="1"/>
        <v>0</v>
      </c>
      <c r="S167">
        <f ca="1"/>
        <v>8.6207587224126039E-2</v>
      </c>
      <c r="T167">
        <f ca="1"/>
        <v>0</v>
      </c>
      <c r="U167">
        <f ca="1"/>
        <v>0</v>
      </c>
      <c r="V167">
        <f ca="1"/>
        <v>0.74993815997998636</v>
      </c>
      <c r="X167" s="2">
        <f t="shared" ca="1" si="15"/>
        <v>45280</v>
      </c>
      <c r="Y167">
        <f t="shared" ca="1" si="16"/>
        <v>0</v>
      </c>
      <c r="AA167" s="63">
        <f t="shared" ca="1" si="18"/>
        <v>55.99353289023778</v>
      </c>
      <c r="AB167" s="63">
        <f t="shared" ca="1" si="19"/>
        <v>55.993532890237788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45281</v>
      </c>
      <c r="K168">
        <f ca="1"/>
        <v>50.610262314869303</v>
      </c>
      <c r="L168">
        <f ca="1"/>
        <v>2.7205554099790277</v>
      </c>
      <c r="M168">
        <f ca="1"/>
        <v>1.7015139699338988E-4</v>
      </c>
      <c r="N168">
        <f ca="1"/>
        <v>0.20347837937547303</v>
      </c>
      <c r="O168">
        <f ca="1"/>
        <v>0</v>
      </c>
      <c r="P168">
        <f ca="1"/>
        <v>101.02606403190798</v>
      </c>
      <c r="Q168">
        <f ca="1"/>
        <v>55.194727666213133</v>
      </c>
      <c r="R168">
        <f ca="1"/>
        <v>0</v>
      </c>
      <c r="S168">
        <f ca="1"/>
        <v>8.9915574668795614E-2</v>
      </c>
      <c r="T168">
        <f ca="1"/>
        <v>0</v>
      </c>
      <c r="U168">
        <f ca="1"/>
        <v>0</v>
      </c>
      <c r="V168">
        <f ca="1"/>
        <v>0.74995041826423792</v>
      </c>
      <c r="X168" s="2">
        <f t="shared" ca="1" si="15"/>
        <v>45281</v>
      </c>
      <c r="Y168">
        <f t="shared" ca="1" si="16"/>
        <v>0</v>
      </c>
      <c r="AA168" s="63">
        <f t="shared" ca="1" si="18"/>
        <v>53.33081772484833</v>
      </c>
      <c r="AB168" s="63">
        <f t="shared" ca="1" si="19"/>
        <v>53.33081772484833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45282</v>
      </c>
      <c r="K169">
        <f ca="1"/>
        <v>48.10872540238875</v>
      </c>
      <c r="L169">
        <f ca="1"/>
        <v>2.7109482173175508</v>
      </c>
      <c r="M169">
        <f ca="1"/>
        <v>2.2278252742502502E-4</v>
      </c>
      <c r="N169">
        <f ca="1"/>
        <v>0.2091885223095763</v>
      </c>
      <c r="O169">
        <f ca="1"/>
        <v>0</v>
      </c>
      <c r="P169">
        <f ca="1"/>
        <v>103.73701224922553</v>
      </c>
      <c r="Q169">
        <f ca="1"/>
        <v>56.675831082503699</v>
      </c>
      <c r="R169">
        <f ca="1"/>
        <v>0</v>
      </c>
      <c r="S169">
        <f ca="1"/>
        <v>9.0559067306698021E-2</v>
      </c>
      <c r="T169">
        <f ca="1"/>
        <v>0</v>
      </c>
      <c r="U169">
        <f ca="1"/>
        <v>0</v>
      </c>
      <c r="V169">
        <f ca="1"/>
        <v>0.74996053583599309</v>
      </c>
      <c r="X169" s="2">
        <f t="shared" ca="1" si="15"/>
        <v>45282</v>
      </c>
      <c r="Y169">
        <f t="shared" ca="1" si="16"/>
        <v>0</v>
      </c>
      <c r="AA169" s="63">
        <f t="shared" ca="1" si="18"/>
        <v>50.8196736197063</v>
      </c>
      <c r="AB169" s="63">
        <f t="shared" ca="1" si="19"/>
        <v>50.8196736197063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45283</v>
      </c>
      <c r="K170">
        <f ca="1"/>
        <v>45.764006483004003</v>
      </c>
      <c r="L170">
        <f ca="1"/>
        <v>2.5502158364751608</v>
      </c>
      <c r="M170">
        <f ca="1"/>
        <v>2.6172384721157016E-4</v>
      </c>
      <c r="N170">
        <f ca="1"/>
        <v>0.20523519324320286</v>
      </c>
      <c r="O170">
        <f ca="1"/>
        <v>0</v>
      </c>
      <c r="P170">
        <f ca="1"/>
        <v>106.28722808570069</v>
      </c>
      <c r="Q170">
        <f ca="1"/>
        <v>58.069119734626703</v>
      </c>
      <c r="R170">
        <f ca="1"/>
        <v>0</v>
      </c>
      <c r="S170">
        <f ca="1"/>
        <v>8.9217943608014078E-2</v>
      </c>
      <c r="T170">
        <f ca="1"/>
        <v>0</v>
      </c>
      <c r="U170">
        <f ca="1"/>
        <v>0</v>
      </c>
      <c r="V170">
        <f ca="1"/>
        <v>0.74996843571712657</v>
      </c>
      <c r="X170" s="2">
        <f t="shared" ca="1" si="15"/>
        <v>45283</v>
      </c>
      <c r="Y170">
        <f t="shared" ca="1" si="16"/>
        <v>0</v>
      </c>
      <c r="AA170" s="63">
        <f t="shared" ca="1" si="18"/>
        <v>48.314222319479164</v>
      </c>
      <c r="AB170" s="63">
        <f t="shared" ca="1" si="19"/>
        <v>48.314222319479164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45284</v>
      </c>
      <c r="K171">
        <f ca="1"/>
        <v>43.381251213711892</v>
      </c>
      <c r="L171">
        <f ca="1"/>
        <v>2.598159442569397</v>
      </c>
      <c r="M171">
        <f ca="1"/>
        <v>2.8831811372143079E-4</v>
      </c>
      <c r="N171">
        <f ca="1"/>
        <v>0.21511585516356999</v>
      </c>
      <c r="O171">
        <f ca="1"/>
        <v>0</v>
      </c>
      <c r="P171">
        <f ca="1"/>
        <v>108.88538752827009</v>
      </c>
      <c r="Q171">
        <f ca="1"/>
        <v>59.488601966664625</v>
      </c>
      <c r="R171">
        <f ca="1"/>
        <v>0</v>
      </c>
      <c r="S171">
        <f ca="1"/>
        <v>8.0639834321532336E-2</v>
      </c>
      <c r="T171">
        <f ca="1"/>
        <v>0</v>
      </c>
      <c r="U171">
        <f ca="1"/>
        <v>0</v>
      </c>
      <c r="V171">
        <f ca="1"/>
        <v>0.74997511458307309</v>
      </c>
      <c r="X171" s="2">
        <f t="shared" ca="1" si="15"/>
        <v>45284</v>
      </c>
      <c r="Y171">
        <f t="shared" ca="1" si="16"/>
        <v>0</v>
      </c>
      <c r="AA171" s="63">
        <f t="shared" ca="1" si="18"/>
        <v>45.979410656281296</v>
      </c>
      <c r="AB171" s="63">
        <f t="shared" ca="1" si="19"/>
        <v>45.979410656281289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45285</v>
      </c>
      <c r="K172">
        <f ca="1"/>
        <v>41.110310807918893</v>
      </c>
      <c r="L172">
        <f ca="1"/>
        <v>2.486445253664769</v>
      </c>
      <c r="M172">
        <f ca="1"/>
        <v>3.0610825342947123E-4</v>
      </c>
      <c r="N172">
        <f ca="1"/>
        <v>0.21519873961833705</v>
      </c>
      <c r="O172">
        <f ca="1"/>
        <v>0</v>
      </c>
      <c r="P172">
        <f ca="1"/>
        <v>111.37183278193486</v>
      </c>
      <c r="Q172">
        <f ca="1"/>
        <v>60.847050105252201</v>
      </c>
      <c r="R172">
        <f ca="1"/>
        <v>0</v>
      </c>
      <c r="S172">
        <f ca="1"/>
        <v>7.535942776138628E-2</v>
      </c>
      <c r="T172">
        <f ca="1"/>
        <v>0</v>
      </c>
      <c r="U172">
        <f ca="1"/>
        <v>0</v>
      </c>
      <c r="V172">
        <f ca="1"/>
        <v>0.74998040195030102</v>
      </c>
      <c r="X172" s="2">
        <f t="shared" ca="1" si="15"/>
        <v>45285</v>
      </c>
      <c r="Y172">
        <f t="shared" ca="1" si="16"/>
        <v>0</v>
      </c>
      <c r="AA172" s="63">
        <f t="shared" ca="1" si="18"/>
        <v>43.596756061583655</v>
      </c>
      <c r="AB172" s="63">
        <f t="shared" ca="1" si="19"/>
        <v>43.596756061583662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45286</v>
      </c>
      <c r="K173">
        <f ca="1"/>
        <v>39.093917123909002</v>
      </c>
      <c r="L173">
        <f ca="1"/>
        <v>2.2198534226505018</v>
      </c>
      <c r="M173">
        <f ca="1"/>
        <v>2.998094034989407E-4</v>
      </c>
      <c r="N173">
        <f ca="1"/>
        <v>0.20315992923711321</v>
      </c>
      <c r="O173">
        <f ca="1"/>
        <v>0</v>
      </c>
      <c r="P173">
        <f ca="1"/>
        <v>113.59168620458536</v>
      </c>
      <c r="Q173">
        <f ca="1"/>
        <v>62.059848072749062</v>
      </c>
      <c r="R173">
        <f ca="1"/>
        <v>0</v>
      </c>
      <c r="S173">
        <f ca="1"/>
        <v>6.9884634934346809E-2</v>
      </c>
      <c r="T173">
        <f ca="1"/>
        <v>0</v>
      </c>
      <c r="U173">
        <f ca="1"/>
        <v>0</v>
      </c>
      <c r="V173">
        <f ca="1"/>
        <v>0.74998433900412786</v>
      </c>
      <c r="X173" s="2">
        <f t="shared" ca="1" si="15"/>
        <v>45286</v>
      </c>
      <c r="Y173">
        <f t="shared" ca="1" si="16"/>
        <v>0</v>
      </c>
      <c r="AA173" s="63">
        <f t="shared" ca="1" si="18"/>
        <v>41.313770546559503</v>
      </c>
      <c r="AB173" s="63">
        <f t="shared" ca="1" si="19"/>
        <v>41.313770546559503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45287</v>
      </c>
      <c r="K174">
        <f ca="1"/>
        <v>36.864981630183948</v>
      </c>
      <c r="L174">
        <f ca="1"/>
        <v>2.4628368083564425</v>
      </c>
      <c r="M174">
        <f ca="1"/>
        <v>3.5629369093825858E-4</v>
      </c>
      <c r="N174">
        <f ca="1"/>
        <v>0.23354502094044524</v>
      </c>
      <c r="O174">
        <f ca="1"/>
        <v>0</v>
      </c>
      <c r="P174">
        <f ca="1"/>
        <v>116.0545230129418</v>
      </c>
      <c r="Q174">
        <f ca="1"/>
        <v>63.405397938777945</v>
      </c>
      <c r="R174">
        <f ca="1"/>
        <v>0</v>
      </c>
      <c r="S174">
        <f ca="1"/>
        <v>6.7267655891741662E-2</v>
      </c>
      <c r="T174">
        <f ca="1"/>
        <v>0</v>
      </c>
      <c r="U174">
        <f ca="1"/>
        <v>0</v>
      </c>
      <c r="V174">
        <f ca="1"/>
        <v>0.74998796293154713</v>
      </c>
      <c r="X174" s="2">
        <f t="shared" ca="1" si="15"/>
        <v>45287</v>
      </c>
      <c r="Y174">
        <f t="shared" ca="1" si="16"/>
        <v>0</v>
      </c>
      <c r="AA174" s="63">
        <f t="shared" ca="1" si="18"/>
        <v>39.327818438540383</v>
      </c>
      <c r="AB174" s="63">
        <f t="shared" ca="1" si="19"/>
        <v>39.32781843854039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45288</v>
      </c>
      <c r="K175">
        <f ca="1"/>
        <v>34.749734867865342</v>
      </c>
      <c r="L175">
        <f ca="1"/>
        <v>2.3549079495941498</v>
      </c>
      <c r="M175">
        <f ca="1"/>
        <v>4.4319556824845563E-4</v>
      </c>
      <c r="N175">
        <f ca="1"/>
        <v>0.23921799170729097</v>
      </c>
      <c r="O175">
        <f ca="1"/>
        <v>0</v>
      </c>
      <c r="P175">
        <f ca="1"/>
        <v>118.40943096253595</v>
      </c>
      <c r="Q175">
        <f ca="1"/>
        <v>64.691981794165983</v>
      </c>
      <c r="R175">
        <f ca="1"/>
        <v>0</v>
      </c>
      <c r="S175">
        <f ca="1"/>
        <v>7.5240791397982384E-2</v>
      </c>
      <c r="T175">
        <f ca="1"/>
        <v>0</v>
      </c>
      <c r="U175">
        <f ca="1"/>
        <v>0</v>
      </c>
      <c r="V175">
        <f ca="1"/>
        <v>0.74999079727587381</v>
      </c>
      <c r="X175" s="2">
        <f t="shared" ca="1" si="15"/>
        <v>45288</v>
      </c>
      <c r="Y175">
        <f t="shared" ca="1" si="16"/>
        <v>0</v>
      </c>
      <c r="AA175" s="63">
        <f t="shared" ca="1" si="18"/>
        <v>37.104642817459492</v>
      </c>
      <c r="AB175" s="63">
        <f t="shared" ca="1" si="19"/>
        <v>37.104642817459492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45289</v>
      </c>
      <c r="K176">
        <f ca="1"/>
        <v>33.001750899062074</v>
      </c>
      <c r="L176">
        <f ca="1"/>
        <v>1.9630547703308707</v>
      </c>
      <c r="M176">
        <f ca="1"/>
        <v>4.169398781748157E-4</v>
      </c>
      <c r="N176">
        <f ca="1"/>
        <v>0.21465386164943243</v>
      </c>
      <c r="O176">
        <f ca="1"/>
        <v>0</v>
      </c>
      <c r="P176">
        <f ca="1"/>
        <v>120.37248573286682</v>
      </c>
      <c r="Q176">
        <f ca="1"/>
        <v>65.764480010151615</v>
      </c>
      <c r="R176">
        <f ca="1"/>
        <v>0</v>
      </c>
      <c r="S176">
        <f ca="1"/>
        <v>7.1627889543903436E-2</v>
      </c>
      <c r="T176">
        <f ca="1"/>
        <v>0</v>
      </c>
      <c r="U176">
        <f ca="1"/>
        <v>0</v>
      </c>
      <c r="V176">
        <f ca="1"/>
        <v>0.74999275259707243</v>
      </c>
      <c r="X176" s="2">
        <f t="shared" ca="1" si="15"/>
        <v>45289</v>
      </c>
      <c r="Y176">
        <f t="shared" ca="1" si="16"/>
        <v>0</v>
      </c>
      <c r="AA176" s="63">
        <f t="shared" ca="1" si="18"/>
        <v>34.964805669392952</v>
      </c>
      <c r="AB176" s="63">
        <f t="shared" ca="1" si="19"/>
        <v>34.964805669392945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45290</v>
      </c>
      <c r="K177">
        <f ca="1"/>
        <v>31.296785936574459</v>
      </c>
      <c r="L177">
        <f ca="1"/>
        <v>1.9304467143397233</v>
      </c>
      <c r="M177">
        <f ca="1"/>
        <v>5.0156033120352106E-4</v>
      </c>
      <c r="N177">
        <f ca="1"/>
        <v>0.22498019152090684</v>
      </c>
      <c r="O177">
        <f ca="1"/>
        <v>0</v>
      </c>
      <c r="P177">
        <f ca="1"/>
        <v>122.30293244720654</v>
      </c>
      <c r="Q177">
        <f ca="1"/>
        <v>66.81916309310796</v>
      </c>
      <c r="R177">
        <f ca="1"/>
        <v>0</v>
      </c>
      <c r="S177">
        <f ca="1"/>
        <v>7.7147795399742536E-2</v>
      </c>
      <c r="T177">
        <f ca="1"/>
        <v>0</v>
      </c>
      <c r="U177">
        <f ca="1"/>
        <v>0</v>
      </c>
      <c r="V177">
        <f ca="1"/>
        <v>0.74999436022921839</v>
      </c>
      <c r="X177" s="2">
        <f t="shared" ca="1" si="15"/>
        <v>45290</v>
      </c>
      <c r="Y177">
        <f t="shared" ca="1" si="16"/>
        <v>0</v>
      </c>
      <c r="AA177" s="63">
        <f t="shared" ca="1" si="18"/>
        <v>33.227232650914182</v>
      </c>
      <c r="AB177" s="63">
        <f t="shared" ca="1" si="19"/>
        <v>33.227232650914182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1</v>
      </c>
      <c r="J178" s="2">
        <f ca="1"/>
        <v>45291</v>
      </c>
      <c r="K178">
        <f ca="1"/>
        <v>29.790601418783179</v>
      </c>
      <c r="L178">
        <f ca="1"/>
        <v>1.7220675527934333</v>
      </c>
      <c r="M178">
        <f ca="1"/>
        <v>4.9128553365918037E-4</v>
      </c>
      <c r="N178">
        <f ca="1"/>
        <v>0.21539174946849318</v>
      </c>
      <c r="O178">
        <f ca="1"/>
        <v>0</v>
      </c>
      <c r="P178">
        <f ca="1"/>
        <v>124.02499999999998</v>
      </c>
      <c r="Q178">
        <f ca="1"/>
        <v>67.759999999999977</v>
      </c>
      <c r="R178">
        <f ca="1"/>
        <v>0</v>
      </c>
      <c r="S178">
        <f ca="1"/>
        <v>7.3122541284840498E-2</v>
      </c>
      <c r="T178">
        <f ca="1"/>
        <v>0</v>
      </c>
      <c r="U178">
        <f ca="1"/>
        <v>0</v>
      </c>
      <c r="V178">
        <f ca="1"/>
        <v>0.7499955614729874</v>
      </c>
      <c r="X178" s="2">
        <f t="shared" ca="1" si="15"/>
        <v>45291</v>
      </c>
      <c r="Y178">
        <f t="shared" ca="1" si="16"/>
        <v>0</v>
      </c>
      <c r="AA178" s="63">
        <f t="shared" ca="1" si="18"/>
        <v>31.512668971576613</v>
      </c>
      <c r="AB178" s="63">
        <f t="shared" ca="1" si="19"/>
        <v>31.512668971576613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45292</v>
      </c>
      <c r="K179">
        <f ca="1"/>
        <v>29.700190279596214</v>
      </c>
      <c r="L179">
        <f ca="1"/>
        <v>0</v>
      </c>
      <c r="M179">
        <f ca="1"/>
        <v>-0.31271099654285273</v>
      </c>
      <c r="N179">
        <f ca="1"/>
        <v>0.22229985735588864</v>
      </c>
      <c r="O179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7.8222452227710015E-2</v>
      </c>
      <c r="T179">
        <f ca="1"/>
        <v>0</v>
      </c>
      <c r="U179">
        <f ca="1"/>
        <v>0</v>
      </c>
      <c r="V179">
        <f ca="1"/>
        <v>0</v>
      </c>
      <c r="X179" s="2">
        <f t="shared" ca="1" si="15"/>
        <v>45292</v>
      </c>
      <c r="Y179">
        <f t="shared" ca="1" si="16"/>
        <v>0</v>
      </c>
      <c r="AA179" s="63">
        <f t="shared" ca="1" si="18"/>
        <v>29.700190279596217</v>
      </c>
      <c r="AB179" s="63">
        <f t="shared" ca="1" si="19"/>
        <v>29.700190279596214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45293</v>
      </c>
      <c r="K180">
        <f ca="1"/>
        <v>29.523140573754965</v>
      </c>
      <c r="L180">
        <f ca="1"/>
        <v>0</v>
      </c>
      <c r="M180">
        <f ca="1"/>
        <v>-0.42082564862362837</v>
      </c>
      <c r="N180">
        <f ca="1"/>
        <v>0.24377594278238032</v>
      </c>
      <c r="O180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9.9372881603903104E-2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45293</v>
      </c>
      <c r="Y180">
        <f t="shared" ca="1" si="16"/>
        <v>0</v>
      </c>
      <c r="AA180" s="63">
        <f t="shared" ca="1" si="18"/>
        <v>29.523140573754969</v>
      </c>
      <c r="AB180" s="63">
        <f t="shared" ca="1" si="19"/>
        <v>29.523140573754965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45294</v>
      </c>
      <c r="K181">
        <f ca="1"/>
        <v>29.225519610472197</v>
      </c>
      <c r="L181">
        <f ca="1"/>
        <v>0</v>
      </c>
      <c r="M181">
        <f ca="1"/>
        <v>-0.54123158993243159</v>
      </c>
      <c r="N181">
        <f ca="1"/>
        <v>0.24361062664966682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0.13275168572172708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45294</v>
      </c>
      <c r="Y181">
        <f t="shared" ca="1" si="16"/>
        <v>0</v>
      </c>
      <c r="AA181" s="63">
        <f t="shared" ca="1" si="18"/>
        <v>29.225519610472201</v>
      </c>
      <c r="AB181" s="63">
        <f t="shared" ca="1" si="19"/>
        <v>29.225519610472197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45295</v>
      </c>
      <c r="K182">
        <f ca="1"/>
        <v>28.869494978868801</v>
      </c>
      <c r="L182">
        <f ca="1"/>
        <v>0</v>
      </c>
      <c r="M182">
        <f ca="1"/>
        <v>-0.58502020532768562</v>
      </c>
      <c r="N182">
        <f ca="1"/>
        <v>0.22899557372429136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0.15675615926601161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45295</v>
      </c>
      <c r="Y182">
        <f t="shared" ca="1" si="16"/>
        <v>0</v>
      </c>
      <c r="AA182" s="63">
        <f t="shared" ca="1" si="18"/>
        <v>28.869494978868801</v>
      </c>
      <c r="AB182" s="63">
        <f t="shared" ca="1" si="19"/>
        <v>28.869494978868801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45296</v>
      </c>
      <c r="K183">
        <f ca="1"/>
        <v>28.468810098882191</v>
      </c>
      <c r="L183">
        <f ca="1"/>
        <v>0</v>
      </c>
      <c r="M183">
        <f ca="1"/>
        <v>-0.63788795852532232</v>
      </c>
      <c r="N183">
        <f ca="1"/>
        <v>0.23720307853871148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0.17069515518786421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45296</v>
      </c>
      <c r="Y183">
        <f t="shared" ca="1" si="16"/>
        <v>0</v>
      </c>
      <c r="AA183" s="63">
        <f t="shared" ca="1" si="18"/>
        <v>28.468810098882191</v>
      </c>
      <c r="AB183" s="63">
        <f t="shared" ca="1" si="19"/>
        <v>28.468810098882191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45297</v>
      </c>
      <c r="K184">
        <f ca="1"/>
        <v>28.104404944695695</v>
      </c>
      <c r="L184">
        <f ca="1"/>
        <v>0</v>
      </c>
      <c r="M184">
        <f ca="1"/>
        <v>-0.60269893734753843</v>
      </c>
      <c r="N184">
        <f ca="1"/>
        <v>0.23829378316104227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0.16262726359316523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45297</v>
      </c>
      <c r="Y184">
        <f t="shared" ca="1" si="16"/>
        <v>0</v>
      </c>
      <c r="AA184" s="63">
        <f t="shared" ca="1" si="18"/>
        <v>28.104404944695695</v>
      </c>
      <c r="AB184" s="63">
        <f t="shared" ca="1" si="19"/>
        <v>28.104404944695695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45298</v>
      </c>
      <c r="K185">
        <f ca="1"/>
        <v>27.72066198304891</v>
      </c>
      <c r="L185">
        <f ca="1"/>
        <v>0</v>
      </c>
      <c r="M185">
        <f ca="1"/>
        <v>-0.64567217731411475</v>
      </c>
      <c r="N185">
        <f ca="1"/>
        <v>0.26192921566733002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0.16343617865644761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45298</v>
      </c>
      <c r="Y185">
        <f t="shared" ca="1" si="16"/>
        <v>0</v>
      </c>
      <c r="AA185" s="63">
        <f t="shared" ca="1" si="18"/>
        <v>27.72066198304891</v>
      </c>
      <c r="AB185" s="63">
        <f t="shared" ca="1" si="19"/>
        <v>27.72066198304891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45299</v>
      </c>
      <c r="K186">
        <f ca="1"/>
        <v>27.265295450117875</v>
      </c>
      <c r="L186">
        <f ca="1"/>
        <v>0</v>
      </c>
      <c r="M186">
        <f ca="1"/>
        <v>-0.71764687877323041</v>
      </c>
      <c r="N186">
        <f ca="1"/>
        <v>0.26228034584219512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0.18951073649157765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45299</v>
      </c>
      <c r="Y186">
        <f t="shared" ca="1" si="16"/>
        <v>0</v>
      </c>
      <c r="AA186" s="63">
        <f t="shared" ca="1" si="18"/>
        <v>27.265295450117875</v>
      </c>
      <c r="AB186" s="63">
        <f t="shared" ca="1" si="19"/>
        <v>27.265295450117875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45300</v>
      </c>
      <c r="K187">
        <f ca="1"/>
        <v>26.853956929104982</v>
      </c>
      <c r="L187">
        <f ca="1"/>
        <v>0</v>
      </c>
      <c r="M187">
        <f ca="1"/>
        <v>-0.65562003714679129</v>
      </c>
      <c r="N187">
        <f ca="1"/>
        <v>0.24428151613389926</v>
      </c>
      <c r="O187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0.18828887921506607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45300</v>
      </c>
      <c r="Y187">
        <f t="shared" ca="1" si="16"/>
        <v>0</v>
      </c>
      <c r="AA187" s="63">
        <f t="shared" ca="1" si="18"/>
        <v>26.853956929104985</v>
      </c>
      <c r="AB187" s="63">
        <f t="shared" ca="1" si="19"/>
        <v>26.853956929104982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45301</v>
      </c>
      <c r="K188">
        <f ca="1"/>
        <v>26.362215590214944</v>
      </c>
      <c r="L188">
        <f ca="1"/>
        <v>0</v>
      </c>
      <c r="M188">
        <f ca="1"/>
        <v>-0.73792267814105017</v>
      </c>
      <c r="N188">
        <f ca="1"/>
        <v>0.24618133925101149</v>
      </c>
      <c r="O188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0.22176129981729911</v>
      </c>
      <c r="T188">
        <f ca="1"/>
        <v>0</v>
      </c>
      <c r="U188">
        <f ca="1"/>
        <v>0</v>
      </c>
      <c r="V188">
        <f ca="1"/>
        <v>0</v>
      </c>
      <c r="X188" s="2">
        <f t="shared" ca="1" si="15"/>
        <v>45301</v>
      </c>
      <c r="Y188">
        <f t="shared" ca="1" si="16"/>
        <v>0</v>
      </c>
      <c r="AA188" s="63">
        <f t="shared" ca="1" si="18"/>
        <v>26.362215590214944</v>
      </c>
      <c r="AB188" s="63">
        <f t="shared" ca="1" si="19"/>
        <v>26.362215590214944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45302</v>
      </c>
      <c r="K189">
        <f ca="1"/>
        <v>25.804376410264791</v>
      </c>
      <c r="L189">
        <f ca="1"/>
        <v>0</v>
      </c>
      <c r="M189">
        <f ca="1"/>
        <v>-0.81780746059174447</v>
      </c>
      <c r="N189">
        <f ca="1"/>
        <v>0.25996828064158911</v>
      </c>
      <c r="O189">
        <f ca="1"/>
        <v>0</v>
      </c>
      <c r="P189">
        <f ca="1"/>
        <v>0</v>
      </c>
      <c r="Q189">
        <f ca="1"/>
        <v>0</v>
      </c>
      <c r="R189">
        <f ca="1"/>
        <v>0</v>
      </c>
      <c r="S189">
        <f ca="1"/>
        <v>0.24618370640710577</v>
      </c>
      <c r="T189">
        <f ca="1"/>
        <v>0</v>
      </c>
      <c r="U189">
        <f ca="1"/>
        <v>0</v>
      </c>
      <c r="V189">
        <f ca="1"/>
        <v>0</v>
      </c>
      <c r="X189" s="2">
        <f t="shared" ca="1" si="15"/>
        <v>45302</v>
      </c>
      <c r="Y189">
        <f t="shared" ca="1" si="16"/>
        <v>0</v>
      </c>
      <c r="AA189" s="63">
        <f t="shared" ca="1" si="18"/>
        <v>25.804376410264791</v>
      </c>
      <c r="AB189" s="63">
        <f t="shared" ca="1" si="19"/>
        <v>25.804376410264791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45303</v>
      </c>
      <c r="K190">
        <f ca="1"/>
        <v>25.170272601783047</v>
      </c>
      <c r="L190">
        <f ca="1"/>
        <v>0</v>
      </c>
      <c r="M190">
        <f ca="1"/>
        <v>-0.91122479865123829</v>
      </c>
      <c r="N190">
        <f ca="1"/>
        <v>0.2771209901694982</v>
      </c>
      <c r="O190">
        <f ca="1"/>
        <v>0</v>
      </c>
      <c r="P190">
        <f ca="1"/>
        <v>0</v>
      </c>
      <c r="Q190">
        <f ca="1"/>
        <v>0</v>
      </c>
      <c r="R190">
        <f ca="1"/>
        <v>0</v>
      </c>
      <c r="S190">
        <f ca="1"/>
        <v>0.2749075091811316</v>
      </c>
      <c r="T190">
        <f ca="1"/>
        <v>0</v>
      </c>
      <c r="U190">
        <f ca="1"/>
        <v>0</v>
      </c>
      <c r="V190">
        <f ca="1"/>
        <v>0</v>
      </c>
      <c r="X190" s="2">
        <f t="shared" ca="1" si="15"/>
        <v>45303</v>
      </c>
      <c r="Y190">
        <f t="shared" ca="1" si="16"/>
        <v>0</v>
      </c>
      <c r="AA190" s="63">
        <f t="shared" ca="1" si="18"/>
        <v>25.170272601783051</v>
      </c>
      <c r="AB190" s="63">
        <f t="shared" ca="1" si="19"/>
        <v>25.170272601783047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45304</v>
      </c>
      <c r="K191">
        <f ca="1"/>
        <v>24.565959206144115</v>
      </c>
      <c r="L191">
        <f ca="1"/>
        <v>0</v>
      </c>
      <c r="M191">
        <f ca="1"/>
        <v>-0.88440364318729259</v>
      </c>
      <c r="N191">
        <f ca="1"/>
        <v>0.28009024754836315</v>
      </c>
      <c r="O191">
        <f ca="1"/>
        <v>0</v>
      </c>
      <c r="P191">
        <f ca="1"/>
        <v>0</v>
      </c>
      <c r="Q191">
        <f ca="1"/>
        <v>0</v>
      </c>
      <c r="R191">
        <f ca="1"/>
        <v>0</v>
      </c>
      <c r="S191">
        <f ca="1"/>
        <v>0.27252745830382347</v>
      </c>
      <c r="T191">
        <f ca="1"/>
        <v>0</v>
      </c>
      <c r="U191">
        <f ca="1"/>
        <v>0</v>
      </c>
      <c r="V191">
        <f ca="1"/>
        <v>0</v>
      </c>
      <c r="X191" s="2">
        <f t="shared" ca="1" si="15"/>
        <v>45304</v>
      </c>
      <c r="Y191">
        <f t="shared" ca="1" si="16"/>
        <v>0</v>
      </c>
      <c r="AA191" s="63">
        <f t="shared" ca="1" si="18"/>
        <v>24.565959206144118</v>
      </c>
      <c r="AB191" s="63">
        <f t="shared" ca="1" si="19"/>
        <v>24.565959206144115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45305</v>
      </c>
      <c r="K192">
        <f ca="1"/>
        <v>24.017412575668654</v>
      </c>
      <c r="L192">
        <f ca="1"/>
        <v>0</v>
      </c>
      <c r="M192">
        <f ca="1"/>
        <v>-0.82583182635710273</v>
      </c>
      <c r="N192">
        <f ca="1"/>
        <v>0.27728519588164341</v>
      </c>
      <c r="O192">
        <f ca="1"/>
        <v>0</v>
      </c>
      <c r="P192">
        <f ca="1"/>
        <v>0</v>
      </c>
      <c r="Q192">
        <f ca="1"/>
        <v>0</v>
      </c>
      <c r="R192">
        <f ca="1"/>
        <v>0</v>
      </c>
      <c r="S192">
        <f ca="1"/>
        <v>0.26273258792868259</v>
      </c>
      <c r="T192">
        <f ca="1"/>
        <v>0</v>
      </c>
      <c r="U192">
        <f ca="1"/>
        <v>0</v>
      </c>
      <c r="V192">
        <f ca="1"/>
        <v>0</v>
      </c>
      <c r="X192" s="2">
        <f t="shared" ca="1" si="15"/>
        <v>45305</v>
      </c>
      <c r="Y192">
        <f t="shared" ca="1" si="16"/>
        <v>0</v>
      </c>
      <c r="AA192" s="63">
        <f t="shared" ca="1" si="18"/>
        <v>24.017412575668654</v>
      </c>
      <c r="AB192" s="63">
        <f t="shared" ca="1" si="19"/>
        <v>24.017412575668654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45306</v>
      </c>
      <c r="K193">
        <f ca="1"/>
        <v>23.502892127238589</v>
      </c>
      <c r="L193">
        <f ca="1"/>
        <v>0</v>
      </c>
      <c r="M193">
        <f ca="1"/>
        <v>-0.79998500814433626</v>
      </c>
      <c r="N193">
        <f ca="1"/>
        <v>0.2854645597142717</v>
      </c>
      <c r="O193">
        <f ca="1"/>
        <v>0</v>
      </c>
      <c r="P193">
        <f ca="1"/>
        <v>1.5604044247967603</v>
      </c>
      <c r="Q193">
        <f ca="1"/>
        <v>1.4438807177502491</v>
      </c>
      <c r="R193">
        <f ca="1"/>
        <v>0</v>
      </c>
      <c r="S193">
        <f ca="1"/>
        <v>0.25388692669583013</v>
      </c>
      <c r="T193">
        <f ca="1"/>
        <v>0</v>
      </c>
      <c r="U193">
        <f ca="1"/>
        <v>0</v>
      </c>
      <c r="V193">
        <f ca="1"/>
        <v>7.7357558978922505E-3</v>
      </c>
      <c r="X193" s="2">
        <f t="shared" ca="1" si="15"/>
        <v>45306</v>
      </c>
      <c r="Y193">
        <f t="shared" ca="1" si="16"/>
        <v>0</v>
      </c>
      <c r="AA193" s="63">
        <f t="shared" ca="1" si="18"/>
        <v>23.502892127238589</v>
      </c>
      <c r="AB193" s="63">
        <f t="shared" ca="1" si="19"/>
        <v>23.502892127238589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45307</v>
      </c>
      <c r="K194">
        <f ca="1"/>
        <v>22.972625618409523</v>
      </c>
      <c r="L194">
        <f ca="1"/>
        <v>9.0232727097390608E-2</v>
      </c>
      <c r="M194">
        <f ca="1"/>
        <v>-0.71067007587133091</v>
      </c>
      <c r="N194">
        <f ca="1"/>
        <v>0.27063629413965684</v>
      </c>
      <c r="O194">
        <f ca="1"/>
        <v>0</v>
      </c>
      <c r="P194">
        <f ca="1"/>
        <v>1.6506371518941509</v>
      </c>
      <c r="Q194">
        <f ca="1"/>
        <v>1.5273752866553021</v>
      </c>
      <c r="R194">
        <f ca="1"/>
        <v>0</v>
      </c>
      <c r="S194">
        <f ca="1"/>
        <v>0.24102410791659737</v>
      </c>
      <c r="T194">
        <f ca="1"/>
        <v>0</v>
      </c>
      <c r="U194">
        <f ca="1"/>
        <v>0</v>
      </c>
      <c r="V194">
        <f ca="1"/>
        <v>8.9017781258716681E-3</v>
      </c>
      <c r="X194" s="2">
        <f t="shared" ca="1" si="15"/>
        <v>45307</v>
      </c>
      <c r="Y194">
        <f t="shared" ca="1" si="16"/>
        <v>0</v>
      </c>
      <c r="AA194" s="63">
        <f t="shared" ca="1" si="18"/>
        <v>23.062858345506914</v>
      </c>
      <c r="AB194" s="63">
        <f t="shared" ca="1" si="19"/>
        <v>23.062858345506914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45308</v>
      </c>
      <c r="K195">
        <f ca="1"/>
        <v>22.496853481239206</v>
      </c>
      <c r="L195">
        <f ca="1"/>
        <v>9.4767852358465854E-2</v>
      </c>
      <c r="M195">
        <f ca="1"/>
        <v>-0.64539950178965455</v>
      </c>
      <c r="N195">
        <f ca="1"/>
        <v>0.26439521697780377</v>
      </c>
      <c r="O195">
        <f ca="1"/>
        <v>0</v>
      </c>
      <c r="P195">
        <f ca="1"/>
        <v>1.7454050042526168</v>
      </c>
      <c r="Q195">
        <f ca="1"/>
        <v>1.615066318870116</v>
      </c>
      <c r="R195">
        <f ca="1"/>
        <v>0</v>
      </c>
      <c r="S195">
        <f ca="1"/>
        <v>0.22702314654331765</v>
      </c>
      <c r="T195">
        <f ca="1"/>
        <v>0</v>
      </c>
      <c r="U195">
        <f ca="1"/>
        <v>0</v>
      </c>
      <c r="V195">
        <f ca="1"/>
        <v>1.023236701091341E-2</v>
      </c>
      <c r="X195" s="2">
        <f t="shared" ca="1" si="15"/>
        <v>45308</v>
      </c>
      <c r="Y195">
        <f t="shared" ca="1" si="16"/>
        <v>0</v>
      </c>
      <c r="AA195" s="63">
        <f t="shared" ca="1" si="18"/>
        <v>22.591621333597672</v>
      </c>
      <c r="AB195" s="63">
        <f t="shared" ca="1" si="19"/>
        <v>22.591621333597672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45309</v>
      </c>
      <c r="K196">
        <f ca="1"/>
        <v>21.909147215710011</v>
      </c>
      <c r="L196">
        <f ca="1"/>
        <v>0.10373775349283298</v>
      </c>
      <c r="M196">
        <f ca="1"/>
        <v>-0.77354097983702275</v>
      </c>
      <c r="N196">
        <f ca="1"/>
        <v>0.28957246780065843</v>
      </c>
      <c r="O196">
        <f ca="1"/>
        <v>0</v>
      </c>
      <c r="P196">
        <f ca="1"/>
        <v>1.8491427577454498</v>
      </c>
      <c r="Q196">
        <f ca="1"/>
        <v>1.7110574219397832</v>
      </c>
      <c r="R196">
        <f ca="1"/>
        <v>0</v>
      </c>
      <c r="S196">
        <f ca="1"/>
        <v>0.26969893212600449</v>
      </c>
      <c r="T196">
        <f ca="1"/>
        <v>0</v>
      </c>
      <c r="U196">
        <f ca="1"/>
        <v>0</v>
      </c>
      <c r="V196">
        <f ca="1"/>
        <v>1.1816319686937467E-2</v>
      </c>
      <c r="X196" s="2">
        <f t="shared" ca="1" si="15"/>
        <v>45309</v>
      </c>
      <c r="Y196">
        <f t="shared" ca="1" si="16"/>
        <v>0</v>
      </c>
      <c r="AA196" s="63">
        <f t="shared" ca="1" si="18"/>
        <v>22.012884969202844</v>
      </c>
      <c r="AB196" s="63">
        <f t="shared" ca="1" si="19"/>
        <v>22.012884969202844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45310</v>
      </c>
      <c r="K197">
        <f ca="1"/>
        <v>21.372983631471506</v>
      </c>
      <c r="L197">
        <f ca="1"/>
        <v>0.10821549509256023</v>
      </c>
      <c r="M197">
        <f ca="1"/>
        <v>-0.70902726938287941</v>
      </c>
      <c r="N197">
        <f ca="1"/>
        <v>0.28107918023693129</v>
      </c>
      <c r="O197">
        <f ca="1"/>
        <v>0</v>
      </c>
      <c r="P197">
        <f ca="1"/>
        <v>1.95735825283801</v>
      </c>
      <c r="Q197">
        <f ca="1"/>
        <v>1.8111918898014052</v>
      </c>
      <c r="R197">
        <f ca="1"/>
        <v>0</v>
      </c>
      <c r="S197">
        <f ca="1"/>
        <v>0.26022350991169518</v>
      </c>
      <c r="T197">
        <f ca="1"/>
        <v>0</v>
      </c>
      <c r="U197">
        <f ca="1"/>
        <v>0</v>
      </c>
      <c r="V197">
        <f ca="1"/>
        <v>1.3613817027274829E-2</v>
      </c>
      <c r="X197" s="2">
        <f t="shared" ca="1" si="15"/>
        <v>45310</v>
      </c>
      <c r="Y197">
        <f t="shared" ca="1" si="16"/>
        <v>0</v>
      </c>
      <c r="AA197" s="63">
        <f t="shared" ca="1" si="18"/>
        <v>21.481199126564064</v>
      </c>
      <c r="AB197" s="63">
        <f t="shared" ca="1" si="19"/>
        <v>21.481199126564064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45311</v>
      </c>
      <c r="K198">
        <f ca="1"/>
        <v>20.935021186776652</v>
      </c>
      <c r="L198">
        <f ca="1"/>
        <v>0.10683705445042357</v>
      </c>
      <c r="M198">
        <f ca="1"/>
        <v>-0.58255711992116233</v>
      </c>
      <c r="N198">
        <f ca="1"/>
        <v>0.251431729676733</v>
      </c>
      <c r="O198">
        <f ca="1"/>
        <v>0</v>
      </c>
      <c r="P198">
        <f ca="1"/>
        <v>2.0641953072884336</v>
      </c>
      <c r="Q198">
        <f ca="1"/>
        <v>1.9100508525233881</v>
      </c>
      <c r="R198">
        <f ca="1"/>
        <v>0</v>
      </c>
      <c r="S198">
        <f ca="1"/>
        <v>0.23811817733805918</v>
      </c>
      <c r="T198">
        <f ca="1"/>
        <v>0</v>
      </c>
      <c r="U198">
        <f ca="1"/>
        <v>0</v>
      </c>
      <c r="V198">
        <f ca="1"/>
        <v>1.5536943592962701E-2</v>
      </c>
      <c r="X198" s="2">
        <f t="shared" ca="1" si="15"/>
        <v>45311</v>
      </c>
      <c r="Y198">
        <f t="shared" ca="1" si="16"/>
        <v>0</v>
      </c>
      <c r="AA198" s="63">
        <f t="shared" ca="1" si="18"/>
        <v>21.041858241227075</v>
      </c>
      <c r="AB198" s="63">
        <f t="shared" ca="1" si="19"/>
        <v>21.041858241227075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45312</v>
      </c>
      <c r="K199">
        <f ca="1"/>
        <v>20.508534672865526</v>
      </c>
      <c r="L199">
        <f ca="1"/>
        <v>0.12380679175193343</v>
      </c>
      <c r="M199">
        <f ca="1"/>
        <v>-0.58097909629598021</v>
      </c>
      <c r="N199">
        <f ca="1"/>
        <v>0.27829937413678535</v>
      </c>
      <c r="O199">
        <f ca="1"/>
        <v>0</v>
      </c>
      <c r="P199">
        <f ca="1"/>
        <v>2.188002099040367</v>
      </c>
      <c r="Q199">
        <f ca="1"/>
        <v>2.024612331904236</v>
      </c>
      <c r="R199">
        <f ca="1"/>
        <v>0</v>
      </c>
      <c r="S199">
        <f ca="1"/>
        <v>0.21965178488707882</v>
      </c>
      <c r="T199">
        <f ca="1"/>
        <v>0</v>
      </c>
      <c r="U199">
        <f ca="1"/>
        <v>0</v>
      </c>
      <c r="V199">
        <f ca="1"/>
        <v>1.7953840022436093E-2</v>
      </c>
      <c r="X199" s="2">
        <f t="shared" ca="1" si="15"/>
        <v>45312</v>
      </c>
      <c r="Y199">
        <f t="shared" ca="1" si="16"/>
        <v>0</v>
      </c>
      <c r="AA199" s="63">
        <f t="shared" ca="1" si="18"/>
        <v>20.632341464617458</v>
      </c>
      <c r="AB199" s="63">
        <f t="shared" ca="1" si="19"/>
        <v>20.632341464617461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45313</v>
      </c>
      <c r="K200">
        <f ca="1"/>
        <v>20.043484735097572</v>
      </c>
      <c r="L200">
        <f ca="1"/>
        <v>0.13710637916865442</v>
      </c>
      <c r="M200">
        <f ca="1"/>
        <v>-0.62661536976603927</v>
      </c>
      <c r="N200">
        <f ca="1"/>
        <v>0.29867181116673613</v>
      </c>
      <c r="O200">
        <f ca="1"/>
        <v>0</v>
      </c>
      <c r="P200">
        <f ca="1"/>
        <v>2.3251084782090214</v>
      </c>
      <c r="Q200">
        <f ca="1"/>
        <v>2.1514802476934127</v>
      </c>
      <c r="R200">
        <f ca="1"/>
        <v>0</v>
      </c>
      <c r="S200">
        <f ca="1"/>
        <v>0.2316447660970978</v>
      </c>
      <c r="T200">
        <f ca="1"/>
        <v>0</v>
      </c>
      <c r="U200">
        <f ca="1"/>
        <v>0</v>
      </c>
      <c r="V200">
        <f ca="1"/>
        <v>2.0870737051479883E-2</v>
      </c>
      <c r="X200" s="2">
        <f t="shared" ca="1" si="15"/>
        <v>45313</v>
      </c>
      <c r="Y200">
        <f t="shared" ca="1" si="16"/>
        <v>0</v>
      </c>
      <c r="AA200" s="63">
        <f t="shared" ca="1" si="18"/>
        <v>20.180591114266221</v>
      </c>
      <c r="AB200" s="63">
        <f t="shared" ca="1" si="19"/>
        <v>20.180591114266225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45314</v>
      </c>
      <c r="K201">
        <f ca="1"/>
        <v>19.640340248192885</v>
      </c>
      <c r="L201">
        <f ca="1"/>
        <v>0.13682039238576982</v>
      </c>
      <c r="M201">
        <f ca="1"/>
        <v>-0.53871522532505622</v>
      </c>
      <c r="N201">
        <f ca="1"/>
        <v>0.27239113080613864</v>
      </c>
      <c r="O201">
        <f ca="1"/>
        <v>0</v>
      </c>
      <c r="P201">
        <f ca="1"/>
        <v>2.4619288705947913</v>
      </c>
      <c r="Q201">
        <f ca="1"/>
        <v>2.27808353285557</v>
      </c>
      <c r="R201">
        <f ca="1"/>
        <v>0</v>
      </c>
      <c r="S201">
        <f ca="1"/>
        <v>0.22121707082609857</v>
      </c>
      <c r="T201">
        <f ca="1"/>
        <v>0</v>
      </c>
      <c r="U201">
        <f ca="1"/>
        <v>0</v>
      </c>
      <c r="V201">
        <f ca="1"/>
        <v>2.4037764147513154E-2</v>
      </c>
      <c r="X201" s="2">
        <f t="shared" ca="1" si="15"/>
        <v>45314</v>
      </c>
      <c r="Y201">
        <f t="shared" ca="1" si="16"/>
        <v>0</v>
      </c>
      <c r="AA201" s="63">
        <f t="shared" ca="1" si="18"/>
        <v>19.777160640578654</v>
      </c>
      <c r="AB201" s="63">
        <f t="shared" ca="1" si="19"/>
        <v>19.777160640578654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45315</v>
      </c>
      <c r="K202">
        <f ca="1"/>
        <v>19.242723416641415</v>
      </c>
      <c r="L202">
        <f ca="1"/>
        <v>0.14182997659674745</v>
      </c>
      <c r="M202">
        <f ca="1"/>
        <v>-0.52243662742565533</v>
      </c>
      <c r="N202">
        <f ca="1"/>
        <v>0.26664977247093019</v>
      </c>
      <c r="O202">
        <f ca="1"/>
        <v>0</v>
      </c>
      <c r="P202">
        <f ca="1"/>
        <v>2.6037588471915387</v>
      </c>
      <c r="Q202">
        <f ca="1"/>
        <v>2.4093223099012619</v>
      </c>
      <c r="R202">
        <f ca="1"/>
        <v>0</v>
      </c>
      <c r="S202">
        <f ca="1"/>
        <v>0.22615869103948183</v>
      </c>
      <c r="T202">
        <f ca="1"/>
        <v>0</v>
      </c>
      <c r="U202">
        <f ca="1"/>
        <v>0</v>
      </c>
      <c r="V202">
        <f ca="1"/>
        <v>2.7594939903907566E-2</v>
      </c>
      <c r="X202" s="2">
        <f t="shared" ca="1" si="15"/>
        <v>45315</v>
      </c>
      <c r="Y202">
        <f t="shared" ca="1" si="16"/>
        <v>0</v>
      </c>
      <c r="AA202" s="63">
        <f t="shared" ca="1" si="18"/>
        <v>19.384553393238161</v>
      </c>
      <c r="AB202" s="63">
        <f t="shared" ca="1" si="19"/>
        <v>19.384553393238161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45316</v>
      </c>
      <c r="K203">
        <f ca="1"/>
        <v>18.849395331202707</v>
      </c>
      <c r="L203">
        <f ca="1"/>
        <v>0.14852519277784015</v>
      </c>
      <c r="M203">
        <f ca="1"/>
        <v>-0.50922907730033273</v>
      </c>
      <c r="N203">
        <f ca="1"/>
        <v>0.26442618463946549</v>
      </c>
      <c r="O203">
        <f ca="1"/>
        <v>0</v>
      </c>
      <c r="P203">
        <f ca="1"/>
        <v>2.7522840399693789</v>
      </c>
      <c r="Q203">
        <f ca="1"/>
        <v>2.5467563356859513</v>
      </c>
      <c r="R203">
        <f ca="1"/>
        <v>0</v>
      </c>
      <c r="S203">
        <f ca="1"/>
        <v>0.2293952353010901</v>
      </c>
      <c r="T203">
        <f ca="1"/>
        <v>0</v>
      </c>
      <c r="U203">
        <f ca="1"/>
        <v>0</v>
      </c>
      <c r="V203">
        <f ca="1"/>
        <v>3.1622776823089005E-2</v>
      </c>
      <c r="X203" s="2">
        <f t="shared" ref="X203:X266" ca="1" si="22">IFERROR(J203,$X$9)</f>
        <v>45316</v>
      </c>
      <c r="Y203">
        <f t="shared" ref="Y203:Y266" ca="1" si="23">IFERROR(O203,0)</f>
        <v>0</v>
      </c>
      <c r="AA203" s="63">
        <f t="shared" ca="1" si="18"/>
        <v>18.997920523980547</v>
      </c>
      <c r="AB203" s="63">
        <f t="shared" ca="1" si="19"/>
        <v>18.997920523980547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45317</v>
      </c>
      <c r="K204">
        <f ca="1"/>
        <v>18.478770200771283</v>
      </c>
      <c r="L204">
        <f ca="1"/>
        <v>0.15437373919297714</v>
      </c>
      <c r="M204">
        <f ca="1"/>
        <v>-0.47379234014346849</v>
      </c>
      <c r="N204">
        <f ca="1"/>
        <v>0.25754094890501966</v>
      </c>
      <c r="O204">
        <f ca="1"/>
        <v>0</v>
      </c>
      <c r="P204">
        <f ca="1"/>
        <v>2.906657779162356</v>
      </c>
      <c r="Q204">
        <f ca="1"/>
        <v>2.6896021657833487</v>
      </c>
      <c r="R204">
        <f ca="1"/>
        <v>0</v>
      </c>
      <c r="S204">
        <f ca="1"/>
        <v>0.2237143153316849</v>
      </c>
      <c r="T204">
        <f ca="1"/>
        <v>0</v>
      </c>
      <c r="U204">
        <f ca="1"/>
        <v>0</v>
      </c>
      <c r="V204">
        <f ca="1"/>
        <v>3.6140368060393564E-2</v>
      </c>
      <c r="X204" s="2">
        <f t="shared" ca="1" si="22"/>
        <v>45317</v>
      </c>
      <c r="Y204">
        <f t="shared" ca="1" si="23"/>
        <v>0</v>
      </c>
      <c r="AA204" s="63">
        <f t="shared" ca="1" si="18"/>
        <v>18.63314393996426</v>
      </c>
      <c r="AB204" s="63">
        <f t="shared" ca="1" si="19"/>
        <v>18.63314393996426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45318</v>
      </c>
      <c r="K205">
        <f ca="1"/>
        <v>18.080194254750129</v>
      </c>
      <c r="L205">
        <f ca="1"/>
        <v>0.16189185645175153</v>
      </c>
      <c r="M205">
        <f ca="1"/>
        <v>-0.4976290757741566</v>
      </c>
      <c r="N205">
        <f ca="1"/>
        <v>0.26094498620475376</v>
      </c>
      <c r="O205">
        <f ca="1"/>
        <v>0</v>
      </c>
      <c r="P205">
        <f ca="1"/>
        <v>3.0685496356141075</v>
      </c>
      <c r="Q205">
        <f ca="1"/>
        <v>2.8394046952922745</v>
      </c>
      <c r="R205">
        <f ca="1"/>
        <v>0</v>
      </c>
      <c r="S205">
        <f ca="1"/>
        <v>0.24374777515014598</v>
      </c>
      <c r="T205">
        <f ca="1"/>
        <v>0</v>
      </c>
      <c r="U205">
        <f ca="1"/>
        <v>0</v>
      </c>
      <c r="V205">
        <f ca="1"/>
        <v>4.1242553310339235E-2</v>
      </c>
      <c r="X205" s="2">
        <f t="shared" ca="1" si="22"/>
        <v>45318</v>
      </c>
      <c r="Y205">
        <f t="shared" ca="1" si="23"/>
        <v>0</v>
      </c>
      <c r="AA205" s="63">
        <f ca="1">K204+M205+N205+O205</f>
        <v>18.242086111201882</v>
      </c>
      <c r="AB205" s="63">
        <f ca="1">K205+L205+R205</f>
        <v>18.242086111201882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45319</v>
      </c>
      <c r="K206">
        <f ca="1"/>
        <v>17.683296168256661</v>
      </c>
      <c r="L206">
        <f ca="1"/>
        <v>0.17840786382709917</v>
      </c>
      <c r="M206">
        <f ca="1"/>
        <v>-0.49239904922308142</v>
      </c>
      <c r="N206">
        <f ca="1"/>
        <v>0.27390882655671178</v>
      </c>
      <c r="O206">
        <f ca="1"/>
        <v>0</v>
      </c>
      <c r="P206">
        <f ca="1"/>
        <v>3.2469574994412067</v>
      </c>
      <c r="Q206">
        <f ca="1"/>
        <v>3.0044898939634539</v>
      </c>
      <c r="R206">
        <f ca="1"/>
        <v>0</v>
      </c>
      <c r="S206">
        <f ca="1"/>
        <v>0.23694062484991163</v>
      </c>
      <c r="T206">
        <f ca="1"/>
        <v>0</v>
      </c>
      <c r="U206">
        <f ca="1"/>
        <v>0</v>
      </c>
      <c r="V206">
        <f ca="1"/>
        <v>4.729830460926801E-2</v>
      </c>
      <c r="X206" s="2">
        <f t="shared" ca="1" si="22"/>
        <v>45319</v>
      </c>
      <c r="Y206">
        <f t="shared" ca="1" si="23"/>
        <v>0</v>
      </c>
      <c r="AA206" s="63">
        <f ca="1">K205+M206+N206+O206</f>
        <v>17.861704032083761</v>
      </c>
      <c r="AB206" s="63">
        <f ca="1">K206+L206+R206</f>
        <v>17.861704032083761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45320</v>
      </c>
      <c r="K207">
        <f ca="1"/>
        <v>17.326702917151181</v>
      </c>
      <c r="L207">
        <f ca="1"/>
        <v>0.19362694180479822</v>
      </c>
      <c r="M207">
        <f ca="1"/>
        <v>-0.43889352397596326</v>
      </c>
      <c r="N207">
        <f ca="1"/>
        <v>0.27592721467528164</v>
      </c>
      <c r="O207">
        <f ca="1"/>
        <v>0</v>
      </c>
      <c r="P207">
        <f ca="1"/>
        <v>3.4405844412460049</v>
      </c>
      <c r="Q207">
        <f ca="1"/>
        <v>3.1836576810230892</v>
      </c>
      <c r="R207">
        <f ca="1"/>
        <v>0</v>
      </c>
      <c r="S207">
        <f ca="1"/>
        <v>0.21123917958253083</v>
      </c>
      <c r="T207">
        <f ca="1"/>
        <v>0</v>
      </c>
      <c r="U207">
        <f ca="1"/>
        <v>0</v>
      </c>
      <c r="V207">
        <f ca="1"/>
        <v>5.438300343388195E-2</v>
      </c>
      <c r="X207" s="2">
        <f t="shared" ca="1" si="22"/>
        <v>45320</v>
      </c>
      <c r="Y207">
        <f t="shared" ca="1" si="23"/>
        <v>0</v>
      </c>
      <c r="AA207" s="63">
        <f ca="1">K206+M207+N207+O207</f>
        <v>17.520329858955979</v>
      </c>
      <c r="AB207" s="63">
        <f ca="1">K207+L207+R207</f>
        <v>17.520329858955979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45321</v>
      </c>
      <c r="K208">
        <f ca="1"/>
        <v>16.986193162043833</v>
      </c>
      <c r="L208">
        <f ca="1"/>
        <v>0.21137845321185944</v>
      </c>
      <c r="M208">
        <f ca="1"/>
        <v>-0.4123247743399574</v>
      </c>
      <c r="N208">
        <f ca="1"/>
        <v>0.28319347244447007</v>
      </c>
      <c r="O208">
        <f ca="1"/>
        <v>0</v>
      </c>
      <c r="P208">
        <f ca="1"/>
        <v>3.6519628944578644</v>
      </c>
      <c r="Q208">
        <f ca="1"/>
        <v>3.3792513796119854</v>
      </c>
      <c r="R208">
        <f ca="1"/>
        <v>0</v>
      </c>
      <c r="S208">
        <f ca="1"/>
        <v>0.19694717620218524</v>
      </c>
      <c r="T208">
        <f ca="1"/>
        <v>0</v>
      </c>
      <c r="U208">
        <f ca="1"/>
        <v>0</v>
      </c>
      <c r="V208">
        <f ca="1"/>
        <v>6.2720912315051669E-2</v>
      </c>
      <c r="X208" s="2">
        <f t="shared" ca="1" si="22"/>
        <v>45321</v>
      </c>
      <c r="Y208">
        <f t="shared" ca="1" si="23"/>
        <v>0</v>
      </c>
      <c r="AA208" s="63">
        <f t="shared" ref="AA208:AA271" ca="1" si="25">K207+M208+N208+O208</f>
        <v>17.197571615255693</v>
      </c>
      <c r="AB208" s="63">
        <f t="shared" ref="AB208:AB271" ca="1" si="26">K208+L208+R208</f>
        <v>17.197571615255693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45322</v>
      </c>
      <c r="K209">
        <f ca="1"/>
        <v>16.656134132669528</v>
      </c>
      <c r="L209">
        <f ca="1"/>
        <v>0.22567024798336854</v>
      </c>
      <c r="M209">
        <f ca="1"/>
        <v>-0.38796239333304428</v>
      </c>
      <c r="N209">
        <f ca="1"/>
        <v>0.28357361194211073</v>
      </c>
      <c r="O209">
        <f ca="1"/>
        <v>0</v>
      </c>
      <c r="P209">
        <f ca="1"/>
        <v>3.8776331424412329</v>
      </c>
      <c r="Q209">
        <f ca="1"/>
        <v>3.5880696285576343</v>
      </c>
      <c r="R209">
        <f ca="1"/>
        <v>0</v>
      </c>
      <c r="S209">
        <f ca="1"/>
        <v>0.18906334287424109</v>
      </c>
      <c r="T209">
        <f ca="1"/>
        <v>0</v>
      </c>
      <c r="U209">
        <f ca="1"/>
        <v>0</v>
      </c>
      <c r="V209">
        <f ca="1"/>
        <v>7.2307199174407311E-2</v>
      </c>
      <c r="X209" s="2">
        <f t="shared" ca="1" si="22"/>
        <v>45322</v>
      </c>
      <c r="Y209">
        <f t="shared" ca="1" si="23"/>
        <v>0</v>
      </c>
      <c r="AA209" s="63">
        <f t="shared" ca="1" si="25"/>
        <v>16.881804380652898</v>
      </c>
      <c r="AB209" s="63">
        <f t="shared" ca="1" si="26"/>
        <v>16.881804380652898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45323</v>
      </c>
      <c r="K210">
        <f ca="1"/>
        <v>16.368534031906073</v>
      </c>
      <c r="L210">
        <f ca="1"/>
        <v>0.23160883037572821</v>
      </c>
      <c r="M210">
        <f ca="1"/>
        <v>-0.32216600343936008</v>
      </c>
      <c r="N210">
        <f ca="1"/>
        <v>0.26617473305163131</v>
      </c>
      <c r="O210">
        <f ca="1"/>
        <v>0</v>
      </c>
      <c r="P210">
        <f ca="1"/>
        <v>4.1092419728169611</v>
      </c>
      <c r="Q210">
        <f ca="1"/>
        <v>3.8023829943273824</v>
      </c>
      <c r="R210">
        <f ca="1"/>
        <v>0</v>
      </c>
      <c r="S210">
        <f ca="1"/>
        <v>0.16763056374472118</v>
      </c>
      <c r="T210">
        <f ca="1"/>
        <v>0</v>
      </c>
      <c r="U210">
        <f ca="1"/>
        <v>0</v>
      </c>
      <c r="V210">
        <f ca="1"/>
        <v>8.2863430577393871E-2</v>
      </c>
      <c r="X210" s="2">
        <f t="shared" ca="1" si="22"/>
        <v>45323</v>
      </c>
      <c r="Y210">
        <f t="shared" ca="1" si="23"/>
        <v>0</v>
      </c>
      <c r="AA210" s="63">
        <f t="shared" ca="1" si="25"/>
        <v>16.6001428622818</v>
      </c>
      <c r="AB210" s="63">
        <f t="shared" ca="1" si="26"/>
        <v>16.6001428622818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45324</v>
      </c>
      <c r="K211">
        <f ca="1"/>
        <v>16.090308834508004</v>
      </c>
      <c r="L211">
        <f ca="1"/>
        <v>0.23039603702564282</v>
      </c>
      <c r="M211">
        <f ca="1"/>
        <v>-0.29363317549020707</v>
      </c>
      <c r="N211">
        <f ca="1"/>
        <v>0.24580401511778008</v>
      </c>
      <c r="O211">
        <f ca="1"/>
        <v>0</v>
      </c>
      <c r="P211">
        <f ca="1"/>
        <v>4.3396380098426039</v>
      </c>
      <c r="Q211">
        <f ca="1"/>
        <v>4.0155741324842271</v>
      </c>
      <c r="R211">
        <f ca="1"/>
        <v>0</v>
      </c>
      <c r="S211">
        <f ca="1"/>
        <v>0.16795326343810077</v>
      </c>
      <c r="T211">
        <f ca="1"/>
        <v>0</v>
      </c>
      <c r="U211">
        <f ca="1"/>
        <v>0</v>
      </c>
      <c r="V211">
        <f ca="1"/>
        <v>9.4062360419596161E-2</v>
      </c>
      <c r="X211" s="2">
        <f t="shared" ca="1" si="22"/>
        <v>45324</v>
      </c>
      <c r="Y211">
        <f t="shared" ca="1" si="23"/>
        <v>0</v>
      </c>
      <c r="AA211" s="63">
        <f t="shared" ca="1" si="25"/>
        <v>16.320704871533646</v>
      </c>
      <c r="AB211" s="63">
        <f t="shared" ca="1" si="26"/>
        <v>16.320704871533646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45325</v>
      </c>
      <c r="K212">
        <f ca="1"/>
        <v>15.821260288738902</v>
      </c>
      <c r="L212">
        <f ca="1"/>
        <v>0.24017179700699387</v>
      </c>
      <c r="M212">
        <f ca="1"/>
        <v>-0.26914385479773983</v>
      </c>
      <c r="N212">
        <f ca="1"/>
        <v>0.24026710603563289</v>
      </c>
      <c r="O212">
        <f ca="1"/>
        <v>0</v>
      </c>
      <c r="P212">
        <f ca="1"/>
        <v>4.5798098068495978</v>
      </c>
      <c r="Q212">
        <f ca="1"/>
        <v>4.2378110225718677</v>
      </c>
      <c r="R212">
        <f ca="1"/>
        <v>0</v>
      </c>
      <c r="S212">
        <f ca="1"/>
        <v>0.15943472597382141</v>
      </c>
      <c r="T212">
        <f ca="1"/>
        <v>0</v>
      </c>
      <c r="U212">
        <f ca="1"/>
        <v>0</v>
      </c>
      <c r="V212">
        <f ca="1"/>
        <v>0.10644678262313306</v>
      </c>
      <c r="X212" s="2">
        <f t="shared" ca="1" si="22"/>
        <v>45325</v>
      </c>
      <c r="Y212">
        <f t="shared" ca="1" si="23"/>
        <v>0</v>
      </c>
      <c r="AA212" s="63">
        <f t="shared" ca="1" si="25"/>
        <v>16.061432085745896</v>
      </c>
      <c r="AB212" s="63">
        <f t="shared" ca="1" si="26"/>
        <v>16.061432085745896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45326</v>
      </c>
      <c r="K213">
        <f ca="1"/>
        <v>15.510084167356613</v>
      </c>
      <c r="L213">
        <f ca="1"/>
        <v>0.27835942470808117</v>
      </c>
      <c r="M213">
        <f ca="1"/>
        <v>-0.30601948825891157</v>
      </c>
      <c r="N213">
        <f ca="1"/>
        <v>0.27320279158470456</v>
      </c>
      <c r="O213">
        <f ca="1"/>
        <v>0</v>
      </c>
      <c r="P213">
        <f ca="1"/>
        <v>4.858169231557679</v>
      </c>
      <c r="Q213">
        <f ca="1"/>
        <v>4.4953838668634374</v>
      </c>
      <c r="R213">
        <f ca="1"/>
        <v>0</v>
      </c>
      <c r="S213">
        <f ca="1"/>
        <v>0.16625402213032811</v>
      </c>
      <c r="T213">
        <f ca="1"/>
        <v>0</v>
      </c>
      <c r="U213">
        <f ca="1"/>
        <v>0</v>
      </c>
      <c r="V213">
        <f ca="1"/>
        <v>0.12165844762432017</v>
      </c>
      <c r="X213" s="2">
        <f t="shared" ca="1" si="22"/>
        <v>45326</v>
      </c>
      <c r="Y213">
        <f t="shared" ca="1" si="23"/>
        <v>0</v>
      </c>
      <c r="AA213" s="63">
        <f t="shared" ca="1" si="25"/>
        <v>15.788443592064695</v>
      </c>
      <c r="AB213" s="63">
        <f t="shared" ca="1" si="26"/>
        <v>15.788443592064695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45327</v>
      </c>
      <c r="K214">
        <f ca="1"/>
        <v>15.194801264737741</v>
      </c>
      <c r="L214">
        <f ca="1"/>
        <v>0.26380870978807192</v>
      </c>
      <c r="M214">
        <f ca="1"/>
        <v>-0.29247338533299683</v>
      </c>
      <c r="N214">
        <f ca="1"/>
        <v>0.24099919250219651</v>
      </c>
      <c r="O214">
        <f ca="1"/>
        <v>0</v>
      </c>
      <c r="P214">
        <f ca="1"/>
        <v>5.1219779413457509</v>
      </c>
      <c r="Q214">
        <f ca="1"/>
        <v>4.7394925755959063</v>
      </c>
      <c r="R214">
        <f ca="1"/>
        <v>0</v>
      </c>
      <c r="S214">
        <f ca="1"/>
        <v>0.18501019486042039</v>
      </c>
      <c r="T214">
        <f ca="1"/>
        <v>0</v>
      </c>
      <c r="U214">
        <f ca="1"/>
        <v>0</v>
      </c>
      <c r="V214">
        <f ca="1"/>
        <v>0.13686768289262094</v>
      </c>
      <c r="X214" s="2">
        <f t="shared" ca="1" si="22"/>
        <v>45327</v>
      </c>
      <c r="Y214">
        <f t="shared" ca="1" si="23"/>
        <v>0</v>
      </c>
      <c r="AA214" s="63">
        <f t="shared" ca="1" si="25"/>
        <v>15.458609974525812</v>
      </c>
      <c r="AB214" s="63">
        <f t="shared" ca="1" si="26"/>
        <v>15.458609974525814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45328</v>
      </c>
      <c r="K215">
        <f ca="1"/>
        <v>14.890432765991328</v>
      </c>
      <c r="L215">
        <f ca="1"/>
        <v>0.28593320574172321</v>
      </c>
      <c r="M215">
        <f ca="1"/>
        <v>-0.26389195660255638</v>
      </c>
      <c r="N215">
        <f ca="1"/>
        <v>0.2454566635978665</v>
      </c>
      <c r="O215">
        <f ca="1"/>
        <v>0</v>
      </c>
      <c r="P215">
        <f ca="1"/>
        <v>5.4079111470874741</v>
      </c>
      <c r="Q215">
        <f ca="1"/>
        <v>5.00407362636341</v>
      </c>
      <c r="R215">
        <f ca="1"/>
        <v>0</v>
      </c>
      <c r="S215">
        <f ca="1"/>
        <v>0.1655513617135021</v>
      </c>
      <c r="T215">
        <f ca="1"/>
        <v>0</v>
      </c>
      <c r="U215">
        <f ca="1"/>
        <v>0</v>
      </c>
      <c r="V215">
        <f ca="1"/>
        <v>0.15414956912509281</v>
      </c>
      <c r="X215" s="2">
        <f t="shared" ca="1" si="22"/>
        <v>45328</v>
      </c>
      <c r="Y215">
        <f t="shared" ca="1" si="23"/>
        <v>0</v>
      </c>
      <c r="AA215" s="63">
        <f t="shared" ca="1" si="25"/>
        <v>15.176365971733052</v>
      </c>
      <c r="AB215" s="63">
        <f t="shared" ca="1" si="26"/>
        <v>15.176365971733052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45329</v>
      </c>
      <c r="K216">
        <f ca="1"/>
        <v>14.56388036865739</v>
      </c>
      <c r="L216">
        <f ca="1"/>
        <v>0.30128415740509684</v>
      </c>
      <c r="M216">
        <f ca="1"/>
        <v>-0.27275115235462977</v>
      </c>
      <c r="N216">
        <f ca="1"/>
        <v>0.24748291242579035</v>
      </c>
      <c r="O216">
        <f ca="1"/>
        <v>0</v>
      </c>
      <c r="P216">
        <f ca="1"/>
        <v>5.709195304492571</v>
      </c>
      <c r="Q216">
        <f ca="1"/>
        <v>5.2828592914947485</v>
      </c>
      <c r="R216">
        <f ca="1"/>
        <v>0</v>
      </c>
      <c r="S216">
        <f ca="1"/>
        <v>0.17528982018134862</v>
      </c>
      <c r="T216">
        <f ca="1"/>
        <v>0</v>
      </c>
      <c r="U216">
        <f ca="1"/>
        <v>0</v>
      </c>
      <c r="V216">
        <f ca="1"/>
        <v>0.17316372918262068</v>
      </c>
      <c r="X216" s="2">
        <f t="shared" ca="1" si="22"/>
        <v>45329</v>
      </c>
      <c r="Y216">
        <f t="shared" ca="1" si="23"/>
        <v>0</v>
      </c>
      <c r="AA216" s="63">
        <f t="shared" ca="1" si="25"/>
        <v>14.865164526062488</v>
      </c>
      <c r="AB216" s="63">
        <f t="shared" ca="1" si="26"/>
        <v>14.865164526062486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45330</v>
      </c>
      <c r="K217">
        <f ca="1"/>
        <v>14.242351407653747</v>
      </c>
      <c r="L217">
        <f ca="1"/>
        <v>0.32411000746939678</v>
      </c>
      <c r="M217">
        <f ca="1"/>
        <v>-0.24768279396407067</v>
      </c>
      <c r="N217">
        <f ca="1"/>
        <v>0.25026384042982452</v>
      </c>
      <c r="O217">
        <f ca="1"/>
        <v>0</v>
      </c>
      <c r="P217">
        <f ca="1"/>
        <v>6.0333053119619677</v>
      </c>
      <c r="Q217">
        <f ca="1"/>
        <v>5.5827662789258454</v>
      </c>
      <c r="R217">
        <f ca="1"/>
        <v>0</v>
      </c>
      <c r="S217">
        <f ca="1"/>
        <v>0.15926316673821261</v>
      </c>
      <c r="T217">
        <f ca="1"/>
        <v>0</v>
      </c>
      <c r="U217">
        <f ca="1"/>
        <v>0</v>
      </c>
      <c r="V217">
        <f ca="1"/>
        <v>0.19441978319937253</v>
      </c>
      <c r="X217" s="2">
        <f t="shared" ca="1" si="22"/>
        <v>45330</v>
      </c>
      <c r="Y217">
        <f t="shared" ca="1" si="23"/>
        <v>0</v>
      </c>
      <c r="AA217" s="63">
        <f t="shared" ca="1" si="25"/>
        <v>14.566461415123143</v>
      </c>
      <c r="AB217" s="63">
        <f t="shared" ca="1" si="26"/>
        <v>14.566461415123143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45331</v>
      </c>
      <c r="K218">
        <f ca="1"/>
        <v>13.91375987524841</v>
      </c>
      <c r="L218">
        <f ca="1"/>
        <v>0.344045643334705</v>
      </c>
      <c r="M218">
        <f ca="1"/>
        <v>-0.23554132376542825</v>
      </c>
      <c r="N218">
        <f ca="1"/>
        <v>0.25099543469479685</v>
      </c>
      <c r="O218">
        <f ca="1"/>
        <v>0</v>
      </c>
      <c r="P218">
        <f ca="1"/>
        <v>6.3773509552966727</v>
      </c>
      <c r="Q218">
        <f ca="1"/>
        <v>5.9011202021414011</v>
      </c>
      <c r="R218">
        <f ca="1"/>
        <v>0</v>
      </c>
      <c r="S218">
        <f ca="1"/>
        <v>0.15381209820915387</v>
      </c>
      <c r="T218">
        <f ca="1"/>
        <v>0</v>
      </c>
      <c r="U218">
        <f ca="1"/>
        <v>0</v>
      </c>
      <c r="V218">
        <f ca="1"/>
        <v>0.217741626257445</v>
      </c>
      <c r="X218" s="2">
        <f t="shared" ca="1" si="22"/>
        <v>45331</v>
      </c>
      <c r="Y218">
        <f t="shared" ca="1" si="23"/>
        <v>0</v>
      </c>
      <c r="AA218" s="63">
        <f t="shared" ca="1" si="25"/>
        <v>14.257805518583115</v>
      </c>
      <c r="AB218" s="63">
        <f t="shared" ca="1" si="26"/>
        <v>14.257805518583115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45332</v>
      </c>
      <c r="K219">
        <f ca="1"/>
        <v>13.586098989973138</v>
      </c>
      <c r="L219">
        <f ca="1"/>
        <v>0.36106826950844173</v>
      </c>
      <c r="M219">
        <f ca="1"/>
        <v>-0.21356557028814294</v>
      </c>
      <c r="N219">
        <f ca="1"/>
        <v>0.24697295452131235</v>
      </c>
      <c r="O219">
        <f ca="1"/>
        <v>0</v>
      </c>
      <c r="P219">
        <f ca="1"/>
        <v>6.7384192248051145</v>
      </c>
      <c r="Q219">
        <f ca="1"/>
        <v>6.2352255813943431</v>
      </c>
      <c r="R219">
        <f ca="1"/>
        <v>0</v>
      </c>
      <c r="S219">
        <f ca="1"/>
        <v>0.14336487856398109</v>
      </c>
      <c r="T219">
        <f ca="1"/>
        <v>0</v>
      </c>
      <c r="U219">
        <f ca="1"/>
        <v>0</v>
      </c>
      <c r="V219">
        <f ca="1"/>
        <v>0.24287787877789813</v>
      </c>
      <c r="X219" s="2">
        <f t="shared" ca="1" si="22"/>
        <v>45332</v>
      </c>
      <c r="Y219">
        <f t="shared" ca="1" si="23"/>
        <v>0</v>
      </c>
      <c r="AA219" s="63">
        <f t="shared" ca="1" si="25"/>
        <v>13.94716725948158</v>
      </c>
      <c r="AB219" s="63">
        <f t="shared" ca="1" si="26"/>
        <v>13.94716725948158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45333</v>
      </c>
      <c r="K220">
        <f ca="1"/>
        <v>13.23624011439038</v>
      </c>
      <c r="L220">
        <f ca="1"/>
        <v>0.39521518864404737</v>
      </c>
      <c r="M220">
        <f ca="1"/>
        <v>-0.21294648651877779</v>
      </c>
      <c r="N220">
        <f ca="1"/>
        <v>0.25830279958006869</v>
      </c>
      <c r="O220">
        <f ca="1"/>
        <v>0</v>
      </c>
      <c r="P220">
        <f ca="1"/>
        <v>7.1336344134491618</v>
      </c>
      <c r="Q220">
        <f ca="1"/>
        <v>6.6009279475097768</v>
      </c>
      <c r="R220">
        <f ca="1"/>
        <v>0</v>
      </c>
      <c r="S220">
        <f ca="1"/>
        <v>0.13982081262028617</v>
      </c>
      <c r="T220">
        <f ca="1"/>
        <v>0</v>
      </c>
      <c r="U220">
        <f ca="1"/>
        <v>0</v>
      </c>
      <c r="V220">
        <f ca="1"/>
        <v>0.27094363269722466</v>
      </c>
      <c r="X220" s="2">
        <f t="shared" ca="1" si="22"/>
        <v>45333</v>
      </c>
      <c r="Y220">
        <f t="shared" ca="1" si="23"/>
        <v>0</v>
      </c>
      <c r="AA220" s="63">
        <f t="shared" ca="1" si="25"/>
        <v>13.631455303034429</v>
      </c>
      <c r="AB220" s="63">
        <f t="shared" ca="1" si="26"/>
        <v>13.631455303034429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45334</v>
      </c>
      <c r="K221">
        <f ca="1"/>
        <v>12.835547455190266</v>
      </c>
      <c r="L221">
        <f ca="1"/>
        <v>0.4296062708401438</v>
      </c>
      <c r="M221">
        <f ca="1"/>
        <v>-0.24351667708171476</v>
      </c>
      <c r="N221">
        <f ca="1"/>
        <v>0.27243028872174363</v>
      </c>
      <c r="O221">
        <f ca="1"/>
        <v>0</v>
      </c>
      <c r="P221">
        <f ca="1"/>
        <v>7.5632406842893056</v>
      </c>
      <c r="Q221">
        <f ca="1"/>
        <v>6.9984532305923768</v>
      </c>
      <c r="R221">
        <f ca="1"/>
        <v>0</v>
      </c>
      <c r="S221">
        <f ca="1"/>
        <v>0.15814212459225938</v>
      </c>
      <c r="T221">
        <f ca="1"/>
        <v>0</v>
      </c>
      <c r="U221">
        <f ca="1"/>
        <v>0</v>
      </c>
      <c r="V221">
        <f ca="1"/>
        <v>0.30183123430174275</v>
      </c>
      <c r="X221" s="2">
        <f t="shared" ca="1" si="22"/>
        <v>45334</v>
      </c>
      <c r="Y221">
        <f t="shared" ca="1" si="23"/>
        <v>0</v>
      </c>
      <c r="AA221" s="63">
        <f t="shared" ca="1" si="25"/>
        <v>13.265153726030409</v>
      </c>
      <c r="AB221" s="63">
        <f t="shared" ca="1" si="26"/>
        <v>13.265153726030409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45335</v>
      </c>
      <c r="K222">
        <f ca="1"/>
        <v>12.439579138285346</v>
      </c>
      <c r="L222">
        <f ca="1"/>
        <v>0.41353296070492807</v>
      </c>
      <c r="M222">
        <f ca="1"/>
        <v>-0.22562584490776061</v>
      </c>
      <c r="N222">
        <f ca="1"/>
        <v>0.24319048870776824</v>
      </c>
      <c r="O222">
        <f ca="1"/>
        <v>0</v>
      </c>
      <c r="P222">
        <f ca="1"/>
        <v>7.9767736449942337</v>
      </c>
      <c r="Q222">
        <f ca="1"/>
        <v>7.3811054831927159</v>
      </c>
      <c r="R222">
        <f ca="1"/>
        <v>0</v>
      </c>
      <c r="S222">
        <f ca="1"/>
        <v>0.16750106117765687</v>
      </c>
      <c r="T222">
        <f ca="1"/>
        <v>0</v>
      </c>
      <c r="U222">
        <f ca="1"/>
        <v>0</v>
      </c>
      <c r="V222">
        <f ca="1"/>
        <v>0.33167116046315037</v>
      </c>
      <c r="X222" s="2">
        <f t="shared" ca="1" si="22"/>
        <v>45335</v>
      </c>
      <c r="Y222">
        <f t="shared" ca="1" si="23"/>
        <v>0</v>
      </c>
      <c r="AA222" s="63">
        <f t="shared" ca="1" si="25"/>
        <v>12.853112098990273</v>
      </c>
      <c r="AB222" s="63">
        <f t="shared" ca="1" si="26"/>
        <v>12.853112098990273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45336</v>
      </c>
      <c r="K223">
        <f ca="1"/>
        <v>12.014826096335465</v>
      </c>
      <c r="L223">
        <f ca="1"/>
        <v>0.42137583092642217</v>
      </c>
      <c r="M223">
        <f ca="1"/>
        <v>-0.24207788142264874</v>
      </c>
      <c r="N223">
        <f ca="1"/>
        <v>0.23870067039918963</v>
      </c>
      <c r="O223">
        <f ca="1"/>
        <v>0</v>
      </c>
      <c r="P223">
        <f ca="1"/>
        <v>8.3981494759206559</v>
      </c>
      <c r="Q223">
        <f ca="1"/>
        <v>7.7710149371343737</v>
      </c>
      <c r="R223">
        <f ca="1"/>
        <v>0</v>
      </c>
      <c r="S223">
        <f ca="1"/>
        <v>0.19089472912341285</v>
      </c>
      <c r="T223">
        <f ca="1"/>
        <v>0</v>
      </c>
      <c r="U223">
        <f ca="1"/>
        <v>0</v>
      </c>
      <c r="V223">
        <f ca="1"/>
        <v>0.36193628758117286</v>
      </c>
      <c r="X223" s="2">
        <f t="shared" ca="1" si="22"/>
        <v>45336</v>
      </c>
      <c r="Y223">
        <f t="shared" ca="1" si="23"/>
        <v>0</v>
      </c>
      <c r="AA223" s="63">
        <f t="shared" ca="1" si="25"/>
        <v>12.436201927261887</v>
      </c>
      <c r="AB223" s="63">
        <f t="shared" ca="1" si="26"/>
        <v>12.436201927261887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45337</v>
      </c>
      <c r="K224">
        <f ca="1"/>
        <v>11.57220235219024</v>
      </c>
      <c r="L224">
        <f ca="1"/>
        <v>0.43072289437619382</v>
      </c>
      <c r="M224">
        <f ca="1"/>
        <v>-0.24584496247611654</v>
      </c>
      <c r="N224">
        <f ca="1"/>
        <v>0.23394411270708543</v>
      </c>
      <c r="O224">
        <f ca="1"/>
        <v>0</v>
      </c>
      <c r="P224">
        <f ca="1"/>
        <v>8.8288723702968497</v>
      </c>
      <c r="Q224">
        <f ca="1"/>
        <v>8.1695734595279301</v>
      </c>
      <c r="R224">
        <f ca="1"/>
        <v>0</v>
      </c>
      <c r="S224">
        <f ca="1"/>
        <v>0.20504529876076807</v>
      </c>
      <c r="T224">
        <f ca="1"/>
        <v>0</v>
      </c>
      <c r="U224">
        <f ca="1"/>
        <v>0</v>
      </c>
      <c r="V224">
        <f ca="1"/>
        <v>0.39249500309900093</v>
      </c>
      <c r="X224" s="2">
        <f t="shared" ca="1" si="22"/>
        <v>45337</v>
      </c>
      <c r="Y224">
        <f t="shared" ca="1" si="23"/>
        <v>0</v>
      </c>
      <c r="AA224" s="63">
        <f t="shared" ca="1" si="25"/>
        <v>12.002925246566434</v>
      </c>
      <c r="AB224" s="63">
        <f t="shared" ca="1" si="26"/>
        <v>12.002925246566434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45338</v>
      </c>
      <c r="K225">
        <f ca="1"/>
        <v>11.104150050663451</v>
      </c>
      <c r="L225">
        <f ca="1"/>
        <v>0.46890888106145567</v>
      </c>
      <c r="M225">
        <f ca="1"/>
        <v>-0.24297760898306819</v>
      </c>
      <c r="N225">
        <f ca="1"/>
        <v>0.24383418851773461</v>
      </c>
      <c r="O225">
        <f ca="1"/>
        <v>0</v>
      </c>
      <c r="P225">
        <f ca="1"/>
        <v>9.2977812513583054</v>
      </c>
      <c r="Q225">
        <f ca="1"/>
        <v>8.603466417652978</v>
      </c>
      <c r="R225">
        <f ca="1"/>
        <v>0</v>
      </c>
      <c r="S225">
        <f ca="1"/>
        <v>0.2003284789431137</v>
      </c>
      <c r="T225">
        <f ca="1"/>
        <v>0</v>
      </c>
      <c r="U225">
        <f ca="1"/>
        <v>0</v>
      </c>
      <c r="V225">
        <f ca="1"/>
        <v>0.42509102207602018</v>
      </c>
      <c r="X225" s="2">
        <f t="shared" ca="1" si="22"/>
        <v>45338</v>
      </c>
      <c r="Y225">
        <f t="shared" ca="1" si="23"/>
        <v>0</v>
      </c>
      <c r="AA225" s="63">
        <f t="shared" ca="1" si="25"/>
        <v>11.573058931724907</v>
      </c>
      <c r="AB225" s="63">
        <f t="shared" ca="1" si="26"/>
        <v>11.573058931724907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45339</v>
      </c>
      <c r="K226">
        <f ca="1"/>
        <v>10.590929530372154</v>
      </c>
      <c r="L226">
        <f ca="1"/>
        <v>0.52797323277946795</v>
      </c>
      <c r="M226">
        <f ca="1"/>
        <v>-0.25065281404950213</v>
      </c>
      <c r="N226">
        <f ca="1"/>
        <v>0.26540552653767369</v>
      </c>
      <c r="O226">
        <f ca="1"/>
        <v>0</v>
      </c>
      <c r="P226">
        <f ca="1"/>
        <v>9.8257544841377733</v>
      </c>
      <c r="Q226">
        <f ca="1"/>
        <v>9.092013077854757</v>
      </c>
      <c r="R226">
        <f ca="1"/>
        <v>0</v>
      </c>
      <c r="S226">
        <f ca="1"/>
        <v>0.19690797191782711</v>
      </c>
      <c r="T226">
        <f ca="1"/>
        <v>0</v>
      </c>
      <c r="U226">
        <f ca="1"/>
        <v>0</v>
      </c>
      <c r="V226">
        <f ca="1"/>
        <v>0.46069158159995105</v>
      </c>
      <c r="X226" s="2">
        <f t="shared" ca="1" si="22"/>
        <v>45339</v>
      </c>
      <c r="Y226">
        <f t="shared" ca="1" si="23"/>
        <v>0</v>
      </c>
      <c r="AA226" s="63">
        <f t="shared" ca="1" si="25"/>
        <v>11.118902763151622</v>
      </c>
      <c r="AB226" s="63">
        <f t="shared" ca="1" si="26"/>
        <v>11.118902763151622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45340</v>
      </c>
      <c r="K227">
        <f ca="1"/>
        <v>10.033788930474525</v>
      </c>
      <c r="L227">
        <f ca="1"/>
        <v>0.57013258962827251</v>
      </c>
      <c r="M227">
        <f ca="1"/>
        <v>-0.26395034146096918</v>
      </c>
      <c r="N227">
        <f ca="1"/>
        <v>0.2769423311916121</v>
      </c>
      <c r="O227">
        <f ca="1"/>
        <v>0</v>
      </c>
      <c r="P227">
        <f ca="1"/>
        <v>10.395887073766046</v>
      </c>
      <c r="Q227">
        <f ca="1"/>
        <v>9.6195708312445536</v>
      </c>
      <c r="R227">
        <f ca="1"/>
        <v>0</v>
      </c>
      <c r="S227">
        <f ca="1"/>
        <v>0.20805460404420295</v>
      </c>
      <c r="T227">
        <f ca="1"/>
        <v>0</v>
      </c>
      <c r="U227">
        <f ca="1"/>
        <v>0</v>
      </c>
      <c r="V227">
        <f ca="1"/>
        <v>0.49755994412751575</v>
      </c>
      <c r="X227" s="2">
        <f t="shared" ca="1" si="22"/>
        <v>45340</v>
      </c>
      <c r="Y227">
        <f t="shared" ca="1" si="23"/>
        <v>0</v>
      </c>
      <c r="AA227" s="63">
        <f t="shared" ca="1" si="25"/>
        <v>10.603921520102798</v>
      </c>
      <c r="AB227" s="63">
        <f t="shared" ca="1" si="26"/>
        <v>10.603921520102798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45341</v>
      </c>
      <c r="K228">
        <f ca="1"/>
        <v>9.4873280251468639</v>
      </c>
      <c r="L228">
        <f ca="1"/>
        <v>0.58111172016744206</v>
      </c>
      <c r="M228">
        <f ca="1"/>
        <v>-0.22583689431217024</v>
      </c>
      <c r="N228">
        <f ca="1"/>
        <v>0.26048770915195052</v>
      </c>
      <c r="O228">
        <f ca="1"/>
        <v>0</v>
      </c>
      <c r="P228">
        <f ca="1"/>
        <v>10.976998793933488</v>
      </c>
      <c r="Q228">
        <f ca="1"/>
        <v>10.157287845035857</v>
      </c>
      <c r="R228">
        <f ca="1"/>
        <v>0</v>
      </c>
      <c r="S228">
        <f ca="1"/>
        <v>0.19124216402130376</v>
      </c>
      <c r="T228">
        <f ca="1"/>
        <v>0</v>
      </c>
      <c r="U228">
        <f ca="1"/>
        <v>0</v>
      </c>
      <c r="V228">
        <f ca="1"/>
        <v>0.5332407130683785</v>
      </c>
      <c r="X228" s="2">
        <f t="shared" ca="1" si="22"/>
        <v>45341</v>
      </c>
      <c r="Y228">
        <f t="shared" ca="1" si="23"/>
        <v>0</v>
      </c>
      <c r="AA228" s="63">
        <f t="shared" ca="1" si="25"/>
        <v>10.068439745314306</v>
      </c>
      <c r="AB228" s="63">
        <f t="shared" ca="1" si="26"/>
        <v>10.068439745314306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45342</v>
      </c>
      <c r="K229">
        <f ca="1"/>
        <v>8.9091492393266787</v>
      </c>
      <c r="L229">
        <f ca="1"/>
        <v>0.59961489263200107</v>
      </c>
      <c r="M229">
        <f ca="1"/>
        <v>-0.23784740388811443</v>
      </c>
      <c r="N229">
        <f ca="1"/>
        <v>0.25928351069993105</v>
      </c>
      <c r="O229">
        <f ca="1"/>
        <v>0</v>
      </c>
      <c r="P229">
        <f ca="1"/>
        <v>11.576613686565489</v>
      </c>
      <c r="Q229">
        <f ca="1"/>
        <v>10.712126300880403</v>
      </c>
      <c r="R229">
        <f ca="1"/>
        <v>0</v>
      </c>
      <c r="S229">
        <f ca="1"/>
        <v>0.21257944098386167</v>
      </c>
      <c r="T229">
        <f ca="1"/>
        <v>0</v>
      </c>
      <c r="U229">
        <f ca="1"/>
        <v>0</v>
      </c>
      <c r="V229">
        <f ca="1"/>
        <v>0.56790357475014996</v>
      </c>
      <c r="X229" s="2">
        <f t="shared" ca="1" si="22"/>
        <v>45342</v>
      </c>
      <c r="Y229">
        <f t="shared" ca="1" si="23"/>
        <v>0</v>
      </c>
      <c r="AA229" s="63">
        <f t="shared" ca="1" si="25"/>
        <v>9.5087641319586798</v>
      </c>
      <c r="AB229" s="63">
        <f t="shared" ca="1" si="26"/>
        <v>9.5087641319586798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45343</v>
      </c>
      <c r="K230">
        <f ca="1"/>
        <v>8.3179263360516575</v>
      </c>
      <c r="L230">
        <f ca="1"/>
        <v>0.63200790450091482</v>
      </c>
      <c r="M230">
        <f ca="1"/>
        <v>-0.2156559471738575</v>
      </c>
      <c r="N230">
        <f ca="1"/>
        <v>0.25644094839975162</v>
      </c>
      <c r="O230">
        <f ca="1"/>
        <v>0</v>
      </c>
      <c r="P230">
        <f ca="1"/>
        <v>12.208621591066404</v>
      </c>
      <c r="Q230">
        <f ca="1"/>
        <v>11.296938809915341</v>
      </c>
      <c r="R230">
        <f ca="1"/>
        <v>0</v>
      </c>
      <c r="S230">
        <f ca="1"/>
        <v>0.1983919283985846</v>
      </c>
      <c r="T230">
        <f ca="1"/>
        <v>0</v>
      </c>
      <c r="U230">
        <f ca="1"/>
        <v>0</v>
      </c>
      <c r="V230">
        <f ca="1"/>
        <v>0.60199461391998421</v>
      </c>
      <c r="X230" s="2">
        <f t="shared" ca="1" si="22"/>
        <v>45343</v>
      </c>
      <c r="Y230">
        <f t="shared" ca="1" si="23"/>
        <v>0</v>
      </c>
      <c r="AA230" s="63">
        <f t="shared" ca="1" si="25"/>
        <v>8.9499342405525724</v>
      </c>
      <c r="AB230" s="63">
        <f t="shared" ca="1" si="26"/>
        <v>8.9499342405525724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45344</v>
      </c>
      <c r="K231">
        <f ca="1"/>
        <v>7.7097369312304806</v>
      </c>
      <c r="L231">
        <f ca="1"/>
        <v>0.65174437183969403</v>
      </c>
      <c r="M231">
        <f ca="1"/>
        <v>-0.20733149677965201</v>
      </c>
      <c r="N231">
        <f ca="1"/>
        <v>0.2508864637981692</v>
      </c>
      <c r="O231">
        <f ca="1"/>
        <v>0</v>
      </c>
      <c r="P231">
        <f ca="1"/>
        <v>12.860365962906098</v>
      </c>
      <c r="Q231">
        <f ca="1"/>
        <v>11.900013959182591</v>
      </c>
      <c r="R231">
        <f ca="1"/>
        <v>0</v>
      </c>
      <c r="S231">
        <f ca="1"/>
        <v>0.20096455200171212</v>
      </c>
      <c r="T231">
        <f ca="1"/>
        <v>0</v>
      </c>
      <c r="U231">
        <f ca="1"/>
        <v>0</v>
      </c>
      <c r="V231">
        <f ca="1"/>
        <v>0.63451955595587051</v>
      </c>
      <c r="X231" s="2">
        <f t="shared" ca="1" si="22"/>
        <v>45344</v>
      </c>
      <c r="Y231">
        <f t="shared" ca="1" si="23"/>
        <v>0</v>
      </c>
      <c r="AA231" s="63">
        <f t="shared" ca="1" si="25"/>
        <v>8.3614813030701747</v>
      </c>
      <c r="AB231" s="63">
        <f t="shared" ca="1" si="26"/>
        <v>8.3614813030701747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45345</v>
      </c>
      <c r="K232">
        <f ca="1"/>
        <v>7.08043233329962</v>
      </c>
      <c r="L232">
        <f ca="1"/>
        <v>0.6714442532742666</v>
      </c>
      <c r="M232">
        <f ca="1"/>
        <v>-0.20483374697621315</v>
      </c>
      <c r="N232">
        <f ca="1"/>
        <v>0.2469734023196194</v>
      </c>
      <c r="O232">
        <f ca="1"/>
        <v>0</v>
      </c>
      <c r="P232">
        <f ca="1"/>
        <v>13.531810216180364</v>
      </c>
      <c r="Q232">
        <f ca="1"/>
        <v>12.52131789484222</v>
      </c>
      <c r="R232">
        <f ca="1"/>
        <v>0</v>
      </c>
      <c r="S232">
        <f ca="1"/>
        <v>0.20914591953820866</v>
      </c>
      <c r="T232">
        <f ca="1"/>
        <v>0</v>
      </c>
      <c r="U232">
        <f ca="1"/>
        <v>0</v>
      </c>
      <c r="V232">
        <f ca="1"/>
        <v>0.66530014609847898</v>
      </c>
      <c r="X232" s="2">
        <f t="shared" ca="1" si="22"/>
        <v>45345</v>
      </c>
      <c r="Y232">
        <f t="shared" ca="1" si="23"/>
        <v>0</v>
      </c>
      <c r="AA232" s="63">
        <f t="shared" ca="1" si="25"/>
        <v>7.7518765865738866</v>
      </c>
      <c r="AB232" s="63">
        <f t="shared" ca="1" si="26"/>
        <v>7.7518765865738866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45346</v>
      </c>
      <c r="K233">
        <f ca="1"/>
        <v>6.3950391681549963</v>
      </c>
      <c r="L233">
        <f ca="1"/>
        <v>0.73503585528599835</v>
      </c>
      <c r="M233">
        <f ca="1"/>
        <v>-0.21237663416785324</v>
      </c>
      <c r="N233">
        <f ca="1"/>
        <v>0.26201932430922792</v>
      </c>
      <c r="O233">
        <f ca="1"/>
        <v>0</v>
      </c>
      <c r="P233">
        <f ca="1"/>
        <v>14.266846071466363</v>
      </c>
      <c r="Q233">
        <f ca="1"/>
        <v>13.201464708986732</v>
      </c>
      <c r="R233">
        <f ca="1"/>
        <v>0</v>
      </c>
      <c r="S233">
        <f ca="1"/>
        <v>0.21365487645594317</v>
      </c>
      <c r="T233">
        <f ca="1"/>
        <v>0</v>
      </c>
      <c r="U233">
        <f ca="1"/>
        <v>0</v>
      </c>
      <c r="V233">
        <f ca="1"/>
        <v>0.69596513043092256</v>
      </c>
      <c r="X233" s="2">
        <f t="shared" ca="1" si="22"/>
        <v>45346</v>
      </c>
      <c r="Y233">
        <f t="shared" ca="1" si="23"/>
        <v>0</v>
      </c>
      <c r="AA233" s="63">
        <f t="shared" ca="1" si="25"/>
        <v>7.1300750234409946</v>
      </c>
      <c r="AB233" s="63">
        <f t="shared" ca="1" si="26"/>
        <v>7.1300750234409946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45347</v>
      </c>
      <c r="K234">
        <f ca="1"/>
        <v>5.7139025672631973</v>
      </c>
      <c r="L234">
        <f ca="1"/>
        <v>0.74426331720471417</v>
      </c>
      <c r="M234">
        <f ca="1"/>
        <v>-0.18316067154426463</v>
      </c>
      <c r="N234">
        <f ca="1"/>
        <v>0.24628738785717988</v>
      </c>
      <c r="O234">
        <f ca="1"/>
        <v>0</v>
      </c>
      <c r="P234">
        <f ca="1"/>
        <v>15.011109388671077</v>
      </c>
      <c r="Q234">
        <f ca="1"/>
        <v>13.890149921335253</v>
      </c>
      <c r="R234">
        <f ca="1"/>
        <v>0</v>
      </c>
      <c r="S234">
        <f ca="1"/>
        <v>0.19832293917797211</v>
      </c>
      <c r="T234">
        <f ca="1"/>
        <v>0</v>
      </c>
      <c r="U234">
        <f ca="1"/>
        <v>0</v>
      </c>
      <c r="V234">
        <f ca="1"/>
        <v>0.72399133019761486</v>
      </c>
      <c r="X234" s="2">
        <f t="shared" ca="1" si="22"/>
        <v>45347</v>
      </c>
      <c r="Y234">
        <f t="shared" ca="1" si="23"/>
        <v>0</v>
      </c>
      <c r="AA234" s="63">
        <f t="shared" ca="1" si="25"/>
        <v>6.4581658844679115</v>
      </c>
      <c r="AB234" s="63">
        <f t="shared" ca="1" si="26"/>
        <v>6.4581658844679115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45348</v>
      </c>
      <c r="K235">
        <f ca="1"/>
        <v>4.9949929771918802</v>
      </c>
      <c r="L235">
        <f ca="1"/>
        <v>0.78010969494349069</v>
      </c>
      <c r="M235">
        <f ca="1"/>
        <v>-0.18801936279685094</v>
      </c>
      <c r="N235">
        <f ca="1"/>
        <v>0.24921946766902417</v>
      </c>
      <c r="O235">
        <f ca="1"/>
        <v>0</v>
      </c>
      <c r="P235">
        <f ca="1"/>
        <v>15.791219083614568</v>
      </c>
      <c r="Q235">
        <f ca="1"/>
        <v>14.612004671526467</v>
      </c>
      <c r="R235">
        <f ca="1"/>
        <v>0</v>
      </c>
      <c r="S235">
        <f ca="1"/>
        <v>0.21020647194469547</v>
      </c>
      <c r="T235">
        <f ca="1"/>
        <v>0</v>
      </c>
      <c r="U235">
        <f ca="1"/>
        <v>0</v>
      </c>
      <c r="V235">
        <f ca="1"/>
        <v>0.75036073180710772</v>
      </c>
      <c r="X235" s="2">
        <f t="shared" ca="1" si="22"/>
        <v>45348</v>
      </c>
      <c r="Y235">
        <f t="shared" ca="1" si="23"/>
        <v>0</v>
      </c>
      <c r="AA235" s="63">
        <f t="shared" ca="1" si="25"/>
        <v>5.7751026721353709</v>
      </c>
      <c r="AB235" s="63">
        <f t="shared" ca="1" si="26"/>
        <v>5.7751026721353709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45349</v>
      </c>
      <c r="K236">
        <f ca="1"/>
        <v>4.2458749681972776</v>
      </c>
      <c r="L236">
        <f ca="1"/>
        <v>0.81840000152930514</v>
      </c>
      <c r="M236">
        <f ca="1"/>
        <v>-0.1795976793452212</v>
      </c>
      <c r="N236">
        <f ca="1"/>
        <v>0.24887967187992383</v>
      </c>
      <c r="O236">
        <f ca="1"/>
        <v>0</v>
      </c>
      <c r="P236">
        <f ca="1"/>
        <v>16.609619085143873</v>
      </c>
      <c r="Q236">
        <f ca="1"/>
        <v>15.369290387227283</v>
      </c>
      <c r="R236">
        <f ca="1"/>
        <v>0</v>
      </c>
      <c r="S236">
        <f ca="1"/>
        <v>0.20726183350862118</v>
      </c>
      <c r="T236">
        <f ca="1"/>
        <v>0</v>
      </c>
      <c r="U236">
        <f ca="1"/>
        <v>0</v>
      </c>
      <c r="V236">
        <f ca="1"/>
        <v>0.77502314022452512</v>
      </c>
      <c r="X236" s="2">
        <f t="shared" ca="1" si="22"/>
        <v>45349</v>
      </c>
      <c r="Y236">
        <f t="shared" ca="1" si="23"/>
        <v>0</v>
      </c>
      <c r="AA236" s="63">
        <f t="shared" ca="1" si="25"/>
        <v>5.0642749697265828</v>
      </c>
      <c r="AB236" s="63">
        <f t="shared" ca="1" si="26"/>
        <v>5.0642749697265828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45350</v>
      </c>
      <c r="K237">
        <f ca="1"/>
        <v>3.4693354090701805</v>
      </c>
      <c r="L237">
        <f ca="1"/>
        <v>0.85015453794768803</v>
      </c>
      <c r="M237">
        <f ca="1"/>
        <v>-0.17291463533553042</v>
      </c>
      <c r="N237">
        <f ca="1"/>
        <v>0.24652961415612096</v>
      </c>
      <c r="O237">
        <f ca="1"/>
        <v>0</v>
      </c>
      <c r="P237">
        <f ca="1"/>
        <v>17.459773623091561</v>
      </c>
      <c r="Q237">
        <f ca="1"/>
        <v>16.155959359029527</v>
      </c>
      <c r="R237">
        <f ca="1"/>
        <v>0</v>
      </c>
      <c r="S237">
        <f ca="1"/>
        <v>0.20815188945798926</v>
      </c>
      <c r="T237">
        <f ca="1"/>
        <v>0</v>
      </c>
      <c r="U237">
        <f ca="1"/>
        <v>0</v>
      </c>
      <c r="V237">
        <f ca="1"/>
        <v>0.79772890925834228</v>
      </c>
      <c r="X237" s="2">
        <f t="shared" ca="1" si="22"/>
        <v>45350</v>
      </c>
      <c r="Y237">
        <f t="shared" ca="1" si="23"/>
        <v>0</v>
      </c>
      <c r="AA237" s="63">
        <f t="shared" ca="1" si="25"/>
        <v>4.3194899470178685</v>
      </c>
      <c r="AB237" s="63">
        <f t="shared" ca="1" si="26"/>
        <v>4.3194899470178685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45351</v>
      </c>
      <c r="K238">
        <f ca="1"/>
        <v>2.6585722340153568</v>
      </c>
      <c r="L238">
        <f ca="1"/>
        <v>0.89993312545588822</v>
      </c>
      <c r="M238">
        <f ca="1"/>
        <v>-0.15723097466504043</v>
      </c>
      <c r="N238">
        <f ca="1"/>
        <v>0.24640092506610495</v>
      </c>
      <c r="O238">
        <f ca="1"/>
        <v>0</v>
      </c>
      <c r="P238">
        <f ca="1"/>
        <v>18.359706748547449</v>
      </c>
      <c r="Q238">
        <f ca="1"/>
        <v>16.988689686155915</v>
      </c>
      <c r="R238">
        <f ca="1"/>
        <v>0</v>
      </c>
      <c r="S238">
        <f ca="1"/>
        <v>0.19309825916652223</v>
      </c>
      <c r="T238">
        <f ca="1"/>
        <v>0</v>
      </c>
      <c r="U238">
        <f ca="1"/>
        <v>0</v>
      </c>
      <c r="V238">
        <f ca="1"/>
        <v>0.8189038857099975</v>
      </c>
      <c r="X238" s="2">
        <f t="shared" ca="1" si="22"/>
        <v>45351</v>
      </c>
      <c r="Y238">
        <f t="shared" ca="1" si="23"/>
        <v>0</v>
      </c>
      <c r="AA238" s="63">
        <f t="shared" ca="1" si="25"/>
        <v>3.558505359471245</v>
      </c>
      <c r="AB238" s="63">
        <f t="shared" ca="1" si="26"/>
        <v>3.558505359471245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45352</v>
      </c>
      <c r="K239">
        <f ca="1"/>
        <v>1.8207130035715551</v>
      </c>
      <c r="L239">
        <f ca="1"/>
        <v>0.92472346257702753</v>
      </c>
      <c r="M239">
        <f ca="1"/>
        <v>-0.15596665235526785</v>
      </c>
      <c r="N239">
        <f ca="1"/>
        <v>0.24283088448849383</v>
      </c>
      <c r="O239">
        <f ca="1"/>
        <v>0</v>
      </c>
      <c r="P239">
        <f ca="1"/>
        <v>19.284430211124477</v>
      </c>
      <c r="Q239">
        <f ca="1"/>
        <v>17.844359123930118</v>
      </c>
      <c r="R239">
        <f ca="1"/>
        <v>0</v>
      </c>
      <c r="S239">
        <f ca="1"/>
        <v>0.20183534053634561</v>
      </c>
      <c r="T239">
        <f ca="1"/>
        <v>0</v>
      </c>
      <c r="U239">
        <f ca="1"/>
        <v>0</v>
      </c>
      <c r="V239">
        <f ca="1"/>
        <v>0.83798050310500583</v>
      </c>
      <c r="X239" s="2">
        <f t="shared" ca="1" si="22"/>
        <v>45352</v>
      </c>
      <c r="Y239">
        <f t="shared" ca="1" si="23"/>
        <v>0</v>
      </c>
      <c r="AA239" s="63">
        <f t="shared" ca="1" si="25"/>
        <v>2.7454364661485826</v>
      </c>
      <c r="AB239" s="63">
        <f t="shared" ca="1" si="26"/>
        <v>2.7454364661485826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45353</v>
      </c>
      <c r="K240">
        <f ca="1"/>
        <v>0.96588556143220616</v>
      </c>
      <c r="L240">
        <f ca="1"/>
        <v>0.92026796775383701</v>
      </c>
      <c r="M240">
        <f ca="1"/>
        <v>-0.17342429296681416</v>
      </c>
      <c r="N240">
        <f ca="1"/>
        <v>0.23886481858130229</v>
      </c>
      <c r="O240">
        <f ca="1"/>
        <v>0</v>
      </c>
      <c r="P240">
        <f ca="1"/>
        <v>20.204698178878314</v>
      </c>
      <c r="Q240">
        <f ca="1"/>
        <v>18.695905782403635</v>
      </c>
      <c r="R240">
        <f ca="1"/>
        <v>0</v>
      </c>
      <c r="S240">
        <f ca="1"/>
        <v>0.24495188234074949</v>
      </c>
      <c r="T240">
        <f ca="1"/>
        <v>0</v>
      </c>
      <c r="U240">
        <f ca="1"/>
        <v>0</v>
      </c>
      <c r="V240">
        <f ca="1"/>
        <v>0.85462032174483105</v>
      </c>
      <c r="X240" s="2">
        <f t="shared" ca="1" si="22"/>
        <v>45353</v>
      </c>
      <c r="Y240">
        <f t="shared" ca="1" si="23"/>
        <v>0</v>
      </c>
      <c r="AA240" s="63">
        <f t="shared" ca="1" si="25"/>
        <v>1.8861535291860432</v>
      </c>
      <c r="AB240" s="63">
        <f t="shared" ca="1" si="26"/>
        <v>1.8861535291860432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45354</v>
      </c>
      <c r="K241">
        <f ca="1"/>
        <v>0.10763275177569898</v>
      </c>
      <c r="L241">
        <f ca="1"/>
        <v>0.92032467504845528</v>
      </c>
      <c r="M241">
        <f ca="1"/>
        <v>-0.16806411910729935</v>
      </c>
      <c r="N241">
        <f ca="1"/>
        <v>0.23013598449924741</v>
      </c>
      <c r="O241">
        <f ca="1"/>
        <v>0</v>
      </c>
      <c r="P241">
        <f ca="1"/>
        <v>21.125022853926769</v>
      </c>
      <c r="Q241">
        <f ca="1"/>
        <v>19.547504913536134</v>
      </c>
      <c r="R241">
        <f ca="1"/>
        <v>0</v>
      </c>
      <c r="S241">
        <f ca="1"/>
        <v>0.25740851716266427</v>
      </c>
      <c r="T241">
        <f ca="1"/>
        <v>0</v>
      </c>
      <c r="U241">
        <f ca="1"/>
        <v>0</v>
      </c>
      <c r="V241">
        <f ca="1"/>
        <v>0.86923452981923066</v>
      </c>
      <c r="X241" s="2">
        <f t="shared" ca="1" si="22"/>
        <v>45354</v>
      </c>
      <c r="Y241">
        <f t="shared" ca="1" si="23"/>
        <v>0</v>
      </c>
      <c r="AA241" s="63">
        <f t="shared" ca="1" si="25"/>
        <v>1.0279574268241543</v>
      </c>
      <c r="AB241" s="63">
        <f t="shared" ca="1" si="26"/>
        <v>1.0279574268241543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45355</v>
      </c>
      <c r="K242">
        <f ca="1"/>
        <v>-0.85660742586947136</v>
      </c>
      <c r="L242">
        <f ca="1"/>
        <v>1.03527487761</v>
      </c>
      <c r="M242">
        <f ca="1"/>
        <v>-0.18766329960825345</v>
      </c>
      <c r="N242">
        <f ca="1"/>
        <v>0.2586979995730832</v>
      </c>
      <c r="O242">
        <f ca="1"/>
        <v>0</v>
      </c>
      <c r="P242">
        <f ca="1"/>
        <v>22.160297731536769</v>
      </c>
      <c r="Q242">
        <f ca="1"/>
        <v>20.505470303532398</v>
      </c>
      <c r="R242">
        <f ca="1"/>
        <v>0</v>
      </c>
      <c r="S242">
        <f ca="1"/>
        <v>0.27679438851184351</v>
      </c>
      <c r="T242">
        <f ca="1"/>
        <v>0</v>
      </c>
      <c r="U242">
        <f ca="1"/>
        <v>0</v>
      </c>
      <c r="V242">
        <f ca="1"/>
        <v>0.88358895010895266</v>
      </c>
      <c r="X242" s="2">
        <f t="shared" ca="1" si="22"/>
        <v>45355</v>
      </c>
      <c r="Y242">
        <f t="shared" ca="1" si="23"/>
        <v>0</v>
      </c>
      <c r="AA242" s="63">
        <f t="shared" ca="1" si="25"/>
        <v>0.17866745174052873</v>
      </c>
      <c r="AB242" s="63">
        <f t="shared" ca="1" si="26"/>
        <v>0.17866745174052867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45356</v>
      </c>
      <c r="K243">
        <f ca="1"/>
        <v>-1.8638437197778215</v>
      </c>
      <c r="L243">
        <f ca="1"/>
        <v>1.0961731596862911</v>
      </c>
      <c r="M243">
        <f ca="1"/>
        <v>-0.16866858129424145</v>
      </c>
      <c r="N243">
        <f ca="1"/>
        <v>0.25760544707218241</v>
      </c>
      <c r="O243">
        <f ca="1"/>
        <v>0</v>
      </c>
      <c r="P243">
        <f ca="1"/>
        <v>23.25647089122306</v>
      </c>
      <c r="Q243">
        <f ca="1"/>
        <v>21.519786376618743</v>
      </c>
      <c r="R243">
        <f ca="1"/>
        <v>0</v>
      </c>
      <c r="S243">
        <f ca="1"/>
        <v>0.25621458043418266</v>
      </c>
      <c r="T243">
        <f ca="1"/>
        <v>0</v>
      </c>
      <c r="U243">
        <f ca="1"/>
        <v>0</v>
      </c>
      <c r="V243">
        <f ca="1"/>
        <v>0.89673447374696724</v>
      </c>
      <c r="X243" s="2">
        <f t="shared" ca="1" si="22"/>
        <v>45356</v>
      </c>
      <c r="Y243">
        <f t="shared" ca="1" si="23"/>
        <v>0</v>
      </c>
      <c r="AA243" s="63">
        <f t="shared" ca="1" si="25"/>
        <v>-0.76767056009153034</v>
      </c>
      <c r="AB243" s="63">
        <f t="shared" ca="1" si="26"/>
        <v>-0.76767056009153034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45357</v>
      </c>
      <c r="K244">
        <f ca="1"/>
        <v>-2.8456424019323023</v>
      </c>
      <c r="L244">
        <f ca="1"/>
        <v>1.0722644254895854</v>
      </c>
      <c r="M244">
        <f ca="1"/>
        <v>-0.14454765687487736</v>
      </c>
      <c r="N244">
        <f ca="1"/>
        <v>0.23501340020998196</v>
      </c>
      <c r="O244">
        <f ca="1"/>
        <v>0</v>
      </c>
      <c r="P244">
        <f ca="1"/>
        <v>24.328735316712645</v>
      </c>
      <c r="Q244">
        <f ca="1"/>
        <v>22.511979107997092</v>
      </c>
      <c r="R244">
        <f ca="1"/>
        <v>0</v>
      </c>
      <c r="S244">
        <f ca="1"/>
        <v>0.24518883203999994</v>
      </c>
      <c r="T244">
        <f ca="1"/>
        <v>0</v>
      </c>
      <c r="U244">
        <f ca="1"/>
        <v>0</v>
      </c>
      <c r="V244">
        <f ca="1"/>
        <v>0.90786193600276333</v>
      </c>
      <c r="X244" s="2">
        <f t="shared" ca="1" si="22"/>
        <v>45357</v>
      </c>
      <c r="Y244">
        <f t="shared" ca="1" si="23"/>
        <v>0</v>
      </c>
      <c r="AA244" s="63">
        <f t="shared" ca="1" si="25"/>
        <v>-1.7733779764427169</v>
      </c>
      <c r="AB244" s="63">
        <f t="shared" ca="1" si="26"/>
        <v>-1.7733779764427169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45358</v>
      </c>
      <c r="K245">
        <f ca="1"/>
        <v>-3.8827226958002061</v>
      </c>
      <c r="L245">
        <f ca="1"/>
        <v>1.1387898484415118</v>
      </c>
      <c r="M245">
        <f ca="1"/>
        <v>-0.13745220177396078</v>
      </c>
      <c r="N245">
        <f ca="1"/>
        <v>0.23916175634756867</v>
      </c>
      <c r="O245">
        <f ca="1"/>
        <v>0</v>
      </c>
      <c r="P245">
        <f ca="1"/>
        <v>25.467525165154157</v>
      </c>
      <c r="Q245">
        <f ca="1"/>
        <v>23.565729454769265</v>
      </c>
      <c r="R245">
        <f ca="1"/>
        <v>0</v>
      </c>
      <c r="S245">
        <f ca="1"/>
        <v>0.23763102304638478</v>
      </c>
      <c r="T245">
        <f ca="1"/>
        <v>0</v>
      </c>
      <c r="U245">
        <f ca="1"/>
        <v>0</v>
      </c>
      <c r="V245">
        <f ca="1"/>
        <v>0.9180964293660816</v>
      </c>
      <c r="X245" s="2">
        <f t="shared" ca="1" si="22"/>
        <v>45358</v>
      </c>
      <c r="Y245">
        <f t="shared" ca="1" si="23"/>
        <v>0</v>
      </c>
      <c r="AA245" s="63">
        <f t="shared" ca="1" si="25"/>
        <v>-2.7439328473586944</v>
      </c>
      <c r="AB245" s="63">
        <f t="shared" ca="1" si="26"/>
        <v>-2.7439328473586944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45359</v>
      </c>
      <c r="K246">
        <f ca="1"/>
        <v>-4.9098077613486133</v>
      </c>
      <c r="L246">
        <f ca="1"/>
        <v>1.1297127496865045</v>
      </c>
      <c r="M246">
        <f ca="1"/>
        <v>-0.12075609694942813</v>
      </c>
      <c r="N246">
        <f ca="1"/>
        <v>0.22338378108752591</v>
      </c>
      <c r="O246">
        <f ca="1"/>
        <v>0</v>
      </c>
      <c r="P246">
        <f ca="1"/>
        <v>26.597237914840662</v>
      </c>
      <c r="Q246">
        <f ca="1"/>
        <v>24.61108053808308</v>
      </c>
      <c r="R246">
        <f ca="1"/>
        <v>0</v>
      </c>
      <c r="S246">
        <f ca="1"/>
        <v>0.2279109335096248</v>
      </c>
      <c r="T246">
        <f ca="1"/>
        <v>0</v>
      </c>
      <c r="U246">
        <f ca="1"/>
        <v>0</v>
      </c>
      <c r="V246">
        <f ca="1"/>
        <v>0.92688711234461052</v>
      </c>
      <c r="X246" s="2">
        <f t="shared" ca="1" si="22"/>
        <v>45359</v>
      </c>
      <c r="Y246">
        <f t="shared" ca="1" si="23"/>
        <v>0</v>
      </c>
      <c r="AA246" s="63">
        <f t="shared" ca="1" si="25"/>
        <v>-3.7800950116621084</v>
      </c>
      <c r="AB246" s="63">
        <f t="shared" ca="1" si="26"/>
        <v>-3.7800950116621088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45360</v>
      </c>
      <c r="K247">
        <f ca="1"/>
        <v>-6.0584152178432218</v>
      </c>
      <c r="L247">
        <f ca="1"/>
        <v>1.2675207186190853</v>
      </c>
      <c r="M247">
        <f ca="1"/>
        <v>-0.12782411195671273</v>
      </c>
      <c r="N247">
        <f ca="1"/>
        <v>0.24673737408118956</v>
      </c>
      <c r="O247">
        <f ca="1"/>
        <v>0</v>
      </c>
      <c r="P247">
        <f ca="1"/>
        <v>27.864758633459747</v>
      </c>
      <c r="Q247">
        <f ca="1"/>
        <v>25.783948735506584</v>
      </c>
      <c r="R247">
        <f ca="1"/>
        <v>0</v>
      </c>
      <c r="S247">
        <f ca="1"/>
        <v>0.23169807643662027</v>
      </c>
      <c r="T247">
        <f ca="1"/>
        <v>0</v>
      </c>
      <c r="U247">
        <f ca="1"/>
        <v>0</v>
      </c>
      <c r="V247">
        <f ca="1"/>
        <v>0.93539350253549591</v>
      </c>
      <c r="X247" s="2">
        <f t="shared" ca="1" si="22"/>
        <v>45360</v>
      </c>
      <c r="Y247">
        <f t="shared" ca="1" si="23"/>
        <v>0</v>
      </c>
      <c r="AA247" s="63">
        <f t="shared" ca="1" si="25"/>
        <v>-4.7908944992241365</v>
      </c>
      <c r="AB247" s="63">
        <f t="shared" ca="1" si="26"/>
        <v>-4.7908944992241365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45361</v>
      </c>
      <c r="K248">
        <f ca="1"/>
        <v>-7.202148763821083</v>
      </c>
      <c r="L248">
        <f ca="1"/>
        <v>1.2566925799668525</v>
      </c>
      <c r="M248">
        <f ca="1"/>
        <v>-0.12244693064113221</v>
      </c>
      <c r="N248">
        <f ca="1"/>
        <v>0.23540596463012337</v>
      </c>
      <c r="O248">
        <f ca="1"/>
        <v>0</v>
      </c>
      <c r="P248">
        <f ca="1"/>
        <v>29.121451213426599</v>
      </c>
      <c r="Q248">
        <f ca="1"/>
        <v>26.94679738904734</v>
      </c>
      <c r="R248">
        <f ca="1"/>
        <v>0</v>
      </c>
      <c r="S248">
        <f ca="1"/>
        <v>0.24365432109318286</v>
      </c>
      <c r="T248">
        <f ca="1"/>
        <v>0</v>
      </c>
      <c r="U248">
        <f ca="1"/>
        <v>0</v>
      </c>
      <c r="V248">
        <f ca="1"/>
        <v>0.94263997293751944</v>
      </c>
      <c r="X248" s="2">
        <f t="shared" ca="1" si="22"/>
        <v>45361</v>
      </c>
      <c r="Y248">
        <f t="shared" ca="1" si="23"/>
        <v>0</v>
      </c>
      <c r="AA248" s="63">
        <f t="shared" ca="1" si="25"/>
        <v>-5.9454561838542306</v>
      </c>
      <c r="AB248" s="63">
        <f t="shared" ca="1" si="26"/>
        <v>-5.9454561838542306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45362</v>
      </c>
      <c r="K249">
        <f ca="1"/>
        <v>-8.3878926261818627</v>
      </c>
      <c r="L249">
        <f ca="1"/>
        <v>1.2955740319855984</v>
      </c>
      <c r="M249">
        <f ca="1"/>
        <v>-0.1327951113012773</v>
      </c>
      <c r="N249">
        <f ca="1"/>
        <v>0.24262528092609525</v>
      </c>
      <c r="O249">
        <f ca="1"/>
        <v>0</v>
      </c>
      <c r="P249">
        <f ca="1"/>
        <v>30.417025245412198</v>
      </c>
      <c r="Q249">
        <f ca="1"/>
        <v>28.145624009553494</v>
      </c>
      <c r="R249">
        <f ca="1"/>
        <v>0</v>
      </c>
      <c r="S249">
        <f ca="1"/>
        <v>0.27874340715438167</v>
      </c>
      <c r="T249">
        <f ca="1"/>
        <v>0</v>
      </c>
      <c r="U249">
        <f ca="1"/>
        <v>0</v>
      </c>
      <c r="V249">
        <f ca="1"/>
        <v>0.94907722947985851</v>
      </c>
      <c r="X249" s="2">
        <f t="shared" ca="1" si="22"/>
        <v>45362</v>
      </c>
      <c r="Y249">
        <f t="shared" ca="1" si="23"/>
        <v>0</v>
      </c>
      <c r="AA249" s="63">
        <f t="shared" ca="1" si="25"/>
        <v>-7.0923185941962652</v>
      </c>
      <c r="AB249" s="63">
        <f t="shared" ca="1" si="26"/>
        <v>-7.0923185941962643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45363</v>
      </c>
      <c r="K250">
        <f ca="1"/>
        <v>-9.6391472052795759</v>
      </c>
      <c r="L250">
        <f ca="1"/>
        <v>1.3664899455114252</v>
      </c>
      <c r="M250">
        <f ca="1"/>
        <v>-0.13970006683010183</v>
      </c>
      <c r="N250">
        <f ca="1"/>
        <v>0.25493543324381412</v>
      </c>
      <c r="O250">
        <f ca="1"/>
        <v>0</v>
      </c>
      <c r="P250">
        <f ca="1"/>
        <v>31.783515190923623</v>
      </c>
      <c r="Q250">
        <f ca="1"/>
        <v>29.41007087471829</v>
      </c>
      <c r="R250">
        <f ca="1"/>
        <v>0</v>
      </c>
      <c r="S250">
        <f ca="1"/>
        <v>0.3039876751416194</v>
      </c>
      <c r="T250">
        <f ca="1"/>
        <v>0</v>
      </c>
      <c r="U250">
        <f ca="1"/>
        <v>0</v>
      </c>
      <c r="V250">
        <f ca="1"/>
        <v>0.95491730306098155</v>
      </c>
      <c r="X250" s="2">
        <f t="shared" ca="1" si="22"/>
        <v>45363</v>
      </c>
      <c r="Y250">
        <f t="shared" ca="1" si="23"/>
        <v>0</v>
      </c>
      <c r="AA250" s="63">
        <f t="shared" ca="1" si="25"/>
        <v>-8.2726572597681507</v>
      </c>
      <c r="AB250" s="63">
        <f t="shared" ca="1" si="26"/>
        <v>-8.2726572597681507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45364</v>
      </c>
      <c r="K251">
        <f ca="1"/>
        <v>-10.908112637713932</v>
      </c>
      <c r="L251">
        <f ca="1"/>
        <v>1.3867875029930303</v>
      </c>
      <c r="M251">
        <f ca="1"/>
        <v>-0.13379004613396717</v>
      </c>
      <c r="N251">
        <f ca="1"/>
        <v>0.25161211669264066</v>
      </c>
      <c r="O251">
        <f ca="1"/>
        <v>0</v>
      </c>
      <c r="P251">
        <f ca="1"/>
        <v>33.170302693916653</v>
      </c>
      <c r="Q251">
        <f ca="1"/>
        <v>30.693299570669627</v>
      </c>
      <c r="R251">
        <f ca="1"/>
        <v>0</v>
      </c>
      <c r="S251">
        <f ca="1"/>
        <v>0.3154318991654812</v>
      </c>
      <c r="T251">
        <f ca="1"/>
        <v>0</v>
      </c>
      <c r="U251">
        <f ca="1"/>
        <v>0</v>
      </c>
      <c r="V251">
        <f ca="1"/>
        <v>0.96001254731419772</v>
      </c>
      <c r="X251" s="2">
        <f t="shared" ca="1" si="22"/>
        <v>45364</v>
      </c>
      <c r="Y251">
        <f t="shared" ca="1" si="23"/>
        <v>0</v>
      </c>
      <c r="AA251" s="63">
        <f t="shared" ca="1" si="25"/>
        <v>-9.521325134720902</v>
      </c>
      <c r="AB251" s="63">
        <f t="shared" ca="1" si="26"/>
        <v>-9.521325134720902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45365</v>
      </c>
      <c r="K252">
        <f ca="1"/>
        <v>-12.223721581070786</v>
      </c>
      <c r="L252">
        <f ca="1"/>
        <v>1.4450044006019525</v>
      </c>
      <c r="M252">
        <f ca="1"/>
        <v>-0.11657404172246544</v>
      </c>
      <c r="N252">
        <f ca="1"/>
        <v>0.24596949896756468</v>
      </c>
      <c r="O252">
        <f ca="1"/>
        <v>0</v>
      </c>
      <c r="P252">
        <f ca="1"/>
        <v>34.615307094518606</v>
      </c>
      <c r="Q252">
        <f ca="1"/>
        <v>32.030397798499358</v>
      </c>
      <c r="R252">
        <f ca="1"/>
        <v>0</v>
      </c>
      <c r="S252">
        <f ca="1"/>
        <v>0.28937186985464214</v>
      </c>
      <c r="T252">
        <f ca="1"/>
        <v>0</v>
      </c>
      <c r="U252">
        <f ca="1"/>
        <v>0</v>
      </c>
      <c r="V252">
        <f ca="1"/>
        <v>0.96457917906594526</v>
      </c>
      <c r="X252" s="2">
        <f t="shared" ca="1" si="22"/>
        <v>45365</v>
      </c>
      <c r="Y252">
        <f t="shared" ca="1" si="23"/>
        <v>0</v>
      </c>
      <c r="AA252" s="63">
        <f t="shared" ca="1" si="25"/>
        <v>-10.778717180468833</v>
      </c>
      <c r="AB252" s="63">
        <f t="shared" ca="1" si="26"/>
        <v>-10.778717180468833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45366</v>
      </c>
      <c r="K253">
        <f ca="1"/>
        <v>-13.585015746809816</v>
      </c>
      <c r="L253">
        <f ca="1"/>
        <v>1.4978190111221679</v>
      </c>
      <c r="M253">
        <f ca="1"/>
        <v>-0.10859103865569608</v>
      </c>
      <c r="N253">
        <f ca="1"/>
        <v>0.24511588403883292</v>
      </c>
      <c r="O253">
        <f ca="1"/>
        <v>0</v>
      </c>
      <c r="P253">
        <f ca="1"/>
        <v>36.113126105640774</v>
      </c>
      <c r="Q253">
        <f ca="1"/>
        <v>33.416366688661107</v>
      </c>
      <c r="R253">
        <f ca="1"/>
        <v>0</v>
      </c>
      <c r="S253">
        <f ca="1"/>
        <v>0.2848533491436307</v>
      </c>
      <c r="T253">
        <f ca="1"/>
        <v>0</v>
      </c>
      <c r="U253">
        <f ca="1"/>
        <v>0</v>
      </c>
      <c r="V253">
        <f ca="1"/>
        <v>0.96864643928327399</v>
      </c>
      <c r="X253" s="2">
        <f t="shared" ca="1" si="22"/>
        <v>45366</v>
      </c>
      <c r="Y253">
        <f t="shared" ca="1" si="23"/>
        <v>0</v>
      </c>
      <c r="AA253" s="63">
        <f t="shared" ca="1" si="25"/>
        <v>-12.087196735687648</v>
      </c>
      <c r="AB253" s="63">
        <f t="shared" ca="1" si="26"/>
        <v>-12.087196735687648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45367</v>
      </c>
      <c r="K254">
        <f ca="1"/>
        <v>-14.975257556728753</v>
      </c>
      <c r="L254">
        <f ca="1"/>
        <v>1.5305623301935469</v>
      </c>
      <c r="M254">
        <f ca="1"/>
        <v>-0.10076561883953161</v>
      </c>
      <c r="N254">
        <f ca="1"/>
        <v>0.24108613911414178</v>
      </c>
      <c r="O254">
        <f ca="1"/>
        <v>0</v>
      </c>
      <c r="P254">
        <f ca="1"/>
        <v>37.643688435834321</v>
      </c>
      <c r="Q254">
        <f ca="1"/>
        <v>34.832633779911632</v>
      </c>
      <c r="R254">
        <f ca="1"/>
        <v>0</v>
      </c>
      <c r="S254">
        <f ca="1"/>
        <v>0.28342571659887333</v>
      </c>
      <c r="T254">
        <f ca="1"/>
        <v>0</v>
      </c>
      <c r="U254">
        <f ca="1"/>
        <v>0</v>
      </c>
      <c r="V254">
        <f ca="1"/>
        <v>0.9722192334453319</v>
      </c>
      <c r="X254" s="2">
        <f t="shared" ca="1" si="22"/>
        <v>45367</v>
      </c>
      <c r="Y254">
        <f t="shared" ca="1" si="23"/>
        <v>0</v>
      </c>
      <c r="AA254" s="63">
        <f t="shared" ca="1" si="25"/>
        <v>-13.444695226535206</v>
      </c>
      <c r="AB254" s="63">
        <f t="shared" ca="1" si="26"/>
        <v>-13.444695226535206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45368</v>
      </c>
      <c r="K255">
        <f ca="1"/>
        <v>-16.308551266990001</v>
      </c>
      <c r="L255">
        <f ca="1"/>
        <v>1.4646014259994899</v>
      </c>
      <c r="M255">
        <f ca="1"/>
        <v>-9.0039767094602041E-2</v>
      </c>
      <c r="N255">
        <f ca="1"/>
        <v>0.22134748283284492</v>
      </c>
      <c r="O255">
        <f ca="1"/>
        <v>0</v>
      </c>
      <c r="P255">
        <f ca="1"/>
        <v>39.108289861833811</v>
      </c>
      <c r="Q255">
        <f ca="1"/>
        <v>36.187865618904667</v>
      </c>
      <c r="R255">
        <f ca="1"/>
        <v>0</v>
      </c>
      <c r="S255">
        <f ca="1"/>
        <v>0.28892026311921892</v>
      </c>
      <c r="T255">
        <f ca="1"/>
        <v>0</v>
      </c>
      <c r="U255">
        <f ca="1"/>
        <v>0</v>
      </c>
      <c r="V255">
        <f ca="1"/>
        <v>0.97517626581360473</v>
      </c>
      <c r="X255" s="2">
        <f t="shared" ca="1" si="22"/>
        <v>45368</v>
      </c>
      <c r="Y255">
        <f t="shared" ca="1" si="23"/>
        <v>0</v>
      </c>
      <c r="AA255" s="63">
        <f t="shared" ca="1" si="25"/>
        <v>-14.84394984099051</v>
      </c>
      <c r="AB255" s="63">
        <f t="shared" ca="1" si="26"/>
        <v>-14.843949840990511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45369</v>
      </c>
      <c r="K256">
        <f ca="1"/>
        <v>-17.76407582651261</v>
      </c>
      <c r="L256">
        <f ca="1"/>
        <v>1.6037019506227352</v>
      </c>
      <c r="M256">
        <f ca="1"/>
        <v>-8.7690645049740112E-2</v>
      </c>
      <c r="N256">
        <f ca="1"/>
        <v>0.23586803614986834</v>
      </c>
      <c r="O256">
        <f ca="1"/>
        <v>0</v>
      </c>
      <c r="P256">
        <f ca="1"/>
        <v>40.711991812456546</v>
      </c>
      <c r="Q256">
        <f ca="1"/>
        <v>37.67181060568219</v>
      </c>
      <c r="R256">
        <f ca="1"/>
        <v>0</v>
      </c>
      <c r="S256">
        <f ca="1"/>
        <v>0.28109147849878324</v>
      </c>
      <c r="T256">
        <f ca="1"/>
        <v>0</v>
      </c>
      <c r="U256">
        <f ca="1"/>
        <v>0</v>
      </c>
      <c r="V256">
        <f ca="1"/>
        <v>0.97798023129199152</v>
      </c>
      <c r="X256" s="2">
        <f t="shared" ca="1" si="22"/>
        <v>45369</v>
      </c>
      <c r="Y256">
        <f t="shared" ca="1" si="23"/>
        <v>0</v>
      </c>
      <c r="AA256" s="63">
        <f t="shared" ca="1" si="25"/>
        <v>-16.160373875889874</v>
      </c>
      <c r="AB256" s="63">
        <f t="shared" ca="1" si="26"/>
        <v>-16.160373875889874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45370</v>
      </c>
      <c r="K257">
        <f ca="1"/>
        <v>-19.341967716299436</v>
      </c>
      <c r="L257">
        <f ca="1"/>
        <v>1.7427644925852235</v>
      </c>
      <c r="M257">
        <f ca="1"/>
        <v>-8.2032040797486161E-2</v>
      </c>
      <c r="N257">
        <f ca="1"/>
        <v>0.24690464359588191</v>
      </c>
      <c r="O257">
        <f ca="1"/>
        <v>0</v>
      </c>
      <c r="P257">
        <f ca="1"/>
        <v>42.454756305041769</v>
      </c>
      <c r="Q257">
        <f ca="1"/>
        <v>39.284433593950986</v>
      </c>
      <c r="R257">
        <f ca="1"/>
        <v>0</v>
      </c>
      <c r="S257">
        <f ca="1"/>
        <v>0.26483389000551394</v>
      </c>
      <c r="T257">
        <f ca="1"/>
        <v>0</v>
      </c>
      <c r="U257">
        <f ca="1"/>
        <v>0</v>
      </c>
      <c r="V257">
        <f ca="1"/>
        <v>0.98059743733784166</v>
      </c>
      <c r="X257" s="2">
        <f t="shared" ca="1" si="22"/>
        <v>45370</v>
      </c>
      <c r="Y257">
        <f t="shared" ca="1" si="23"/>
        <v>0</v>
      </c>
      <c r="AA257" s="63">
        <f t="shared" ca="1" si="25"/>
        <v>-17.599203223714213</v>
      </c>
      <c r="AB257" s="63">
        <f t="shared" ca="1" si="26"/>
        <v>-17.599203223714213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45371</v>
      </c>
      <c r="K258">
        <f ca="1"/>
        <v>-20.928322932941711</v>
      </c>
      <c r="L258">
        <f ca="1"/>
        <v>1.7502037930122114</v>
      </c>
      <c r="M258">
        <f ca="1"/>
        <v>-7.2511041447640423E-2</v>
      </c>
      <c r="N258">
        <f ca="1"/>
        <v>0.23635961781757694</v>
      </c>
      <c r="O258">
        <f ca="1"/>
        <v>0</v>
      </c>
      <c r="P258">
        <f ca="1"/>
        <v>44.204960098053981</v>
      </c>
      <c r="Q258">
        <f ca="1"/>
        <v>40.903940350472027</v>
      </c>
      <c r="R258">
        <f ca="1"/>
        <v>0</v>
      </c>
      <c r="S258">
        <f ca="1"/>
        <v>0.25585241596794878</v>
      </c>
      <c r="T258">
        <f ca="1"/>
        <v>0</v>
      </c>
      <c r="U258">
        <f ca="1"/>
        <v>0</v>
      </c>
      <c r="V258">
        <f ca="1"/>
        <v>0.98285097159596346</v>
      </c>
      <c r="X258" s="2">
        <f t="shared" ca="1" si="22"/>
        <v>45371</v>
      </c>
      <c r="Y258">
        <f t="shared" ca="1" si="23"/>
        <v>0</v>
      </c>
      <c r="AA258" s="63">
        <f t="shared" ca="1" si="25"/>
        <v>-19.1781191399295</v>
      </c>
      <c r="AB258" s="63">
        <f t="shared" ca="1" si="26"/>
        <v>-19.1781191399295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45372</v>
      </c>
      <c r="K259">
        <f ca="1"/>
        <v>-22.519771072604513</v>
      </c>
      <c r="L259">
        <f ca="1"/>
        <v>1.7534818464262827</v>
      </c>
      <c r="M259">
        <f ca="1"/>
        <v>-6.4929313390415189E-2</v>
      </c>
      <c r="N259">
        <f ca="1"/>
        <v>0.22696302015389516</v>
      </c>
      <c r="O259">
        <f ca="1"/>
        <v>0</v>
      </c>
      <c r="P259">
        <f ca="1"/>
        <v>45.958441944480263</v>
      </c>
      <c r="Q259">
        <f ca="1"/>
        <v>42.526480370704142</v>
      </c>
      <c r="R259">
        <f ca="1"/>
        <v>0</v>
      </c>
      <c r="S259">
        <f ca="1"/>
        <v>0.25003592532944197</v>
      </c>
      <c r="T259">
        <f ca="1"/>
        <v>0</v>
      </c>
      <c r="U259">
        <f ca="1"/>
        <v>0</v>
      </c>
      <c r="V259">
        <f ca="1"/>
        <v>0.98479525479391383</v>
      </c>
      <c r="X259" s="2">
        <f t="shared" ca="1" si="22"/>
        <v>45372</v>
      </c>
      <c r="Y259">
        <f t="shared" ca="1" si="23"/>
        <v>0</v>
      </c>
      <c r="AA259" s="63">
        <f t="shared" ca="1" si="25"/>
        <v>-20.76628922617823</v>
      </c>
      <c r="AB259" s="63">
        <f t="shared" ca="1" si="26"/>
        <v>-20.76628922617823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45373</v>
      </c>
      <c r="K260">
        <f ca="1"/>
        <v>-24.095832711299948</v>
      </c>
      <c r="L260">
        <f ca="1"/>
        <v>1.7337180213756653</v>
      </c>
      <c r="M260">
        <f ca="1"/>
        <v>-6.2427049171567717E-2</v>
      </c>
      <c r="N260">
        <f ca="1"/>
        <v>0.22008343185179946</v>
      </c>
      <c r="O260">
        <f ca="1"/>
        <v>0</v>
      </c>
      <c r="P260">
        <f ca="1"/>
        <v>47.692159965855929</v>
      </c>
      <c r="Q260">
        <f ca="1"/>
        <v>44.130732435938114</v>
      </c>
      <c r="R260">
        <f ca="1"/>
        <v>0</v>
      </c>
      <c r="S260">
        <f ca="1"/>
        <v>0.26540167763137296</v>
      </c>
      <c r="T260">
        <f ca="1"/>
        <v>0</v>
      </c>
      <c r="U260">
        <f ca="1"/>
        <v>0</v>
      </c>
      <c r="V260">
        <f ca="1"/>
        <v>0.98645934794188228</v>
      </c>
      <c r="X260" s="2">
        <f t="shared" ca="1" si="22"/>
        <v>45373</v>
      </c>
      <c r="Y260">
        <f t="shared" ca="1" si="23"/>
        <v>0</v>
      </c>
      <c r="AA260" s="63">
        <f t="shared" ca="1" si="25"/>
        <v>-22.362114689924283</v>
      </c>
      <c r="AB260" s="63">
        <f t="shared" ca="1" si="26"/>
        <v>-22.362114689924283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45374</v>
      </c>
      <c r="K261">
        <f ca="1"/>
        <v>-25.728799985095733</v>
      </c>
      <c r="L261">
        <f ca="1"/>
        <v>1.7960170278099312</v>
      </c>
      <c r="M261">
        <f ca="1"/>
        <v>-5.7399290529666303E-2</v>
      </c>
      <c r="N261">
        <f ca="1"/>
        <v>0.22044904454381409</v>
      </c>
      <c r="O261">
        <f ca="1"/>
        <v>0</v>
      </c>
      <c r="P261">
        <f ca="1"/>
        <v>49.48817699366586</v>
      </c>
      <c r="Q261">
        <f ca="1"/>
        <v>45.792631309073933</v>
      </c>
      <c r="R261">
        <f ca="1"/>
        <v>0</v>
      </c>
      <c r="S261">
        <f ca="1"/>
        <v>0.2575627456519986</v>
      </c>
      <c r="T261">
        <f ca="1"/>
        <v>0</v>
      </c>
      <c r="U261">
        <f ca="1"/>
        <v>0</v>
      </c>
      <c r="V261">
        <f ca="1"/>
        <v>0.98795556065201229</v>
      </c>
      <c r="X261" s="2">
        <f t="shared" ca="1" si="22"/>
        <v>45374</v>
      </c>
      <c r="Y261">
        <f t="shared" ca="1" si="23"/>
        <v>0</v>
      </c>
      <c r="AA261" s="63">
        <f t="shared" ca="1" si="25"/>
        <v>-23.932782957285802</v>
      </c>
      <c r="AB261" s="63">
        <f t="shared" ca="1" si="26"/>
        <v>-23.932782957285802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45375</v>
      </c>
      <c r="K262">
        <f ca="1"/>
        <v>-27.440262967394531</v>
      </c>
      <c r="L262">
        <f ca="1"/>
        <v>1.8832435322581134</v>
      </c>
      <c r="M262">
        <f ca="1"/>
        <v>-5.7566338220389923E-2</v>
      </c>
      <c r="N262">
        <f ca="1"/>
        <v>0.22934688817970394</v>
      </c>
      <c r="O262">
        <f ca="1"/>
        <v>0</v>
      </c>
      <c r="P262">
        <f ca="1"/>
        <v>51.371420525923973</v>
      </c>
      <c r="Q262">
        <f ca="1"/>
        <v>47.535243019117964</v>
      </c>
      <c r="R262">
        <f ca="1"/>
        <v>0</v>
      </c>
      <c r="S262">
        <f ca="1"/>
        <v>0.27034912768271646</v>
      </c>
      <c r="T262">
        <f ca="1"/>
        <v>0</v>
      </c>
      <c r="U262">
        <f ca="1"/>
        <v>0</v>
      </c>
      <c r="V262">
        <f ca="1"/>
        <v>0.98931494994631919</v>
      </c>
      <c r="X262" s="2">
        <f t="shared" ca="1" si="22"/>
        <v>45375</v>
      </c>
      <c r="Y262">
        <f t="shared" ca="1" si="23"/>
        <v>0</v>
      </c>
      <c r="AA262" s="63">
        <f t="shared" ca="1" si="25"/>
        <v>-25.557019435136418</v>
      </c>
      <c r="AB262" s="63">
        <f t="shared" ca="1" si="26"/>
        <v>-25.557019435136418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45376</v>
      </c>
      <c r="K263">
        <f ca="1"/>
        <v>-29.102988953591606</v>
      </c>
      <c r="L263">
        <f ca="1"/>
        <v>1.8252176408243201</v>
      </c>
      <c r="M263">
        <f ca="1"/>
        <v>-4.713113408234193E-2</v>
      </c>
      <c r="N263">
        <f ca="1"/>
        <v>0.2096227887095877</v>
      </c>
      <c r="O263">
        <f ca="1"/>
        <v>0</v>
      </c>
      <c r="P263">
        <f ca="1"/>
        <v>53.196638166748293</v>
      </c>
      <c r="Q263">
        <f ca="1"/>
        <v>49.224161940010589</v>
      </c>
      <c r="R263">
        <f ca="1"/>
        <v>0</v>
      </c>
      <c r="S263">
        <f ca="1"/>
        <v>0.25002373389330584</v>
      </c>
      <c r="T263">
        <f ca="1"/>
        <v>0</v>
      </c>
      <c r="U263">
        <f ca="1"/>
        <v>0</v>
      </c>
      <c r="V263">
        <f ca="1"/>
        <v>0.99045979429930975</v>
      </c>
      <c r="X263" s="2">
        <f t="shared" ca="1" si="22"/>
        <v>45376</v>
      </c>
      <c r="Y263">
        <f t="shared" ca="1" si="23"/>
        <v>0</v>
      </c>
      <c r="AA263" s="63">
        <f t="shared" ca="1" si="25"/>
        <v>-27.277771312767285</v>
      </c>
      <c r="AB263" s="63">
        <f t="shared" ca="1" si="26"/>
        <v>-27.277771312767285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45377</v>
      </c>
      <c r="K264">
        <f ca="1"/>
        <v>-30.912889369005285</v>
      </c>
      <c r="L264">
        <f ca="1"/>
        <v>1.9884438130167155</v>
      </c>
      <c r="M264">
        <f ca="1"/>
        <v>-4.5845795592072136E-2</v>
      </c>
      <c r="N264">
        <f ca="1"/>
        <v>0.22438919319510811</v>
      </c>
      <c r="O264">
        <f ca="1"/>
        <v>0</v>
      </c>
      <c r="P264">
        <f ca="1"/>
        <v>55.185081979765009</v>
      </c>
      <c r="Q264">
        <f ca="1"/>
        <v>51.064118065691645</v>
      </c>
      <c r="R264">
        <f ca="1"/>
        <v>0</v>
      </c>
      <c r="S264">
        <f ca="1"/>
        <v>0.24491055946579968</v>
      </c>
      <c r="T264">
        <f ca="1"/>
        <v>0</v>
      </c>
      <c r="U264">
        <f ca="1"/>
        <v>0</v>
      </c>
      <c r="V264">
        <f ca="1"/>
        <v>0.99154390375751633</v>
      </c>
      <c r="X264" s="2">
        <f t="shared" ca="1" si="22"/>
        <v>45377</v>
      </c>
      <c r="Y264">
        <f t="shared" ca="1" si="23"/>
        <v>0</v>
      </c>
      <c r="AA264" s="63">
        <f t="shared" ca="1" si="25"/>
        <v>-28.924445555988569</v>
      </c>
      <c r="AB264" s="63">
        <f t="shared" ca="1" si="26"/>
        <v>-28.924445555988569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45378</v>
      </c>
      <c r="K265">
        <f ca="1"/>
        <v>-32.827082447686372</v>
      </c>
      <c r="L265">
        <f ca="1"/>
        <v>2.1028337375286625</v>
      </c>
      <c r="M265">
        <f ca="1"/>
        <v>-4.2822475036068397E-2</v>
      </c>
      <c r="N265">
        <f ca="1"/>
        <v>0.23146313388364537</v>
      </c>
      <c r="O265">
        <f ca="1"/>
        <v>0</v>
      </c>
      <c r="P265">
        <f ca="1"/>
        <v>57.287915717293671</v>
      </c>
      <c r="Q265">
        <f ca="1"/>
        <v>53.009922011132133</v>
      </c>
      <c r="R265">
        <f ca="1"/>
        <v>0</v>
      </c>
      <c r="S265">
        <f ca="1"/>
        <v>0.2379030701903084</v>
      </c>
      <c r="T265">
        <f ca="1"/>
        <v>0</v>
      </c>
      <c r="U265">
        <f ca="1"/>
        <v>0</v>
      </c>
      <c r="V265">
        <f ca="1"/>
        <v>0.99253447861539001</v>
      </c>
      <c r="X265" s="2">
        <f t="shared" ca="1" si="22"/>
        <v>45378</v>
      </c>
      <c r="Y265">
        <f t="shared" ca="1" si="23"/>
        <v>0</v>
      </c>
      <c r="AA265" s="63">
        <f t="shared" ca="1" si="25"/>
        <v>-30.724248710157706</v>
      </c>
      <c r="AB265" s="63">
        <f t="shared" ca="1" si="26"/>
        <v>-30.72424871015771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45379</v>
      </c>
      <c r="K266">
        <f ca="1"/>
        <v>-34.782012140789547</v>
      </c>
      <c r="L266">
        <f ca="1"/>
        <v>2.1453087295691802</v>
      </c>
      <c r="M266">
        <f ca="1"/>
        <v>-3.8901005267483413E-2</v>
      </c>
      <c r="N266">
        <f ca="1"/>
        <v>0.22928004173348579</v>
      </c>
      <c r="O266">
        <f ca="1"/>
        <v>0</v>
      </c>
      <c r="P266">
        <f ca="1"/>
        <v>59.433224446862852</v>
      </c>
      <c r="Q266">
        <f ca="1"/>
        <v>54.995029114791926</v>
      </c>
      <c r="R266">
        <f ca="1"/>
        <v>0</v>
      </c>
      <c r="S266">
        <f ca="1"/>
        <v>0.23364798520291766</v>
      </c>
      <c r="T266">
        <f ca="1"/>
        <v>0</v>
      </c>
      <c r="U266">
        <f ca="1"/>
        <v>0</v>
      </c>
      <c r="V266">
        <f ca="1"/>
        <v>0.99340648042097035</v>
      </c>
      <c r="X266" s="2">
        <f t="shared" ca="1" si="22"/>
        <v>45379</v>
      </c>
      <c r="Y266">
        <f t="shared" ca="1" si="23"/>
        <v>0</v>
      </c>
      <c r="AA266" s="63">
        <f t="shared" ca="1" si="25"/>
        <v>-32.636703411220367</v>
      </c>
      <c r="AB266" s="63">
        <f t="shared" ca="1" si="26"/>
        <v>-32.636703411220367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45380</v>
      </c>
      <c r="K267">
        <f ca="1"/>
        <v>-36.790333463328466</v>
      </c>
      <c r="L267">
        <f ca="1"/>
        <v>2.2056715856374325</v>
      </c>
      <c r="M267">
        <f ca="1"/>
        <v>-4.0370835506415403E-2</v>
      </c>
      <c r="N267">
        <f ca="1"/>
        <v>0.23772109860492921</v>
      </c>
      <c r="O267">
        <f ca="1"/>
        <v>0</v>
      </c>
      <c r="P267">
        <f ca="1"/>
        <v>61.638896032500284</v>
      </c>
      <c r="Q267">
        <f ca="1"/>
        <v>57.035991458644745</v>
      </c>
      <c r="R267">
        <f ca="1"/>
        <v>0</v>
      </c>
      <c r="S267">
        <f ca="1"/>
        <v>0.26186399188108928</v>
      </c>
      <c r="T267">
        <f ca="1"/>
        <v>0</v>
      </c>
      <c r="U267">
        <f ca="1"/>
        <v>0</v>
      </c>
      <c r="V267">
        <f ca="1"/>
        <v>0.9941806342862094</v>
      </c>
      <c r="X267" s="2">
        <f t="shared" ref="X267:X330" ca="1" si="29">IFERROR(J267,$X$9)</f>
        <v>45380</v>
      </c>
      <c r="Y267">
        <f t="shared" ref="Y267:Y330" ca="1" si="30">IFERROR(O267,0)</f>
        <v>0</v>
      </c>
      <c r="AA267" s="63">
        <f t="shared" ca="1" si="25"/>
        <v>-34.584661877691033</v>
      </c>
      <c r="AB267" s="63">
        <f t="shared" ca="1" si="26"/>
        <v>-34.584661877691033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45381</v>
      </c>
      <c r="K268">
        <f ca="1"/>
        <v>-38.720048314650356</v>
      </c>
      <c r="L268">
        <f ca="1"/>
        <v>2.1162218493153375</v>
      </c>
      <c r="M268">
        <f ca="1"/>
        <v>-3.5751947445312737E-2</v>
      </c>
      <c r="N268">
        <f ca="1"/>
        <v>0.2222589454387591</v>
      </c>
      <c r="O268">
        <f ca="1"/>
        <v>0</v>
      </c>
      <c r="P268">
        <f ca="1"/>
        <v>63.755117881815622</v>
      </c>
      <c r="Q268">
        <f ca="1"/>
        <v>58.994183754277437</v>
      </c>
      <c r="R268">
        <f ca="1"/>
        <v>0</v>
      </c>
      <c r="S268">
        <f ca="1"/>
        <v>0.27041561743823633</v>
      </c>
      <c r="T268">
        <f ca="1"/>
        <v>0</v>
      </c>
      <c r="U268">
        <f ca="1"/>
        <v>0</v>
      </c>
      <c r="V268">
        <f ca="1"/>
        <v>0.99482510418926695</v>
      </c>
      <c r="X268" s="2">
        <f t="shared" ca="1" si="29"/>
        <v>45381</v>
      </c>
      <c r="Y268">
        <f t="shared" ca="1" si="30"/>
        <v>0</v>
      </c>
      <c r="AA268" s="63">
        <f t="shared" ca="1" si="25"/>
        <v>-36.603826465335018</v>
      </c>
      <c r="AB268" s="63">
        <f t="shared" ca="1" si="26"/>
        <v>-36.603826465335018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45382</v>
      </c>
      <c r="K269">
        <f ca="1"/>
        <v>-40.610752373334527</v>
      </c>
      <c r="L269">
        <f ca="1"/>
        <v>2.0701284627267569</v>
      </c>
      <c r="M269">
        <f ca="1"/>
        <v>-3.0540277930420245E-2</v>
      </c>
      <c r="N269">
        <f ca="1"/>
        <v>0.20996468197300752</v>
      </c>
      <c r="O269">
        <f ca="1"/>
        <v>0</v>
      </c>
      <c r="P269">
        <f ca="1"/>
        <v>65.825246344542379</v>
      </c>
      <c r="Q269">
        <f ca="1"/>
        <v>60.909724701930443</v>
      </c>
      <c r="R269">
        <f ca="1"/>
        <v>0</v>
      </c>
      <c r="S269">
        <f ca="1"/>
        <v>0.26348955036657035</v>
      </c>
      <c r="T269">
        <f ca="1"/>
        <v>0</v>
      </c>
      <c r="U269">
        <f ca="1"/>
        <v>0</v>
      </c>
      <c r="V269">
        <f ca="1"/>
        <v>0.99537651816358008</v>
      </c>
      <c r="X269" s="2">
        <f t="shared" ca="1" si="29"/>
        <v>45382</v>
      </c>
      <c r="Y269">
        <f t="shared" ca="1" si="30"/>
        <v>0</v>
      </c>
      <c r="AA269" s="63">
        <f t="shared" ca="1" si="25"/>
        <v>-38.540623910607771</v>
      </c>
      <c r="AB269" s="63">
        <f t="shared" ca="1" si="26"/>
        <v>-38.540623910607771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45383</v>
      </c>
      <c r="K270">
        <f ca="1"/>
        <v>-42.617047224394994</v>
      </c>
      <c r="L270">
        <f ca="1"/>
        <v>2.1966385511385909</v>
      </c>
      <c r="M270">
        <f ca="1"/>
        <v>-2.7869952072386184E-2</v>
      </c>
      <c r="N270">
        <f ca="1"/>
        <v>0.21821365215050709</v>
      </c>
      <c r="O270">
        <f ca="1"/>
        <v>0</v>
      </c>
      <c r="P270">
        <f ca="1"/>
        <v>68.021884895680969</v>
      </c>
      <c r="Q270">
        <f ca="1"/>
        <v>62.942328556068425</v>
      </c>
      <c r="R270">
        <f ca="1"/>
        <v>0</v>
      </c>
      <c r="S270">
        <f ca="1"/>
        <v>0.25448340769968375</v>
      </c>
      <c r="T270">
        <f ca="1"/>
        <v>0</v>
      </c>
      <c r="U270">
        <f ca="1"/>
        <v>0</v>
      </c>
      <c r="V270">
        <f ca="1"/>
        <v>0.99588875226358242</v>
      </c>
      <c r="X270" s="2">
        <f t="shared" ca="1" si="29"/>
        <v>45383</v>
      </c>
      <c r="Y270">
        <f t="shared" ca="1" si="30"/>
        <v>0</v>
      </c>
      <c r="AA270" s="63">
        <f t="shared" ca="1" si="25"/>
        <v>-40.420408673256404</v>
      </c>
      <c r="AB270" s="63">
        <f t="shared" ca="1" si="26"/>
        <v>-40.420408673256404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45384</v>
      </c>
      <c r="K271">
        <f ca="1"/>
        <v>-44.601176574262169</v>
      </c>
      <c r="L271">
        <f ca="1"/>
        <v>2.1705830230977909</v>
      </c>
      <c r="M271">
        <f ca="1"/>
        <v>-2.4663676747884722E-2</v>
      </c>
      <c r="N271">
        <f ca="1"/>
        <v>0.21111734997849829</v>
      </c>
      <c r="O271">
        <f ca="1"/>
        <v>0</v>
      </c>
      <c r="P271">
        <f ca="1"/>
        <v>70.19246791877876</v>
      </c>
      <c r="Q271">
        <f ca="1"/>
        <v>64.950822587181634</v>
      </c>
      <c r="R271">
        <f ca="1"/>
        <v>0</v>
      </c>
      <c r="S271">
        <f ca="1"/>
        <v>0.256574589432221</v>
      </c>
      <c r="T271">
        <f ca="1"/>
        <v>0</v>
      </c>
      <c r="U271">
        <f ca="1"/>
        <v>0</v>
      </c>
      <c r="V271">
        <f ca="1"/>
        <v>0.99633186139563545</v>
      </c>
      <c r="X271" s="2">
        <f t="shared" ca="1" si="29"/>
        <v>45384</v>
      </c>
      <c r="Y271">
        <f t="shared" ca="1" si="30"/>
        <v>0</v>
      </c>
      <c r="AA271" s="63">
        <f t="shared" ca="1" si="25"/>
        <v>-42.430593551164378</v>
      </c>
      <c r="AB271" s="63">
        <f t="shared" ca="1" si="26"/>
        <v>-42.430593551164378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45385</v>
      </c>
      <c r="K272">
        <f ca="1"/>
        <v>-46.541804086040536</v>
      </c>
      <c r="L272">
        <f ca="1"/>
        <v>2.1218879135409452</v>
      </c>
      <c r="M272">
        <f ca="1"/>
        <v>-2.1866388136501769E-2</v>
      </c>
      <c r="N272">
        <f ca="1"/>
        <v>0.2031267898990792</v>
      </c>
      <c r="O272">
        <f ca="1"/>
        <v>0</v>
      </c>
      <c r="P272">
        <f ca="1"/>
        <v>72.314355832319706</v>
      </c>
      <c r="Q272">
        <f ca="1"/>
        <v>66.914257831854286</v>
      </c>
      <c r="R272">
        <f ca="1"/>
        <v>0</v>
      </c>
      <c r="S272">
        <f ca="1"/>
        <v>0.26291075099168287</v>
      </c>
      <c r="T272">
        <f ca="1"/>
        <v>0</v>
      </c>
      <c r="U272">
        <f ca="1"/>
        <v>0</v>
      </c>
      <c r="V272">
        <f ca="1"/>
        <v>0.99671306985041985</v>
      </c>
      <c r="X272" s="2">
        <f t="shared" ca="1" si="29"/>
        <v>45385</v>
      </c>
      <c r="Y272">
        <f t="shared" ca="1" si="30"/>
        <v>0</v>
      </c>
      <c r="AA272" s="63">
        <f t="shared" ref="AA272:AA335" ca="1" si="32">K271+M272+N272+O272</f>
        <v>-44.41991617249959</v>
      </c>
      <c r="AB272" s="63">
        <f t="shared" ref="AB272:AB335" ca="1" si="33">K272+L272+R272</f>
        <v>-44.41991617249959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45386</v>
      </c>
      <c r="K273">
        <f ca="1"/>
        <v>-48.476684042081445</v>
      </c>
      <c r="L273">
        <f ca="1"/>
        <v>2.1143726414220509</v>
      </c>
      <c r="M273">
        <f ca="1"/>
        <v>-1.9026521747072422E-2</v>
      </c>
      <c r="N273">
        <f ca="1"/>
        <v>0.19851920712821469</v>
      </c>
      <c r="O273">
        <f ca="1"/>
        <v>0</v>
      </c>
      <c r="P273">
        <f ca="1"/>
        <v>74.428728473741756</v>
      </c>
      <c r="Q273">
        <f ca="1"/>
        <v>68.87073900979351</v>
      </c>
      <c r="R273">
        <f ca="1"/>
        <v>0</v>
      </c>
      <c r="S273">
        <f ca="1"/>
        <v>0.26139698932824346</v>
      </c>
      <c r="T273">
        <f ca="1"/>
        <v>0</v>
      </c>
      <c r="U273">
        <f ca="1"/>
        <v>0</v>
      </c>
      <c r="V273">
        <f ca="1"/>
        <v>0.99704884414634343</v>
      </c>
      <c r="X273" s="2">
        <f t="shared" ca="1" si="29"/>
        <v>45386</v>
      </c>
      <c r="Y273">
        <f t="shared" ca="1" si="30"/>
        <v>0</v>
      </c>
      <c r="AA273" s="63">
        <f t="shared" ca="1" si="32"/>
        <v>-46.362311400659394</v>
      </c>
      <c r="AB273" s="63">
        <f t="shared" ca="1" si="33"/>
        <v>-46.362311400659394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45387</v>
      </c>
      <c r="K274">
        <f ca="1"/>
        <v>-50.457570772213224</v>
      </c>
      <c r="L274">
        <f ca="1"/>
        <v>2.1676639388154513</v>
      </c>
      <c r="M274">
        <f ca="1"/>
        <v>-1.7881788282998912E-2</v>
      </c>
      <c r="N274">
        <f ca="1"/>
        <v>0.20465899696667347</v>
      </c>
      <c r="O274">
        <f ca="1"/>
        <v>0</v>
      </c>
      <c r="P274">
        <f ca="1"/>
        <v>76.596392412557208</v>
      </c>
      <c r="Q274">
        <f ca="1"/>
        <v>70.876531940190915</v>
      </c>
      <c r="R274">
        <f ca="1"/>
        <v>0</v>
      </c>
      <c r="S274">
        <f ca="1"/>
        <v>0.27763203031272349</v>
      </c>
      <c r="T274">
        <f ca="1"/>
        <v>0</v>
      </c>
      <c r="U274">
        <f ca="1"/>
        <v>0</v>
      </c>
      <c r="V274">
        <f ca="1"/>
        <v>0.99735351908552861</v>
      </c>
      <c r="X274" s="2">
        <f t="shared" ca="1" si="29"/>
        <v>45387</v>
      </c>
      <c r="Y274">
        <f t="shared" ca="1" si="30"/>
        <v>0</v>
      </c>
      <c r="AA274" s="63">
        <f t="shared" ca="1" si="32"/>
        <v>-48.289906833397772</v>
      </c>
      <c r="AB274" s="63">
        <f t="shared" ca="1" si="33"/>
        <v>-48.289906833397772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45388</v>
      </c>
      <c r="K275">
        <f ca="1"/>
        <v>-52.442569595949998</v>
      </c>
      <c r="L275">
        <f ca="1"/>
        <v>2.1796119275465884</v>
      </c>
      <c r="M275">
        <f ca="1"/>
        <v>-1.7094289389874007E-2</v>
      </c>
      <c r="N275">
        <f ca="1"/>
        <v>0.21170739319968843</v>
      </c>
      <c r="O275">
        <f ca="1"/>
        <v>0</v>
      </c>
      <c r="P275">
        <f ca="1"/>
        <v>78.776004340103796</v>
      </c>
      <c r="Q275">
        <f ca="1"/>
        <v>72.893380639381746</v>
      </c>
      <c r="R275">
        <f ca="1"/>
        <v>0</v>
      </c>
      <c r="S275">
        <f ca="1"/>
        <v>0.31483719928218457</v>
      </c>
      <c r="T275">
        <f ca="1"/>
        <v>0</v>
      </c>
      <c r="U275">
        <f ca="1"/>
        <v>0</v>
      </c>
      <c r="V275">
        <f ca="1"/>
        <v>0.99762482208341552</v>
      </c>
      <c r="X275" s="2">
        <f t="shared" ca="1" si="29"/>
        <v>45388</v>
      </c>
      <c r="Y275">
        <f t="shared" ca="1" si="30"/>
        <v>0</v>
      </c>
      <c r="AA275" s="63">
        <f t="shared" ca="1" si="32"/>
        <v>-50.262957668403409</v>
      </c>
      <c r="AB275" s="63">
        <f t="shared" ca="1" si="33"/>
        <v>-50.262957668403409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45389</v>
      </c>
      <c r="K276">
        <f ca="1"/>
        <v>-54.454503576092783</v>
      </c>
      <c r="L276">
        <f ca="1"/>
        <v>2.2117799482818441</v>
      </c>
      <c r="M276">
        <f ca="1"/>
        <v>-1.4277842551713604E-2</v>
      </c>
      <c r="N276">
        <f ca="1"/>
        <v>0.2141238106907703</v>
      </c>
      <c r="O276">
        <f ca="1"/>
        <v>0</v>
      </c>
      <c r="P276">
        <f ca="1"/>
        <v>80.98778428838564</v>
      </c>
      <c r="Q276">
        <f ca="1"/>
        <v>74.939995201915281</v>
      </c>
      <c r="R276">
        <f ca="1"/>
        <v>0</v>
      </c>
      <c r="S276">
        <f ca="1"/>
        <v>0.32220894515179321</v>
      </c>
      <c r="T276">
        <f ca="1"/>
        <v>0</v>
      </c>
      <c r="U276">
        <f ca="1"/>
        <v>0</v>
      </c>
      <c r="V276">
        <f ca="1"/>
        <v>0.99786890872188128</v>
      </c>
      <c r="X276" s="2">
        <f t="shared" ca="1" si="29"/>
        <v>45389</v>
      </c>
      <c r="Y276">
        <f t="shared" ca="1" si="30"/>
        <v>0</v>
      </c>
      <c r="AA276" s="63">
        <f t="shared" ca="1" si="32"/>
        <v>-52.242723627810939</v>
      </c>
      <c r="AB276" s="63">
        <f t="shared" ca="1" si="33"/>
        <v>-52.242723627810939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45390</v>
      </c>
      <c r="K277">
        <f ca="1"/>
        <v>-56.397090407679592</v>
      </c>
      <c r="L277">
        <f ca="1"/>
        <v>2.1398102778211552</v>
      </c>
      <c r="M277">
        <f ca="1"/>
        <v>-1.1282217887639945E-2</v>
      </c>
      <c r="N277">
        <f ca="1"/>
        <v>0.20850566412198973</v>
      </c>
      <c r="O277">
        <f ca="1"/>
        <v>0</v>
      </c>
      <c r="P277">
        <f ca="1"/>
        <v>83.127594566206795</v>
      </c>
      <c r="Q277">
        <f ca="1"/>
        <v>76.920014452496545</v>
      </c>
      <c r="R277">
        <f ca="1"/>
        <v>0</v>
      </c>
      <c r="S277">
        <f ca="1"/>
        <v>0.34199906759279353</v>
      </c>
      <c r="T277">
        <f ca="1"/>
        <v>0</v>
      </c>
      <c r="U277">
        <f ca="1"/>
        <v>0</v>
      </c>
      <c r="V277">
        <f ca="1"/>
        <v>0.9980789487493712</v>
      </c>
      <c r="X277" s="2">
        <f t="shared" ca="1" si="29"/>
        <v>45390</v>
      </c>
      <c r="Y277">
        <f t="shared" ca="1" si="30"/>
        <v>0</v>
      </c>
      <c r="AA277" s="63">
        <f t="shared" ca="1" si="32"/>
        <v>-54.257280129858437</v>
      </c>
      <c r="AB277" s="63">
        <f t="shared" ca="1" si="33"/>
        <v>-54.257280129858437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45391</v>
      </c>
      <c r="K278">
        <f ca="1"/>
        <v>-58.199673574473074</v>
      </c>
      <c r="L278">
        <f ca="1"/>
        <v>1.9859966965468487</v>
      </c>
      <c r="M278">
        <f ca="1"/>
        <v>-7.6894999481567083E-3</v>
      </c>
      <c r="N278">
        <f ca="1"/>
        <v>0.19110302970152176</v>
      </c>
      <c r="O278">
        <f ca="1"/>
        <v>0</v>
      </c>
      <c r="P278">
        <f ca="1"/>
        <v>85.113591262753644</v>
      </c>
      <c r="Q278">
        <f ca="1"/>
        <v>78.75770620092463</v>
      </c>
      <c r="R278">
        <f ca="1"/>
        <v>0</v>
      </c>
      <c r="S278">
        <f ca="1"/>
        <v>0.3461056189980124</v>
      </c>
      <c r="T278">
        <f ca="1"/>
        <v>0</v>
      </c>
      <c r="U278">
        <f ca="1"/>
        <v>0</v>
      </c>
      <c r="V278">
        <f ca="1"/>
        <v>0.99825372046094196</v>
      </c>
      <c r="X278" s="2">
        <f t="shared" ca="1" si="29"/>
        <v>45391</v>
      </c>
      <c r="Y278">
        <f t="shared" ca="1" si="30"/>
        <v>0</v>
      </c>
      <c r="AA278" s="63">
        <f t="shared" ca="1" si="32"/>
        <v>-56.213676877926225</v>
      </c>
      <c r="AB278" s="63">
        <f t="shared" ca="1" si="33"/>
        <v>-56.213676877926225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45392</v>
      </c>
      <c r="K279">
        <f ca="1"/>
        <v>-60.056978591997115</v>
      </c>
      <c r="L279">
        <f ca="1"/>
        <v>2.0457481955017727</v>
      </c>
      <c r="M279">
        <f ca="1"/>
        <v>-4.8628345015160335E-3</v>
      </c>
      <c r="N279">
        <f ca="1"/>
        <v>0.19330601247925072</v>
      </c>
      <c r="O279">
        <f ca="1"/>
        <v>0</v>
      </c>
      <c r="P279">
        <f ca="1"/>
        <v>87.159339458255417</v>
      </c>
      <c r="Q279">
        <f ca="1"/>
        <v>80.650687485723353</v>
      </c>
      <c r="R279">
        <f ca="1"/>
        <v>0</v>
      </c>
      <c r="S279">
        <f ca="1"/>
        <v>0.33702715777810371</v>
      </c>
      <c r="T279">
        <f ca="1"/>
        <v>0</v>
      </c>
      <c r="U279">
        <f ca="1"/>
        <v>0</v>
      </c>
      <c r="V279">
        <f ca="1"/>
        <v>0.99841581365738719</v>
      </c>
      <c r="X279" s="2">
        <f t="shared" ca="1" si="29"/>
        <v>45392</v>
      </c>
      <c r="Y279">
        <f t="shared" ca="1" si="30"/>
        <v>0</v>
      </c>
      <c r="AA279" s="63">
        <f t="shared" ca="1" si="32"/>
        <v>-58.011230396495343</v>
      </c>
      <c r="AB279" s="63">
        <f t="shared" ca="1" si="33"/>
        <v>-58.011230396495343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45393</v>
      </c>
      <c r="K280">
        <f ca="1"/>
        <v>-61.90422887928635</v>
      </c>
      <c r="L280">
        <f ca="1"/>
        <v>2.0356298157177406</v>
      </c>
      <c r="M280">
        <f ca="1"/>
        <v>-2.1969374786721119E-3</v>
      </c>
      <c r="N280">
        <f ca="1"/>
        <v>0.19057646590717484</v>
      </c>
      <c r="O280">
        <f ca="1"/>
        <v>0</v>
      </c>
      <c r="P280">
        <f ca="1"/>
        <v>89.194969273973157</v>
      </c>
      <c r="Q280">
        <f ca="1"/>
        <v>82.534305984033608</v>
      </c>
      <c r="R280">
        <f ca="1"/>
        <v>0</v>
      </c>
      <c r="S280">
        <f ca="1"/>
        <v>0.33682383161146245</v>
      </c>
      <c r="T280">
        <f ca="1"/>
        <v>0</v>
      </c>
      <c r="U280">
        <f ca="1"/>
        <v>0</v>
      </c>
      <c r="V280">
        <f ca="1"/>
        <v>0.99856107081195544</v>
      </c>
      <c r="X280" s="2">
        <f t="shared" ca="1" si="29"/>
        <v>45393</v>
      </c>
      <c r="Y280">
        <f t="shared" ca="1" si="30"/>
        <v>0</v>
      </c>
      <c r="AA280" s="63">
        <f t="shared" ca="1" si="32"/>
        <v>-59.86859906356861</v>
      </c>
      <c r="AB280" s="63">
        <f t="shared" ca="1" si="33"/>
        <v>-59.86859906356861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45394</v>
      </c>
      <c r="K281">
        <f ca="1"/>
        <v>-63.838385306538903</v>
      </c>
      <c r="L281">
        <f ca="1"/>
        <v>2.1313946102985</v>
      </c>
      <c r="M281">
        <f ca="1"/>
        <v>3.3804123179947965E-4</v>
      </c>
      <c r="N281">
        <f ca="1"/>
        <v>0.19690014181414811</v>
      </c>
      <c r="O281">
        <f ca="1"/>
        <v>0</v>
      </c>
      <c r="P281">
        <f ca="1"/>
        <v>91.326363884271657</v>
      </c>
      <c r="Q281">
        <f ca="1"/>
        <v>84.506538009796827</v>
      </c>
      <c r="R281">
        <f ca="1"/>
        <v>0</v>
      </c>
      <c r="S281">
        <f ca="1"/>
        <v>0.3292339614223817</v>
      </c>
      <c r="T281">
        <f ca="1"/>
        <v>0</v>
      </c>
      <c r="U281">
        <f ca="1"/>
        <v>0</v>
      </c>
      <c r="V281">
        <f ca="1"/>
        <v>0.99869795811293649</v>
      </c>
      <c r="X281" s="2">
        <f t="shared" ca="1" si="29"/>
        <v>45394</v>
      </c>
      <c r="Y281">
        <f t="shared" ca="1" si="30"/>
        <v>0</v>
      </c>
      <c r="AA281" s="63">
        <f t="shared" ca="1" si="32"/>
        <v>-61.706990696240403</v>
      </c>
      <c r="AB281" s="63">
        <f t="shared" ca="1" si="33"/>
        <v>-61.706990696240403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45395</v>
      </c>
      <c r="K282">
        <f ca="1"/>
        <v>-65.721774066018043</v>
      </c>
      <c r="L282">
        <f ca="1"/>
        <v>2.0735846269367073</v>
      </c>
      <c r="M282">
        <f ca="1"/>
        <v>2.6044312846451589E-3</v>
      </c>
      <c r="N282">
        <f ca="1"/>
        <v>0.18759143617292098</v>
      </c>
      <c r="O282">
        <f ca="1"/>
        <v>0</v>
      </c>
      <c r="P282">
        <f ca="1"/>
        <v>93.399948511208365</v>
      </c>
      <c r="Q282">
        <f ca="1"/>
        <v>86.425277031475261</v>
      </c>
      <c r="R282">
        <f ca="1"/>
        <v>0</v>
      </c>
      <c r="S282">
        <f ca="1"/>
        <v>0.31962825867595657</v>
      </c>
      <c r="T282">
        <f ca="1"/>
        <v>0</v>
      </c>
      <c r="U282">
        <f ca="1"/>
        <v>0</v>
      </c>
      <c r="V282">
        <f ca="1"/>
        <v>0.99881787225046048</v>
      </c>
      <c r="X282" s="2">
        <f t="shared" ca="1" si="29"/>
        <v>45395</v>
      </c>
      <c r="Y282">
        <f t="shared" ca="1" si="30"/>
        <v>0</v>
      </c>
      <c r="AA282" s="63">
        <f t="shared" ca="1" si="32"/>
        <v>-63.648189439081335</v>
      </c>
      <c r="AB282" s="63">
        <f t="shared" ca="1" si="33"/>
        <v>-63.648189439081335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45396</v>
      </c>
      <c r="K283">
        <f ca="1"/>
        <v>-67.777942570024862</v>
      </c>
      <c r="L283">
        <f ca="1"/>
        <v>2.2603502560332061</v>
      </c>
      <c r="M283">
        <f ca="1"/>
        <v>4.7148248876922594E-3</v>
      </c>
      <c r="N283">
        <f ca="1"/>
        <v>0.19946692713870159</v>
      </c>
      <c r="O283">
        <f ca="1"/>
        <v>0</v>
      </c>
      <c r="P283">
        <f ca="1"/>
        <v>95.660298767241571</v>
      </c>
      <c r="Q283">
        <f ca="1"/>
        <v>88.516834898259248</v>
      </c>
      <c r="R283">
        <f ca="1"/>
        <v>0</v>
      </c>
      <c r="S283">
        <f ca="1"/>
        <v>0.2967228077868021</v>
      </c>
      <c r="T283">
        <f ca="1"/>
        <v>0</v>
      </c>
      <c r="U283">
        <f ca="1"/>
        <v>0</v>
      </c>
      <c r="V283">
        <f ca="1"/>
        <v>0.99893537743005412</v>
      </c>
      <c r="X283" s="2">
        <f t="shared" ca="1" si="29"/>
        <v>45396</v>
      </c>
      <c r="Y283">
        <f t="shared" ca="1" si="30"/>
        <v>0</v>
      </c>
      <c r="AA283" s="63">
        <f t="shared" ca="1" si="32"/>
        <v>-65.517592313991656</v>
      </c>
      <c r="AB283" s="63">
        <f t="shared" ca="1" si="33"/>
        <v>-65.517592313991656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45397</v>
      </c>
      <c r="K284">
        <f ca="1"/>
        <v>-69.783939365362215</v>
      </c>
      <c r="L284">
        <f ca="1"/>
        <v>2.2032654838034773</v>
      </c>
      <c r="M284">
        <f ca="1"/>
        <v>6.3676477998768632E-3</v>
      </c>
      <c r="N284">
        <f ca="1"/>
        <v>0.19090104066625244</v>
      </c>
      <c r="O284">
        <f ca="1"/>
        <v>0</v>
      </c>
      <c r="P284">
        <f ca="1"/>
        <v>97.863564251045048</v>
      </c>
      <c r="Q284">
        <f ca="1"/>
        <v>90.555570816713768</v>
      </c>
      <c r="R284">
        <f ca="1"/>
        <v>0</v>
      </c>
      <c r="S284">
        <f ca="1"/>
        <v>0.28852048663413832</v>
      </c>
      <c r="T284">
        <f ca="1"/>
        <v>0</v>
      </c>
      <c r="U284">
        <f ca="1"/>
        <v>0</v>
      </c>
      <c r="V284">
        <f ca="1"/>
        <v>0.99903814687736769</v>
      </c>
      <c r="X284" s="2">
        <f t="shared" ca="1" si="29"/>
        <v>45397</v>
      </c>
      <c r="Y284">
        <f t="shared" ca="1" si="30"/>
        <v>0</v>
      </c>
      <c r="AA284" s="63">
        <f t="shared" ca="1" si="32"/>
        <v>-67.580673881558738</v>
      </c>
      <c r="AB284" s="63">
        <f t="shared" ca="1" si="33"/>
        <v>-67.580673881558738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45398</v>
      </c>
      <c r="K285">
        <f ca="1"/>
        <v>-71.835462724090235</v>
      </c>
      <c r="L285">
        <f ca="1"/>
        <v>2.2553970897928508</v>
      </c>
      <c r="M285">
        <f ca="1"/>
        <v>8.3910547371885968E-3</v>
      </c>
      <c r="N285">
        <f ca="1"/>
        <v>0.19548267632764815</v>
      </c>
      <c r="O285">
        <f ca="1"/>
        <v>0</v>
      </c>
      <c r="P285">
        <f ca="1"/>
        <v>100.1189613408379</v>
      </c>
      <c r="Q285">
        <f ca="1"/>
        <v>92.642545396554553</v>
      </c>
      <c r="R285">
        <f ca="1"/>
        <v>0</v>
      </c>
      <c r="S285">
        <f ca="1"/>
        <v>0.29095509543873449</v>
      </c>
      <c r="T285">
        <f ca="1"/>
        <v>0</v>
      </c>
      <c r="U285">
        <f ca="1"/>
        <v>0</v>
      </c>
      <c r="V285">
        <f ca="1"/>
        <v>0.99913268269370326</v>
      </c>
      <c r="X285" s="2">
        <f t="shared" ca="1" si="29"/>
        <v>45398</v>
      </c>
      <c r="Y285">
        <f t="shared" ca="1" si="30"/>
        <v>0</v>
      </c>
      <c r="AA285" s="63">
        <f t="shared" ca="1" si="32"/>
        <v>-69.580065634297384</v>
      </c>
      <c r="AB285" s="63">
        <f t="shared" ca="1" si="33"/>
        <v>-69.580065634297384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45399</v>
      </c>
      <c r="K286">
        <f ca="1"/>
        <v>-73.777386498006905</v>
      </c>
      <c r="L286">
        <f ca="1"/>
        <v>2.1330464783705452</v>
      </c>
      <c r="M286">
        <f ca="1"/>
        <v>9.440938932684162E-3</v>
      </c>
      <c r="N286">
        <f ca="1"/>
        <v>0.18168176552119056</v>
      </c>
      <c r="O286">
        <f ca="1"/>
        <v>0</v>
      </c>
      <c r="P286">
        <f ca="1"/>
        <v>102.25200781920844</v>
      </c>
      <c r="Q286">
        <f ca="1"/>
        <v>94.616305936605229</v>
      </c>
      <c r="R286">
        <f ca="1"/>
        <v>0</v>
      </c>
      <c r="S286">
        <f ca="1"/>
        <v>0.28388886549385578</v>
      </c>
      <c r="T286">
        <f ca="1"/>
        <v>0</v>
      </c>
      <c r="U286">
        <f ca="1"/>
        <v>0</v>
      </c>
      <c r="V286">
        <f ca="1"/>
        <v>0.99921325313976328</v>
      </c>
      <c r="X286" s="2">
        <f t="shared" ca="1" si="29"/>
        <v>45399</v>
      </c>
      <c r="Y286">
        <f t="shared" ca="1" si="30"/>
        <v>0</v>
      </c>
      <c r="AA286" s="63">
        <f t="shared" ca="1" si="32"/>
        <v>-71.64434001963636</v>
      </c>
      <c r="AB286" s="63">
        <f t="shared" ca="1" si="33"/>
        <v>-71.64434001963636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45400</v>
      </c>
      <c r="K287">
        <f ca="1"/>
        <v>-75.744977811284102</v>
      </c>
      <c r="L287">
        <f ca="1"/>
        <v>2.1592308906493116</v>
      </c>
      <c r="M287">
        <f ca="1"/>
        <v>1.0571256155039066E-2</v>
      </c>
      <c r="N287">
        <f ca="1"/>
        <v>0.1810683212170757</v>
      </c>
      <c r="O287">
        <f ca="1"/>
        <v>0</v>
      </c>
      <c r="P287">
        <f ca="1"/>
        <v>104.41123870985776</v>
      </c>
      <c r="Q287">
        <f ca="1"/>
        <v>96.61429555944629</v>
      </c>
      <c r="R287">
        <f ca="1"/>
        <v>0</v>
      </c>
      <c r="S287">
        <f ca="1"/>
        <v>0.27178881599574461</v>
      </c>
      <c r="T287">
        <f ca="1"/>
        <v>0</v>
      </c>
      <c r="U287">
        <f ca="1"/>
        <v>0</v>
      </c>
      <c r="V287">
        <f ca="1"/>
        <v>0.99928700382944702</v>
      </c>
      <c r="X287" s="2">
        <f t="shared" ca="1" si="29"/>
        <v>45400</v>
      </c>
      <c r="Y287">
        <f t="shared" ca="1" si="30"/>
        <v>0</v>
      </c>
      <c r="AA287" s="63">
        <f t="shared" ca="1" si="32"/>
        <v>-73.585746920634804</v>
      </c>
      <c r="AB287" s="63">
        <f t="shared" ca="1" si="33"/>
        <v>-73.58574692063479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45401</v>
      </c>
      <c r="K288">
        <f ca="1"/>
        <v>-77.778309559171007</v>
      </c>
      <c r="L288">
        <f ca="1"/>
        <v>2.2338276838190865</v>
      </c>
      <c r="M288">
        <f ca="1"/>
        <v>1.2436331028901293E-2</v>
      </c>
      <c r="N288">
        <f ca="1"/>
        <v>0.1880596049032886</v>
      </c>
      <c r="O288">
        <f ca="1"/>
        <v>0</v>
      </c>
      <c r="P288">
        <f ca="1"/>
        <v>106.64506639367684</v>
      </c>
      <c r="Q288">
        <f ca="1"/>
        <v>98.681311435707471</v>
      </c>
      <c r="R288">
        <f ca="1"/>
        <v>0</v>
      </c>
      <c r="S288">
        <f ca="1"/>
        <v>0.27441722822415077</v>
      </c>
      <c r="T288">
        <f ca="1"/>
        <v>0</v>
      </c>
      <c r="U288">
        <f ca="1"/>
        <v>0</v>
      </c>
      <c r="V288">
        <f ca="1"/>
        <v>0.9993559063439188</v>
      </c>
      <c r="X288" s="2">
        <f t="shared" ca="1" si="29"/>
        <v>45401</v>
      </c>
      <c r="Y288">
        <f t="shared" ca="1" si="30"/>
        <v>0</v>
      </c>
      <c r="AA288" s="63">
        <f t="shared" ca="1" si="32"/>
        <v>-75.54448187535192</v>
      </c>
      <c r="AB288" s="63">
        <f t="shared" ca="1" si="33"/>
        <v>-75.54448187535192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45402</v>
      </c>
      <c r="K289">
        <f ca="1"/>
        <v>-79.661644652284707</v>
      </c>
      <c r="L289">
        <f ca="1"/>
        <v>2.0700565860732212</v>
      </c>
      <c r="M289">
        <f ca="1"/>
        <v>1.3165670786108308E-2</v>
      </c>
      <c r="N289">
        <f ca="1"/>
        <v>0.17355582217341189</v>
      </c>
      <c r="O289">
        <f ca="1"/>
        <v>0</v>
      </c>
      <c r="P289">
        <f ca="1"/>
        <v>108.71512297975006</v>
      </c>
      <c r="Q289">
        <f ca="1"/>
        <v>100.59678587411938</v>
      </c>
      <c r="R289">
        <f ca="1"/>
        <v>0</v>
      </c>
      <c r="S289">
        <f ca="1"/>
        <v>0.27734027472217782</v>
      </c>
      <c r="T289">
        <f ca="1"/>
        <v>0</v>
      </c>
      <c r="U289">
        <f ca="1"/>
        <v>0</v>
      </c>
      <c r="V289">
        <f ca="1"/>
        <v>0.99941373498163988</v>
      </c>
      <c r="X289" s="2">
        <f t="shared" ca="1" si="29"/>
        <v>45402</v>
      </c>
      <c r="Y289">
        <f t="shared" ca="1" si="30"/>
        <v>0</v>
      </c>
      <c r="AA289" s="63">
        <f t="shared" ca="1" si="32"/>
        <v>-77.591588066211486</v>
      </c>
      <c r="AB289" s="63">
        <f t="shared" ca="1" si="33"/>
        <v>-77.591588066211486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45403</v>
      </c>
      <c r="K290">
        <f ca="1"/>
        <v>-81.515814735637093</v>
      </c>
      <c r="L290">
        <f ca="1"/>
        <v>2.0358104281692562</v>
      </c>
      <c r="M290">
        <f ca="1"/>
        <v>1.357457429860176E-2</v>
      </c>
      <c r="N290">
        <f ca="1"/>
        <v>0.16806577051826158</v>
      </c>
      <c r="O290">
        <f ca="1"/>
        <v>0</v>
      </c>
      <c r="P290">
        <f ca="1"/>
        <v>110.75093340791932</v>
      </c>
      <c r="Q290">
        <f ca="1"/>
        <v>102.4805714975877</v>
      </c>
      <c r="R290">
        <f ca="1"/>
        <v>0</v>
      </c>
      <c r="S290">
        <f ca="1"/>
        <v>0.26460097676174388</v>
      </c>
      <c r="T290">
        <f ca="1"/>
        <v>0</v>
      </c>
      <c r="U290">
        <f ca="1"/>
        <v>0</v>
      </c>
      <c r="V290">
        <f ca="1"/>
        <v>0.99946552125821908</v>
      </c>
      <c r="X290" s="2">
        <f t="shared" ca="1" si="29"/>
        <v>45403</v>
      </c>
      <c r="Y290">
        <f t="shared" ca="1" si="30"/>
        <v>0</v>
      </c>
      <c r="AA290" s="63">
        <f t="shared" ca="1" si="32"/>
        <v>-79.480004307467837</v>
      </c>
      <c r="AB290" s="63">
        <f t="shared" ca="1" si="33"/>
        <v>-79.480004307467837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45404</v>
      </c>
      <c r="K291">
        <f ca="1"/>
        <v>-83.470360533455221</v>
      </c>
      <c r="L291">
        <f ca="1"/>
        <v>2.1444278874436122</v>
      </c>
      <c r="M291">
        <f ca="1"/>
        <v>1.4593219644588373E-2</v>
      </c>
      <c r="N291">
        <f ca="1"/>
        <v>0.17528886998089216</v>
      </c>
      <c r="O291">
        <f ca="1"/>
        <v>0</v>
      </c>
      <c r="P291">
        <f ca="1"/>
        <v>112.89536129536293</v>
      </c>
      <c r="Q291">
        <f ca="1"/>
        <v>104.46486353629363</v>
      </c>
      <c r="R291">
        <f ca="1"/>
        <v>0</v>
      </c>
      <c r="S291">
        <f ca="1"/>
        <v>0.25239512542618414</v>
      </c>
      <c r="T291">
        <f ca="1"/>
        <v>0</v>
      </c>
      <c r="U291">
        <f ca="1"/>
        <v>0</v>
      </c>
      <c r="V291">
        <f ca="1"/>
        <v>0.99951514651904072</v>
      </c>
      <c r="X291" s="2">
        <f t="shared" ca="1" si="29"/>
        <v>45404</v>
      </c>
      <c r="Y291">
        <f t="shared" ca="1" si="30"/>
        <v>0</v>
      </c>
      <c r="AA291" s="63">
        <f t="shared" ca="1" si="32"/>
        <v>-81.325932646011623</v>
      </c>
      <c r="AB291" s="63">
        <f t="shared" ca="1" si="33"/>
        <v>-81.325932646011609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45405</v>
      </c>
      <c r="K292">
        <f ca="1"/>
        <v>-85.321024589987417</v>
      </c>
      <c r="L292">
        <f ca="1"/>
        <v>2.0332616395455432</v>
      </c>
      <c r="M292">
        <f ca="1"/>
        <v>1.5460190927520046E-2</v>
      </c>
      <c r="N292">
        <f ca="1"/>
        <v>0.16713739208583248</v>
      </c>
      <c r="O292">
        <f ca="1"/>
        <v>0</v>
      </c>
      <c r="P292">
        <f ca="1"/>
        <v>114.92862293490847</v>
      </c>
      <c r="Q292">
        <f ca="1"/>
        <v>106.34629070275622</v>
      </c>
      <c r="R292">
        <f ca="1"/>
        <v>0</v>
      </c>
      <c r="S292">
        <f ca="1"/>
        <v>0.25955926017126352</v>
      </c>
      <c r="T292">
        <f ca="1"/>
        <v>0</v>
      </c>
      <c r="U292">
        <f ca="1"/>
        <v>0</v>
      </c>
      <c r="V292">
        <f ca="1"/>
        <v>0.99955797881913488</v>
      </c>
      <c r="X292" s="2">
        <f t="shared" ca="1" si="29"/>
        <v>45405</v>
      </c>
      <c r="Y292">
        <f t="shared" ca="1" si="30"/>
        <v>0</v>
      </c>
      <c r="AA292" s="63">
        <f t="shared" ca="1" si="32"/>
        <v>-83.287762950441873</v>
      </c>
      <c r="AB292" s="63">
        <f t="shared" ca="1" si="33"/>
        <v>-83.287762950441873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45406</v>
      </c>
      <c r="K293">
        <f ca="1"/>
        <v>-87.257709704003986</v>
      </c>
      <c r="L293">
        <f ca="1"/>
        <v>2.1312818985135493</v>
      </c>
      <c r="M293">
        <f ca="1"/>
        <v>1.751995633291159E-2</v>
      </c>
      <c r="N293">
        <f ca="1"/>
        <v>0.17707682816407008</v>
      </c>
      <c r="O293">
        <f ca="1"/>
        <v>0</v>
      </c>
      <c r="P293">
        <f ca="1"/>
        <v>117.05990483342202</v>
      </c>
      <c r="Q293">
        <f ca="1"/>
        <v>108.31841843352362</v>
      </c>
      <c r="R293">
        <f ca="1"/>
        <v>0</v>
      </c>
      <c r="S293">
        <f ca="1"/>
        <v>0.26508119098524829</v>
      </c>
      <c r="T293">
        <f ca="1"/>
        <v>0</v>
      </c>
      <c r="U293">
        <f ca="1"/>
        <v>0</v>
      </c>
      <c r="V293">
        <f ca="1"/>
        <v>0.99959888813906128</v>
      </c>
      <c r="X293" s="2">
        <f t="shared" ca="1" si="29"/>
        <v>45406</v>
      </c>
      <c r="Y293">
        <f t="shared" ca="1" si="30"/>
        <v>0</v>
      </c>
      <c r="AA293" s="63">
        <f t="shared" ca="1" si="32"/>
        <v>-85.126427805490437</v>
      </c>
      <c r="AB293" s="63">
        <f t="shared" ca="1" si="33"/>
        <v>-85.126427805490437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45407</v>
      </c>
      <c r="K294">
        <f ca="1"/>
        <v>-89.21789704779404</v>
      </c>
      <c r="L294">
        <f ca="1"/>
        <v>2.1535493009592557</v>
      </c>
      <c r="M294">
        <f ca="1"/>
        <v>1.7460413471603431E-2</v>
      </c>
      <c r="N294">
        <f ca="1"/>
        <v>0.17590154369759481</v>
      </c>
      <c r="O294">
        <f ca="1"/>
        <v>0</v>
      </c>
      <c r="P294">
        <f ca="1"/>
        <v>119.21345413438128</v>
      </c>
      <c r="Q294">
        <f ca="1"/>
        <v>110.31115074122943</v>
      </c>
      <c r="R294">
        <f ca="1"/>
        <v>0</v>
      </c>
      <c r="S294">
        <f ca="1"/>
        <v>0.24616229171923976</v>
      </c>
      <c r="T294">
        <f ca="1"/>
        <v>0</v>
      </c>
      <c r="U294">
        <f ca="1"/>
        <v>0</v>
      </c>
      <c r="V294">
        <f ca="1"/>
        <v>0.99963647147785117</v>
      </c>
      <c r="X294" s="2">
        <f t="shared" ca="1" si="29"/>
        <v>45407</v>
      </c>
      <c r="Y294">
        <f t="shared" ca="1" si="30"/>
        <v>0</v>
      </c>
      <c r="AA294" s="63">
        <f t="shared" ca="1" si="32"/>
        <v>-87.064347746834784</v>
      </c>
      <c r="AB294" s="63">
        <f t="shared" ca="1" si="33"/>
        <v>-87.064347746834784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45408</v>
      </c>
      <c r="K295">
        <f ca="1"/>
        <v>-91.189187200631139</v>
      </c>
      <c r="L295">
        <f ca="1"/>
        <v>2.1702726969371611</v>
      </c>
      <c r="M295">
        <f ca="1"/>
        <v>1.9271844626942425E-2</v>
      </c>
      <c r="N295">
        <f ca="1"/>
        <v>0.17971069947311888</v>
      </c>
      <c r="O295">
        <f ca="1"/>
        <v>0</v>
      </c>
      <c r="P295">
        <f ca="1"/>
        <v>121.38372683131844</v>
      </c>
      <c r="Q295">
        <f ca="1"/>
        <v>112.31935761988881</v>
      </c>
      <c r="R295">
        <f ca="1"/>
        <v>0</v>
      </c>
      <c r="S295">
        <f ca="1"/>
        <v>0.25487675544484972</v>
      </c>
      <c r="T295">
        <f ca="1"/>
        <v>0</v>
      </c>
      <c r="U295">
        <f ca="1"/>
        <v>0</v>
      </c>
      <c r="V295">
        <f ca="1"/>
        <v>0.99967089447147728</v>
      </c>
      <c r="X295" s="2">
        <f t="shared" ca="1" si="29"/>
        <v>45408</v>
      </c>
      <c r="Y295">
        <f t="shared" ca="1" si="30"/>
        <v>0</v>
      </c>
      <c r="AA295" s="63">
        <f t="shared" ca="1" si="32"/>
        <v>-89.018914503693978</v>
      </c>
      <c r="AB295" s="63">
        <f t="shared" ca="1" si="33"/>
        <v>-89.018914503693978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45409</v>
      </c>
      <c r="K296">
        <f ca="1"/>
        <v>-93.195587337187121</v>
      </c>
      <c r="L296">
        <f ca="1"/>
        <v>2.2160406054672706</v>
      </c>
      <c r="M296">
        <f ca="1"/>
        <v>2.1947488704796569E-2</v>
      </c>
      <c r="N296">
        <f ca="1"/>
        <v>0.18769298020649564</v>
      </c>
      <c r="O296">
        <f ca="1"/>
        <v>0</v>
      </c>
      <c r="P296">
        <f ca="1"/>
        <v>123.59976743678571</v>
      </c>
      <c r="Q296">
        <f ca="1"/>
        <v>114.36991467364911</v>
      </c>
      <c r="R296">
        <f ca="1"/>
        <v>0</v>
      </c>
      <c r="S296">
        <f ca="1"/>
        <v>0.26938634459464711</v>
      </c>
      <c r="T296">
        <f ca="1"/>
        <v>0</v>
      </c>
      <c r="U296">
        <f ca="1"/>
        <v>0</v>
      </c>
      <c r="V296">
        <f ca="1"/>
        <v>0.99970280958954949</v>
      </c>
      <c r="X296" s="2">
        <f t="shared" ca="1" si="29"/>
        <v>45409</v>
      </c>
      <c r="Y296">
        <f t="shared" ca="1" si="30"/>
        <v>0</v>
      </c>
      <c r="AA296" s="63">
        <f t="shared" ca="1" si="32"/>
        <v>-90.97954673171985</v>
      </c>
      <c r="AB296" s="63">
        <f t="shared" ca="1" si="33"/>
        <v>-90.97954673171985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45410</v>
      </c>
      <c r="K297">
        <f ca="1"/>
        <v>-94.956634199783835</v>
      </c>
      <c r="L297">
        <f ca="1"/>
        <v>1.9691789705199625</v>
      </c>
      <c r="M297">
        <f ca="1"/>
        <v>2.7013360853914037E-2</v>
      </c>
      <c r="N297">
        <f ca="1"/>
        <v>0.1811187470693299</v>
      </c>
      <c r="O297">
        <f ca="1"/>
        <v>0</v>
      </c>
      <c r="P297">
        <f ca="1"/>
        <v>125.56894640730567</v>
      </c>
      <c r="Q297">
        <f ca="1"/>
        <v>116.19204456520168</v>
      </c>
      <c r="R297">
        <f ca="1"/>
        <v>0</v>
      </c>
      <c r="S297">
        <f ca="1"/>
        <v>0.34318623111242696</v>
      </c>
      <c r="T297">
        <f ca="1"/>
        <v>0</v>
      </c>
      <c r="U297">
        <f ca="1"/>
        <v>0</v>
      </c>
      <c r="V297">
        <f ca="1"/>
        <v>0.99972868048020791</v>
      </c>
      <c r="X297" s="2">
        <f t="shared" ca="1" si="29"/>
        <v>45410</v>
      </c>
      <c r="Y297">
        <f t="shared" ca="1" si="30"/>
        <v>0</v>
      </c>
      <c r="AA297" s="63">
        <f t="shared" ca="1" si="32"/>
        <v>-92.987455229263873</v>
      </c>
      <c r="AB297" s="63">
        <f t="shared" ca="1" si="33"/>
        <v>-92.987455229263873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45411</v>
      </c>
      <c r="K298">
        <f ca="1"/>
        <v>-96.65565519910821</v>
      </c>
      <c r="L298">
        <f ca="1"/>
        <v>1.908545015963071</v>
      </c>
      <c r="M298">
        <f ca="1"/>
        <v>2.9434279304282995E-2</v>
      </c>
      <c r="N298">
        <f ca="1"/>
        <v>0.18008973733441097</v>
      </c>
      <c r="O298">
        <f ca="1"/>
        <v>0</v>
      </c>
      <c r="P298">
        <f ca="1"/>
        <v>127.47749142326875</v>
      </c>
      <c r="Q298">
        <f ca="1"/>
        <v>117.95806836244024</v>
      </c>
      <c r="R298">
        <f ca="1"/>
        <v>0</v>
      </c>
      <c r="S298">
        <f ca="1"/>
        <v>0.36059862141105087</v>
      </c>
      <c r="T298">
        <f ca="1"/>
        <v>0</v>
      </c>
      <c r="U298">
        <f ca="1"/>
        <v>0</v>
      </c>
      <c r="V298">
        <f ca="1"/>
        <v>0.99975171586294698</v>
      </c>
      <c r="X298" s="2">
        <f t="shared" ca="1" si="29"/>
        <v>45411</v>
      </c>
      <c r="Y298">
        <f t="shared" ca="1" si="30"/>
        <v>0</v>
      </c>
      <c r="AA298" s="63">
        <f t="shared" ca="1" si="32"/>
        <v>-94.747110183145139</v>
      </c>
      <c r="AB298" s="63">
        <f t="shared" ca="1" si="33"/>
        <v>-94.747110183145139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45412</v>
      </c>
      <c r="K299">
        <f ca="1"/>
        <v>-98.289564478947383</v>
      </c>
      <c r="L299">
        <f ca="1"/>
        <v>1.8350415434985763</v>
      </c>
      <c r="M299">
        <f ca="1"/>
        <v>2.9318809286969838E-2</v>
      </c>
      <c r="N299">
        <f ca="1"/>
        <v>0.17181345437242823</v>
      </c>
      <c r="O299">
        <f ca="1"/>
        <v>0</v>
      </c>
      <c r="P299">
        <f ca="1"/>
        <v>129.31253296676732</v>
      </c>
      <c r="Q299">
        <f ca="1"/>
        <v>119.65607758288535</v>
      </c>
      <c r="R299">
        <f ca="1"/>
        <v>0</v>
      </c>
      <c r="S299">
        <f ca="1"/>
        <v>0.34986217080913706</v>
      </c>
      <c r="T299">
        <f ca="1"/>
        <v>0</v>
      </c>
      <c r="U299">
        <f ca="1"/>
        <v>0</v>
      </c>
      <c r="V299">
        <f ca="1"/>
        <v>0.99977212619027234</v>
      </c>
      <c r="X299" s="2">
        <f t="shared" ca="1" si="29"/>
        <v>45412</v>
      </c>
      <c r="Y299">
        <f t="shared" ca="1" si="30"/>
        <v>0</v>
      </c>
      <c r="AA299" s="63">
        <f t="shared" ca="1" si="32"/>
        <v>-96.454522935448807</v>
      </c>
      <c r="AB299" s="63">
        <f t="shared" ca="1" si="33"/>
        <v>-96.454522935448807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45413</v>
      </c>
      <c r="K300">
        <f ca="1"/>
        <v>-99.933633009851491</v>
      </c>
      <c r="L300">
        <f ca="1"/>
        <v>1.845414740988474</v>
      </c>
      <c r="M300">
        <f ca="1"/>
        <v>2.990495832872142E-2</v>
      </c>
      <c r="N300">
        <f ca="1"/>
        <v>0.17144125175563432</v>
      </c>
      <c r="O300">
        <f ca="1"/>
        <v>0</v>
      </c>
      <c r="P300">
        <f ca="1"/>
        <v>131.1579477077558</v>
      </c>
      <c r="Q300">
        <f ca="1"/>
        <v>121.36368537892987</v>
      </c>
      <c r="R300">
        <f ca="1"/>
        <v>0</v>
      </c>
      <c r="S300">
        <f ca="1"/>
        <v>0.33838453793789042</v>
      </c>
      <c r="T300">
        <f ca="1"/>
        <v>0</v>
      </c>
      <c r="U300">
        <f ca="1"/>
        <v>0</v>
      </c>
      <c r="V300">
        <f ca="1"/>
        <v>0.99979106999115097</v>
      </c>
      <c r="X300" s="2">
        <f t="shared" ca="1" si="29"/>
        <v>45413</v>
      </c>
      <c r="Y300">
        <f t="shared" ca="1" si="30"/>
        <v>0</v>
      </c>
      <c r="AA300" s="63">
        <f t="shared" ca="1" si="32"/>
        <v>-98.088218268863031</v>
      </c>
      <c r="AB300" s="63">
        <f t="shared" ca="1" si="33"/>
        <v>-98.088218268863017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45414</v>
      </c>
      <c r="K301">
        <f ca="1"/>
        <v>-101.56085022017524</v>
      </c>
      <c r="L301">
        <f ca="1"/>
        <v>1.8242877261348553</v>
      </c>
      <c r="M301">
        <f ca="1"/>
        <v>2.9595532399355307E-2</v>
      </c>
      <c r="N301">
        <f ca="1"/>
        <v>0.16747498341175265</v>
      </c>
      <c r="O301">
        <f ca="1"/>
        <v>0</v>
      </c>
      <c r="P301">
        <f ca="1"/>
        <v>132.98223543389065</v>
      </c>
      <c r="Q301">
        <f ca="1"/>
        <v>123.05174382681442</v>
      </c>
      <c r="R301">
        <f ca="1"/>
        <v>0</v>
      </c>
      <c r="S301">
        <f ca="1"/>
        <v>0.32283311489060218</v>
      </c>
      <c r="T301">
        <f ca="1"/>
        <v>0</v>
      </c>
      <c r="U301">
        <f ca="1"/>
        <v>0</v>
      </c>
      <c r="V301">
        <f ca="1"/>
        <v>0.99980835866970652</v>
      </c>
      <c r="X301" s="2">
        <f t="shared" ca="1" si="29"/>
        <v>45414</v>
      </c>
      <c r="Y301">
        <f t="shared" ca="1" si="30"/>
        <v>0</v>
      </c>
      <c r="AA301" s="63">
        <f t="shared" ca="1" si="32"/>
        <v>-99.736562494040385</v>
      </c>
      <c r="AB301" s="63">
        <f t="shared" ca="1" si="33"/>
        <v>-99.736562494040385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45415</v>
      </c>
      <c r="K302">
        <f ca="1"/>
        <v>-103.25828979068604</v>
      </c>
      <c r="L302">
        <f ca="1"/>
        <v>1.9060234474027595</v>
      </c>
      <c r="M302">
        <f ca="1"/>
        <v>3.1974251948412302E-2</v>
      </c>
      <c r="N302">
        <f ca="1"/>
        <v>0.17660962494354987</v>
      </c>
      <c r="O302">
        <f ca="1"/>
        <v>0</v>
      </c>
      <c r="P302">
        <f ca="1"/>
        <v>134.88825888129341</v>
      </c>
      <c r="Q302">
        <f ca="1"/>
        <v>124.81543435444358</v>
      </c>
      <c r="R302">
        <f ca="1"/>
        <v>0</v>
      </c>
      <c r="S302">
        <f ca="1"/>
        <v>0.32369599527241855</v>
      </c>
      <c r="T302">
        <f ca="1"/>
        <v>0</v>
      </c>
      <c r="U302">
        <f ca="1"/>
        <v>0</v>
      </c>
      <c r="V302">
        <f ca="1"/>
        <v>0.99982501352362485</v>
      </c>
      <c r="X302" s="2">
        <f t="shared" ca="1" si="29"/>
        <v>45415</v>
      </c>
      <c r="Y302">
        <f t="shared" ca="1" si="30"/>
        <v>0</v>
      </c>
      <c r="AA302" s="63">
        <f t="shared" ca="1" si="32"/>
        <v>-101.35226634328328</v>
      </c>
      <c r="AB302" s="63">
        <f t="shared" ca="1" si="33"/>
        <v>-101.35226634328328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45416</v>
      </c>
      <c r="K303">
        <f ca="1"/>
        <v>-104.93557685438498</v>
      </c>
      <c r="L303">
        <f ca="1"/>
        <v>1.8834459372175161</v>
      </c>
      <c r="M303">
        <f ca="1"/>
        <v>3.209441117824241E-2</v>
      </c>
      <c r="N303">
        <f ca="1"/>
        <v>0.17406446234033518</v>
      </c>
      <c r="O303">
        <f ca="1"/>
        <v>0</v>
      </c>
      <c r="P303">
        <f ca="1"/>
        <v>136.77170481851093</v>
      </c>
      <c r="Q303">
        <f ca="1"/>
        <v>126.55823335479096</v>
      </c>
      <c r="R303">
        <f ca="1"/>
        <v>0</v>
      </c>
      <c r="S303">
        <f ca="1"/>
        <v>0.31462508398982619</v>
      </c>
      <c r="T303">
        <f ca="1"/>
        <v>0</v>
      </c>
      <c r="U303">
        <f ca="1"/>
        <v>0</v>
      </c>
      <c r="V303">
        <f ca="1"/>
        <v>0.99984016743311632</v>
      </c>
      <c r="X303" s="2">
        <f t="shared" ca="1" si="29"/>
        <v>45416</v>
      </c>
      <c r="Y303">
        <f t="shared" ca="1" si="30"/>
        <v>0</v>
      </c>
      <c r="AA303" s="63">
        <f t="shared" ca="1" si="32"/>
        <v>-103.05213091716746</v>
      </c>
      <c r="AB303" s="63">
        <f t="shared" ca="1" si="33"/>
        <v>-103.05213091716746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45417</v>
      </c>
      <c r="K304">
        <f ca="1"/>
        <v>-106.70936975418391</v>
      </c>
      <c r="L304">
        <f ca="1"/>
        <v>2.0066290504028927</v>
      </c>
      <c r="M304">
        <f ca="1"/>
        <v>3.8373257527801741E-2</v>
      </c>
      <c r="N304">
        <f ca="1"/>
        <v>0.19446289307616221</v>
      </c>
      <c r="O304">
        <f ca="1"/>
        <v>0</v>
      </c>
      <c r="P304">
        <f ca="1"/>
        <v>138.77833386891382</v>
      </c>
      <c r="Q304">
        <f ca="1"/>
        <v>128.41501672935209</v>
      </c>
      <c r="R304">
        <f ca="1"/>
        <v>0</v>
      </c>
      <c r="S304">
        <f ca="1"/>
        <v>0.34353131545048032</v>
      </c>
      <c r="T304">
        <f ca="1"/>
        <v>0</v>
      </c>
      <c r="U304">
        <f ca="1"/>
        <v>0</v>
      </c>
      <c r="V304">
        <f ca="1"/>
        <v>0.9998550004119342</v>
      </c>
      <c r="X304" s="2">
        <f t="shared" ca="1" si="29"/>
        <v>45417</v>
      </c>
      <c r="Y304">
        <f t="shared" ca="1" si="30"/>
        <v>0</v>
      </c>
      <c r="AA304" s="63">
        <f t="shared" ca="1" si="32"/>
        <v>-104.702740703781</v>
      </c>
      <c r="AB304" s="63">
        <f t="shared" ca="1" si="33"/>
        <v>-104.70274070378102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45418</v>
      </c>
      <c r="K305">
        <f ca="1"/>
        <v>-108.39900358714559</v>
      </c>
      <c r="L305">
        <f ca="1"/>
        <v>1.9112025935814074</v>
      </c>
      <c r="M305">
        <f ca="1"/>
        <v>3.7311828337202257E-2</v>
      </c>
      <c r="N305">
        <f ca="1"/>
        <v>0.18425693228253201</v>
      </c>
      <c r="O305">
        <f ca="1"/>
        <v>0</v>
      </c>
      <c r="P305">
        <f ca="1"/>
        <v>140.68953646249523</v>
      </c>
      <c r="Q305">
        <f ca="1"/>
        <v>130.18349964873747</v>
      </c>
      <c r="R305">
        <f ca="1"/>
        <v>0</v>
      </c>
      <c r="S305">
        <f ca="1"/>
        <v>0.33297847247054058</v>
      </c>
      <c r="T305">
        <f ca="1"/>
        <v>0</v>
      </c>
      <c r="U305">
        <f ca="1"/>
        <v>0</v>
      </c>
      <c r="V305">
        <f ca="1"/>
        <v>0.99986796930942801</v>
      </c>
      <c r="X305" s="2">
        <f t="shared" ca="1" si="29"/>
        <v>45418</v>
      </c>
      <c r="Y305">
        <f t="shared" ca="1" si="30"/>
        <v>0</v>
      </c>
      <c r="AA305" s="63">
        <f t="shared" ca="1" si="32"/>
        <v>-106.48780099356416</v>
      </c>
      <c r="AB305" s="63">
        <f t="shared" ca="1" si="33"/>
        <v>-106.48780099356418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45419</v>
      </c>
      <c r="K306">
        <f ca="1"/>
        <v>-109.90127218538905</v>
      </c>
      <c r="L306">
        <f ca="1"/>
        <v>1.7122481835661176</v>
      </c>
      <c r="M306">
        <f ca="1"/>
        <v>3.8445397353470412E-2</v>
      </c>
      <c r="N306">
        <f ca="1"/>
        <v>0.17153418796918701</v>
      </c>
      <c r="O306">
        <f ca="1"/>
        <v>0</v>
      </c>
      <c r="P306">
        <f ca="1"/>
        <v>142.40178464606134</v>
      </c>
      <c r="Q306">
        <f ca="1"/>
        <v>131.76788514327103</v>
      </c>
      <c r="R306">
        <f ca="1"/>
        <v>0</v>
      </c>
      <c r="S306">
        <f ca="1"/>
        <v>0.35816620477648625</v>
      </c>
      <c r="T306">
        <f ca="1"/>
        <v>0</v>
      </c>
      <c r="U306">
        <f ca="1"/>
        <v>0</v>
      </c>
      <c r="V306">
        <f ca="1"/>
        <v>0.99987870175329474</v>
      </c>
      <c r="X306" s="2">
        <f t="shared" ca="1" si="29"/>
        <v>45419</v>
      </c>
      <c r="Y306">
        <f t="shared" ca="1" si="30"/>
        <v>0</v>
      </c>
      <c r="AA306" s="63">
        <f t="shared" ca="1" si="32"/>
        <v>-108.18902400182293</v>
      </c>
      <c r="AB306" s="63">
        <f t="shared" ca="1" si="33"/>
        <v>-108.18902400182293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45420</v>
      </c>
      <c r="K307">
        <f ca="1"/>
        <v>-111.41251023769445</v>
      </c>
      <c r="L307">
        <f ca="1"/>
        <v>1.7203295690797802</v>
      </c>
      <c r="M307">
        <f ca="1"/>
        <v>3.8240837722916865E-2</v>
      </c>
      <c r="N307">
        <f ca="1"/>
        <v>0.17085067905147294</v>
      </c>
      <c r="O307">
        <f ca="1"/>
        <v>0</v>
      </c>
      <c r="P307">
        <f ca="1"/>
        <v>144.12211421514112</v>
      </c>
      <c r="Q307">
        <f ca="1"/>
        <v>133.35974854323121</v>
      </c>
      <c r="R307">
        <f ca="1"/>
        <v>0</v>
      </c>
      <c r="S307">
        <f ca="1"/>
        <v>0.34279796421453562</v>
      </c>
      <c r="T307">
        <f ca="1"/>
        <v>0</v>
      </c>
      <c r="U307">
        <f ca="1"/>
        <v>0</v>
      </c>
      <c r="V307">
        <f ca="1"/>
        <v>0.99988870238892846</v>
      </c>
      <c r="X307" s="2">
        <f t="shared" ca="1" si="29"/>
        <v>45420</v>
      </c>
      <c r="Y307">
        <f t="shared" ca="1" si="30"/>
        <v>0</v>
      </c>
      <c r="AA307" s="63">
        <f t="shared" ca="1" si="32"/>
        <v>-109.69218066861465</v>
      </c>
      <c r="AB307" s="63">
        <f t="shared" ca="1" si="33"/>
        <v>-109.69218066861467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45421</v>
      </c>
      <c r="K308">
        <f ca="1"/>
        <v>-112.88203494892178</v>
      </c>
      <c r="L308">
        <f ca="1"/>
        <v>1.6805547664060896</v>
      </c>
      <c r="M308">
        <f ca="1"/>
        <v>4.0126318905080893E-2</v>
      </c>
      <c r="N308">
        <f ca="1"/>
        <v>0.17090373627366587</v>
      </c>
      <c r="O308">
        <f ca="1"/>
        <v>0</v>
      </c>
      <c r="P308">
        <f ca="1"/>
        <v>145.80266898154721</v>
      </c>
      <c r="Q308">
        <f ca="1"/>
        <v>134.9148073368213</v>
      </c>
      <c r="R308">
        <f ca="1"/>
        <v>0</v>
      </c>
      <c r="S308">
        <f ca="1"/>
        <v>0.35354045930403544</v>
      </c>
      <c r="T308">
        <f ca="1"/>
        <v>0</v>
      </c>
      <c r="U308">
        <f ca="1"/>
        <v>0</v>
      </c>
      <c r="V308">
        <f ca="1"/>
        <v>0.99989776686443765</v>
      </c>
      <c r="X308" s="2">
        <f t="shared" ca="1" si="29"/>
        <v>45421</v>
      </c>
      <c r="Y308">
        <f t="shared" ca="1" si="30"/>
        <v>0</v>
      </c>
      <c r="AA308" s="63">
        <f t="shared" ca="1" si="32"/>
        <v>-111.2014801825157</v>
      </c>
      <c r="AB308" s="63">
        <f t="shared" ca="1" si="33"/>
        <v>-111.2014801825157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45422</v>
      </c>
      <c r="K309">
        <f ca="1"/>
        <v>-114.38549808192528</v>
      </c>
      <c r="L309">
        <f ca="1"/>
        <v>1.7176984521638587</v>
      </c>
      <c r="M309">
        <f ca="1"/>
        <v>4.0483367713108009E-2</v>
      </c>
      <c r="N309">
        <f ca="1"/>
        <v>0.17375195144725444</v>
      </c>
      <c r="O309">
        <f ca="1"/>
        <v>0</v>
      </c>
      <c r="P309">
        <f ca="1"/>
        <v>147.52036743371107</v>
      </c>
      <c r="Q309">
        <f ca="1"/>
        <v>136.50423609937553</v>
      </c>
      <c r="R309">
        <f ca="1"/>
        <v>0</v>
      </c>
      <c r="S309">
        <f ca="1"/>
        <v>0.33983861644824082</v>
      </c>
      <c r="T309">
        <f ca="1"/>
        <v>0</v>
      </c>
      <c r="U309">
        <f ca="1"/>
        <v>0</v>
      </c>
      <c r="V309">
        <f ca="1"/>
        <v>0.99990636133761024</v>
      </c>
      <c r="X309" s="2">
        <f t="shared" ca="1" si="29"/>
        <v>45422</v>
      </c>
      <c r="Y309">
        <f t="shared" ca="1" si="30"/>
        <v>0</v>
      </c>
      <c r="AA309" s="63">
        <f t="shared" ca="1" si="32"/>
        <v>-112.66779962976142</v>
      </c>
      <c r="AB309" s="63">
        <f t="shared" ca="1" si="33"/>
        <v>-112.66779962976142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45423</v>
      </c>
      <c r="K310">
        <f ca="1"/>
        <v>-115.91745104740249</v>
      </c>
      <c r="L310">
        <f ca="1"/>
        <v>1.7554015180662077</v>
      </c>
      <c r="M310">
        <f ca="1"/>
        <v>4.2891187436978839E-2</v>
      </c>
      <c r="N310">
        <f ca="1"/>
        <v>0.18055736515201365</v>
      </c>
      <c r="O310">
        <f ca="1"/>
        <v>0</v>
      </c>
      <c r="P310">
        <f ca="1"/>
        <v>149.27576895177728</v>
      </c>
      <c r="Q310">
        <f ca="1"/>
        <v>138.12855243914456</v>
      </c>
      <c r="R310">
        <f ca="1"/>
        <v>0</v>
      </c>
      <c r="S310">
        <f ca="1"/>
        <v>0.34298840578823103</v>
      </c>
      <c r="T310">
        <f ca="1"/>
        <v>0</v>
      </c>
      <c r="U310">
        <f ca="1"/>
        <v>0</v>
      </c>
      <c r="V310">
        <f ca="1"/>
        <v>0.99991449267101873</v>
      </c>
      <c r="X310" s="2">
        <f t="shared" ca="1" si="29"/>
        <v>45423</v>
      </c>
      <c r="Y310">
        <f t="shared" ca="1" si="30"/>
        <v>0</v>
      </c>
      <c r="AA310" s="63">
        <f t="shared" ca="1" si="32"/>
        <v>-114.16204952933629</v>
      </c>
      <c r="AB310" s="63">
        <f t="shared" ca="1" si="33"/>
        <v>-114.16204952933629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45424</v>
      </c>
      <c r="K311">
        <f ca="1"/>
        <v>-117.33753541765859</v>
      </c>
      <c r="L311">
        <f ca="1"/>
        <v>1.6291464876684927</v>
      </c>
      <c r="M311">
        <f ca="1"/>
        <v>4.1005014444245091E-2</v>
      </c>
      <c r="N311">
        <f ca="1"/>
        <v>0.16805710296815032</v>
      </c>
      <c r="O311">
        <f ca="1"/>
        <v>0</v>
      </c>
      <c r="P311">
        <f ca="1"/>
        <v>150.90491543944577</v>
      </c>
      <c r="Q311">
        <f ca="1"/>
        <v>139.63604188390272</v>
      </c>
      <c r="R311">
        <f ca="1"/>
        <v>0</v>
      </c>
      <c r="S311">
        <f ca="1"/>
        <v>0.3355825553947438</v>
      </c>
      <c r="T311">
        <f ca="1"/>
        <v>0</v>
      </c>
      <c r="U311">
        <f ca="1"/>
        <v>0</v>
      </c>
      <c r="V311">
        <f ca="1"/>
        <v>0.99992148988434104</v>
      </c>
      <c r="X311" s="2">
        <f t="shared" ca="1" si="29"/>
        <v>45424</v>
      </c>
      <c r="Y311">
        <f t="shared" ca="1" si="30"/>
        <v>0</v>
      </c>
      <c r="AA311" s="63">
        <f t="shared" ca="1" si="32"/>
        <v>-115.70838892999011</v>
      </c>
      <c r="AB311" s="63">
        <f t="shared" ca="1" si="33"/>
        <v>-115.70838892999009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45425</v>
      </c>
      <c r="K312">
        <f ca="1"/>
        <v>-118.71911798925086</v>
      </c>
      <c r="L312">
        <f ca="1"/>
        <v>1.5896997138144116</v>
      </c>
      <c r="M312">
        <f ca="1"/>
        <v>4.1692446261585303E-2</v>
      </c>
      <c r="N312">
        <f ca="1"/>
        <v>0.16642469596054965</v>
      </c>
      <c r="O312">
        <f ca="1"/>
        <v>0</v>
      </c>
      <c r="P312">
        <f ca="1"/>
        <v>152.49461515326018</v>
      </c>
      <c r="Q312">
        <f ca="1"/>
        <v>141.1070302554518</v>
      </c>
      <c r="R312">
        <f ca="1"/>
        <v>0</v>
      </c>
      <c r="S312">
        <f ca="1"/>
        <v>0.33725065147909072</v>
      </c>
      <c r="T312">
        <f ca="1"/>
        <v>0</v>
      </c>
      <c r="U312">
        <f ca="1"/>
        <v>0</v>
      </c>
      <c r="V312">
        <f ca="1"/>
        <v>0.99992784174755078</v>
      </c>
      <c r="X312" s="2">
        <f t="shared" ca="1" si="29"/>
        <v>45425</v>
      </c>
      <c r="Y312">
        <f t="shared" ca="1" si="30"/>
        <v>0</v>
      </c>
      <c r="AA312" s="63">
        <f t="shared" ca="1" si="32"/>
        <v>-117.12941827543646</v>
      </c>
      <c r="AB312" s="63">
        <f t="shared" ca="1" si="33"/>
        <v>-117.12941827543645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45426</v>
      </c>
      <c r="K313">
        <f ca="1"/>
        <v>-120.02387373325078</v>
      </c>
      <c r="L313">
        <f ca="1"/>
        <v>1.5053848467398439</v>
      </c>
      <c r="M313">
        <f ca="1"/>
        <v>4.1103854563232289E-2</v>
      </c>
      <c r="N313">
        <f ca="1"/>
        <v>0.15952524817668762</v>
      </c>
      <c r="O313">
        <f ca="1"/>
        <v>0</v>
      </c>
      <c r="P313">
        <f ca="1"/>
        <v>154.00000000000003</v>
      </c>
      <c r="Q313">
        <f ca="1"/>
        <v>142.5</v>
      </c>
      <c r="R313">
        <f ca="1"/>
        <v>0</v>
      </c>
      <c r="S313">
        <f ca="1"/>
        <v>0.33577047682867417</v>
      </c>
      <c r="T313">
        <f ca="1"/>
        <v>0</v>
      </c>
      <c r="U313">
        <f ca="1"/>
        <v>0</v>
      </c>
      <c r="V313">
        <f ca="1"/>
        <v>0.99993345063478134</v>
      </c>
      <c r="X313" s="2">
        <f t="shared" ca="1" si="29"/>
        <v>45426</v>
      </c>
      <c r="Y313">
        <f t="shared" ca="1" si="30"/>
        <v>0</v>
      </c>
      <c r="AA313" s="63">
        <f t="shared" ca="1" si="32"/>
        <v>-118.51848888651094</v>
      </c>
      <c r="AB313" s="63">
        <f t="shared" ca="1" si="33"/>
        <v>-118.51848888651094</v>
      </c>
      <c r="AC313" s="3">
        <f t="shared" ca="1" si="34"/>
        <v>0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K4" workbookViewId="0">
      <selection activeCell="AR8" sqref="AR8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  <col min="39" max="39" width="15.88671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279</v>
      </c>
      <c r="CT1" t="s">
        <v>280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281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283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279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272</v>
      </c>
      <c r="CS8" t="s">
        <v>250</v>
      </c>
      <c r="CT8" t="s">
        <v>250</v>
      </c>
      <c r="CU8" t="s">
        <v>250</v>
      </c>
    </row>
    <row r="9" spans="1:99" ht="1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280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273</v>
      </c>
      <c r="CS9" t="s">
        <v>251</v>
      </c>
      <c r="CT9" t="s">
        <v>251</v>
      </c>
      <c r="CU9" t="s">
        <v>251</v>
      </c>
    </row>
    <row r="10" spans="1:99" ht="1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282</v>
      </c>
      <c r="AN10">
        <v>16</v>
      </c>
      <c r="AR10" t="s">
        <v>274</v>
      </c>
      <c r="CS10" t="s">
        <v>252</v>
      </c>
      <c r="CT10" t="s">
        <v>252</v>
      </c>
      <c r="CU10" t="s">
        <v>252</v>
      </c>
    </row>
    <row r="11" spans="1:99" ht="1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275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" thickBot="1">
      <c r="A13" s="12"/>
      <c r="C13" s="49" t="s">
        <v>32</v>
      </c>
      <c r="D13" s="49" t="s">
        <v>49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" thickBot="1">
      <c r="A37" s="12"/>
      <c r="G37" s="51" t="s">
        <v>85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93" activePane="bottomRight" state="frozen"/>
      <selection pane="topRight" activeCell="G1" sqref="G1"/>
      <selection pane="bottomLeft" activeCell="A2" sqref="A2"/>
      <selection pane="bottomRight" activeCell="E35" sqref="E35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2024-06-22T07:58:12Z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