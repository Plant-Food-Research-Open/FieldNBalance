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8_{6C19DB0D-E954-4ADB-9E6F-1A1A9C796B2B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B7" i="3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M1" i="4"/>
  <c r="L2" i="4"/>
  <c r="K3" i="4"/>
  <c r="J4" i="4"/>
  <c r="I5" i="4"/>
  <c r="H6" i="4"/>
  <c r="G7" i="4"/>
  <c r="F8" i="4"/>
  <c r="E9" i="4"/>
  <c r="D10" i="4"/>
  <c r="V10" i="4"/>
  <c r="F11" i="4"/>
  <c r="V11" i="4"/>
  <c r="E12" i="4"/>
  <c r="U12" i="4"/>
  <c r="D13" i="4"/>
  <c r="T13" i="4"/>
  <c r="C14" i="4"/>
  <c r="S14" i="4"/>
  <c r="B15" i="4"/>
  <c r="R15" i="4"/>
  <c r="A16" i="4"/>
  <c r="Q16" i="4"/>
  <c r="AG16" i="4"/>
  <c r="P17" i="4"/>
  <c r="AF17" i="4"/>
  <c r="O18" i="4"/>
  <c r="AC18" i="4"/>
  <c r="J19" i="4"/>
  <c r="U19" i="4"/>
  <c r="B20" i="4"/>
  <c r="M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V26" i="4"/>
  <c r="AD26" i="4"/>
  <c r="E27" i="4"/>
  <c r="M27" i="4"/>
  <c r="U27" i="4"/>
  <c r="AC27" i="4"/>
  <c r="D28" i="4"/>
  <c r="L28" i="4"/>
  <c r="T28" i="4"/>
  <c r="AB28" i="4"/>
  <c r="C29" i="4"/>
  <c r="K29" i="4"/>
  <c r="S29" i="4"/>
  <c r="AA29" i="4"/>
  <c r="B30" i="4"/>
  <c r="J30" i="4"/>
  <c r="R30" i="4"/>
  <c r="Z30" i="4"/>
  <c r="A31" i="4"/>
  <c r="I31" i="4"/>
  <c r="Q31" i="4"/>
  <c r="Y31" i="4"/>
  <c r="AG31" i="4"/>
  <c r="H32" i="4"/>
  <c r="P32" i="4"/>
  <c r="X32" i="4"/>
  <c r="AF32" i="4"/>
  <c r="G33" i="4"/>
  <c r="O33" i="4"/>
  <c r="W33" i="4"/>
  <c r="AE33" i="4"/>
  <c r="N1" i="4"/>
  <c r="M2" i="4"/>
  <c r="L3" i="4"/>
  <c r="K4" i="4"/>
  <c r="J5" i="4"/>
  <c r="I6" i="4"/>
  <c r="H7" i="4"/>
  <c r="G8" i="4"/>
  <c r="F9" i="4"/>
  <c r="E10" i="4"/>
  <c r="AB10" i="4"/>
  <c r="K11" i="4"/>
  <c r="AA11" i="4"/>
  <c r="J12" i="4"/>
  <c r="Z12" i="4"/>
  <c r="I13" i="4"/>
  <c r="Y13" i="4"/>
  <c r="H14" i="4"/>
  <c r="X14" i="4"/>
  <c r="G15" i="4"/>
  <c r="W15" i="4"/>
  <c r="F16" i="4"/>
  <c r="V16" i="4"/>
  <c r="E17" i="4"/>
  <c r="U17" i="4"/>
  <c r="D18" i="4"/>
  <c r="S18" i="4"/>
  <c r="AD18" i="4"/>
  <c r="K19" i="4"/>
  <c r="V19" i="4"/>
  <c r="C20" i="4"/>
  <c r="Q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X33" i="4"/>
  <c r="U1" i="4"/>
  <c r="T2" i="4"/>
  <c r="S3" i="4"/>
  <c r="R4" i="4"/>
  <c r="Q5" i="4"/>
  <c r="P6" i="4"/>
  <c r="O7" i="4"/>
  <c r="N8" i="4"/>
  <c r="M9" i="4"/>
  <c r="F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F17" i="4"/>
  <c r="V17" i="4"/>
  <c r="E18" i="4"/>
  <c r="T18" i="4"/>
  <c r="AE18" i="4"/>
  <c r="L19" i="4"/>
  <c r="Z19" i="4"/>
  <c r="D20" i="4"/>
  <c r="R20" i="4"/>
  <c r="AC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V1" i="4"/>
  <c r="U2" i="4"/>
  <c r="T3" i="4"/>
  <c r="S4" i="4"/>
  <c r="R5" i="4"/>
  <c r="Q6" i="4"/>
  <c r="P7" i="4"/>
  <c r="O8" i="4"/>
  <c r="N9" i="4"/>
  <c r="L10" i="4"/>
  <c r="AD10" i="4"/>
  <c r="M11" i="4"/>
  <c r="AC11" i="4"/>
  <c r="L12" i="4"/>
  <c r="AB12" i="4"/>
  <c r="K13" i="4"/>
  <c r="AA13" i="4"/>
  <c r="J14" i="4"/>
  <c r="Z14" i="4"/>
  <c r="I15" i="4"/>
  <c r="Y15" i="4"/>
  <c r="H16" i="4"/>
  <c r="X16" i="4"/>
  <c r="G17" i="4"/>
  <c r="W17" i="4"/>
  <c r="F18" i="4"/>
  <c r="U18" i="4"/>
  <c r="B19" i="4"/>
  <c r="M19" i="4"/>
  <c r="AA19" i="4"/>
  <c r="E20" i="4"/>
  <c r="S20" i="4"/>
  <c r="AG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AC1" i="4"/>
  <c r="AB2" i="4"/>
  <c r="AA3" i="4"/>
  <c r="Z4" i="4"/>
  <c r="Y5" i="4"/>
  <c r="X6" i="4"/>
  <c r="W7" i="4"/>
  <c r="V8" i="4"/>
  <c r="U9" i="4"/>
  <c r="M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C19" i="4"/>
  <c r="N19" i="4"/>
  <c r="AB19" i="4"/>
  <c r="I20" i="4"/>
  <c r="T20" i="4"/>
  <c r="A21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AD1" i="4"/>
  <c r="AC2" i="4"/>
  <c r="AB3" i="4"/>
  <c r="AA4" i="4"/>
  <c r="Z5" i="4"/>
  <c r="Y6" i="4"/>
  <c r="X7" i="4"/>
  <c r="W8" i="4"/>
  <c r="V9" i="4"/>
  <c r="N10" i="4"/>
  <c r="C11" i="4"/>
  <c r="S11" i="4"/>
  <c r="B12" i="4"/>
  <c r="R12" i="4"/>
  <c r="A13" i="4"/>
  <c r="Q13" i="4"/>
  <c r="AG13" i="4"/>
  <c r="P14" i="4"/>
  <c r="AF14" i="4"/>
  <c r="O15" i="4"/>
  <c r="AE15" i="4"/>
  <c r="N16" i="4"/>
  <c r="AD16" i="4"/>
  <c r="M17" i="4"/>
  <c r="AC17" i="4"/>
  <c r="L18" i="4"/>
  <c r="W18" i="4"/>
  <c r="D19" i="4"/>
  <c r="R19" i="4"/>
  <c r="AC19" i="4"/>
  <c r="J20" i="4"/>
  <c r="U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E1" i="4"/>
  <c r="A5" i="4"/>
  <c r="AD8" i="4"/>
  <c r="T11" i="4"/>
  <c r="R13" i="4"/>
  <c r="P15" i="4"/>
  <c r="N17" i="4"/>
  <c r="E19" i="4"/>
  <c r="Y20" i="4"/>
  <c r="AG21" i="4"/>
  <c r="AF22" i="4"/>
  <c r="AE23" i="4"/>
  <c r="AD24" i="4"/>
  <c r="AC25" i="4"/>
  <c r="U26" i="4"/>
  <c r="K27" i="4"/>
  <c r="A28" i="4"/>
  <c r="S28" i="4"/>
  <c r="B29" i="4"/>
  <c r="R29" i="4"/>
  <c r="A30" i="4"/>
  <c r="Q30" i="4"/>
  <c r="AG30" i="4"/>
  <c r="P31" i="4"/>
  <c r="AF31" i="4"/>
  <c r="N32" i="4"/>
  <c r="AB32" i="4"/>
  <c r="F33" i="4"/>
  <c r="R33" i="4"/>
  <c r="AB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D2" i="4"/>
  <c r="AG5" i="4"/>
  <c r="AC9" i="4"/>
  <c r="C12" i="4"/>
  <c r="A14" i="4"/>
  <c r="AF15" i="4"/>
  <c r="AD17" i="4"/>
  <c r="S19" i="4"/>
  <c r="C21" i="4"/>
  <c r="H22" i="4"/>
  <c r="G23" i="4"/>
  <c r="F24" i="4"/>
  <c r="E25" i="4"/>
  <c r="D26" i="4"/>
  <c r="AB26" i="4"/>
  <c r="R27" i="4"/>
  <c r="C28" i="4"/>
  <c r="Y28" i="4"/>
  <c r="H29" i="4"/>
  <c r="X29" i="4"/>
  <c r="G30" i="4"/>
  <c r="W30" i="4"/>
  <c r="F31" i="4"/>
  <c r="V31" i="4"/>
  <c r="E32" i="4"/>
  <c r="S32" i="4"/>
  <c r="AD32" i="4"/>
  <c r="J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E2" i="4"/>
  <c r="A6" i="4"/>
  <c r="AD9" i="4"/>
  <c r="D12" i="4"/>
  <c r="B14" i="4"/>
  <c r="AG15" i="4"/>
  <c r="AE17" i="4"/>
  <c r="T19" i="4"/>
  <c r="D21" i="4"/>
  <c r="I22" i="4"/>
  <c r="H23" i="4"/>
  <c r="G24" i="4"/>
  <c r="F25" i="4"/>
  <c r="E26" i="4"/>
  <c r="AC26" i="4"/>
  <c r="S27" i="4"/>
  <c r="I28" i="4"/>
  <c r="Z28" i="4"/>
  <c r="I29" i="4"/>
  <c r="Y29" i="4"/>
  <c r="H30" i="4"/>
  <c r="X30" i="4"/>
  <c r="G31" i="4"/>
  <c r="W31" i="4"/>
  <c r="F32" i="4"/>
  <c r="T32" i="4"/>
  <c r="AE32" i="4"/>
  <c r="K33" i="4"/>
  <c r="U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D3" i="4"/>
  <c r="AG6" i="4"/>
  <c r="U10" i="4"/>
  <c r="T12" i="4"/>
  <c r="R14" i="4"/>
  <c r="P16" i="4"/>
  <c r="N18" i="4"/>
  <c r="A20" i="4"/>
  <c r="R21" i="4"/>
  <c r="Q22" i="4"/>
  <c r="P23" i="4"/>
  <c r="O24" i="4"/>
  <c r="N25" i="4"/>
  <c r="M26" i="4"/>
  <c r="C27" i="4"/>
  <c r="Z27" i="4"/>
  <c r="K28" i="4"/>
  <c r="AF28" i="4"/>
  <c r="O29" i="4"/>
  <c r="AE29" i="4"/>
  <c r="N30" i="4"/>
  <c r="AD30" i="4"/>
  <c r="M31" i="4"/>
  <c r="AC31" i="4"/>
  <c r="K32" i="4"/>
  <c r="V32" i="4"/>
  <c r="C33" i="4"/>
  <c r="M33" i="4"/>
  <c r="Y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B4" i="4"/>
  <c r="AE7" i="4"/>
  <c r="D11" i="4"/>
  <c r="B13" i="4"/>
  <c r="AG14" i="4"/>
  <c r="AE16" i="4"/>
  <c r="AA18" i="4"/>
  <c r="K20" i="4"/>
  <c r="Y21" i="4"/>
  <c r="X22" i="4"/>
  <c r="W23" i="4"/>
  <c r="V24" i="4"/>
  <c r="U25" i="4"/>
  <c r="S26" i="4"/>
  <c r="D27" i="4"/>
  <c r="AA27" i="4"/>
  <c r="Q28" i="4"/>
  <c r="AG28" i="4"/>
  <c r="P29" i="4"/>
  <c r="AF29" i="4"/>
  <c r="O30" i="4"/>
  <c r="AE30" i="4"/>
  <c r="N31" i="4"/>
  <c r="AD31" i="4"/>
  <c r="L32" i="4"/>
  <c r="W32" i="4"/>
  <c r="D33" i="4"/>
  <c r="N33" i="4"/>
  <c r="Z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C4" i="4"/>
  <c r="AF7" i="4"/>
  <c r="E11" i="4"/>
  <c r="C13" i="4"/>
  <c r="A15" i="4"/>
  <c r="AF16" i="4"/>
  <c r="AB18" i="4"/>
  <c r="L20" i="4"/>
  <c r="Z21" i="4"/>
  <c r="Y22" i="4"/>
  <c r="X23" i="4"/>
  <c r="W24" i="4"/>
  <c r="V25" i="4"/>
  <c r="T26" i="4"/>
  <c r="J27" i="4"/>
  <c r="AB27" i="4"/>
  <c r="R28" i="4"/>
  <c r="A29" i="4"/>
  <c r="Q29" i="4"/>
  <c r="AG29" i="4"/>
  <c r="P30" i="4"/>
  <c r="AF30" i="4"/>
  <c r="O31" i="4"/>
  <c r="AE31" i="4"/>
  <c r="M32" i="4"/>
  <c r="AA32" i="4"/>
  <c r="E33" i="4"/>
  <c r="Q33" i="4"/>
  <c r="AA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F1" i="4"/>
  <c r="S13" i="4"/>
  <c r="Z20" i="4"/>
  <c r="AE24" i="4"/>
  <c r="B28" i="4"/>
  <c r="F30" i="4"/>
  <c r="D32" i="4"/>
  <c r="S33" i="4"/>
  <c r="U34" i="4"/>
  <c r="T35" i="4"/>
  <c r="S36" i="4"/>
  <c r="R37" i="4"/>
  <c r="Q38" i="4"/>
  <c r="P39" i="4"/>
  <c r="O40" i="4"/>
  <c r="N41" i="4"/>
  <c r="M42" i="4"/>
  <c r="H43" i="4"/>
  <c r="Z43" i="4"/>
  <c r="H44" i="4"/>
  <c r="V44" i="4"/>
  <c r="AG44" i="4"/>
  <c r="N45" i="4"/>
  <c r="Z45" i="4"/>
  <c r="F46" i="4"/>
  <c r="T46" i="4"/>
  <c r="AE46" i="4"/>
  <c r="L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B5" i="4"/>
  <c r="Q15" i="4"/>
  <c r="A22" i="4"/>
  <c r="AD25" i="4"/>
  <c r="X28" i="4"/>
  <c r="V30" i="4"/>
  <c r="O32" i="4"/>
  <c r="AC33" i="4"/>
  <c r="AC34" i="4"/>
  <c r="AB35" i="4"/>
  <c r="AA36" i="4"/>
  <c r="Z37" i="4"/>
  <c r="Y38" i="4"/>
  <c r="X39" i="4"/>
  <c r="W40" i="4"/>
  <c r="V41" i="4"/>
  <c r="U42" i="4"/>
  <c r="O43" i="4"/>
  <c r="AE43" i="4"/>
  <c r="K44" i="4"/>
  <c r="X44" i="4"/>
  <c r="E45" i="4"/>
  <c r="P45" i="4"/>
  <c r="AD45" i="4"/>
  <c r="I46" i="4"/>
  <c r="V46" i="4"/>
  <c r="C47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AF6" i="4"/>
  <c r="O16" i="4"/>
  <c r="P22" i="4"/>
  <c r="L26" i="4"/>
  <c r="AA28" i="4"/>
  <c r="Y30" i="4"/>
  <c r="U32" i="4"/>
  <c r="AG33" i="4"/>
  <c r="AF34" i="4"/>
  <c r="AE35" i="4"/>
  <c r="AD36" i="4"/>
  <c r="AC37" i="4"/>
  <c r="AB38" i="4"/>
  <c r="AA39" i="4"/>
  <c r="Z40" i="4"/>
  <c r="Y41" i="4"/>
  <c r="X42" i="4"/>
  <c r="P43" i="4"/>
  <c r="AF43" i="4"/>
  <c r="N44" i="4"/>
  <c r="Y44" i="4"/>
  <c r="F45" i="4"/>
  <c r="R45" i="4"/>
  <c r="AE45" i="4"/>
  <c r="L46" i="4"/>
  <c r="W46" i="4"/>
  <c r="D47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AE8" i="4"/>
  <c r="O17" i="4"/>
  <c r="AG22" i="4"/>
  <c r="AA26" i="4"/>
  <c r="G29" i="4"/>
  <c r="E31" i="4"/>
  <c r="AC32" i="4"/>
  <c r="E34" i="4"/>
  <c r="D35" i="4"/>
  <c r="C36" i="4"/>
  <c r="B37" i="4"/>
  <c r="A38" i="4"/>
  <c r="AG38" i="4"/>
  <c r="AF39" i="4"/>
  <c r="AE40" i="4"/>
  <c r="AD41" i="4"/>
  <c r="AC42" i="4"/>
  <c r="R43" i="4"/>
  <c r="A44" i="4"/>
  <c r="O44" i="4"/>
  <c r="AA44" i="4"/>
  <c r="G45" i="4"/>
  <c r="U45" i="4"/>
  <c r="AF45" i="4"/>
  <c r="M46" i="4"/>
  <c r="Y46" i="4"/>
  <c r="E47" i="4"/>
  <c r="P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U11" i="4"/>
  <c r="F19" i="4"/>
  <c r="AF23" i="4"/>
  <c r="L27" i="4"/>
  <c r="W29" i="4"/>
  <c r="U31" i="4"/>
  <c r="I33" i="4"/>
  <c r="M34" i="4"/>
  <c r="L35" i="4"/>
  <c r="K36" i="4"/>
  <c r="J37" i="4"/>
  <c r="I38" i="4"/>
  <c r="H39" i="4"/>
  <c r="G40" i="4"/>
  <c r="F41" i="4"/>
  <c r="E42" i="4"/>
  <c r="D43" i="4"/>
  <c r="W43" i="4"/>
  <c r="F44" i="4"/>
  <c r="Q44" i="4"/>
  <c r="AE44" i="4"/>
  <c r="J45" i="4"/>
  <c r="W45" i="4"/>
  <c r="D46" i="4"/>
  <c r="O46" i="4"/>
  <c r="AC46" i="4"/>
  <c r="H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12" i="4"/>
  <c r="AD19" i="4"/>
  <c r="N24" i="4"/>
  <c r="T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X43" i="4"/>
  <c r="G44" i="4"/>
  <c r="S44" i="4"/>
  <c r="AF44" i="4"/>
  <c r="M45" i="4"/>
  <c r="X45" i="4"/>
  <c r="E46" i="4"/>
  <c r="Q46" i="4"/>
  <c r="AD46" i="4"/>
  <c r="K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C3" i="4"/>
  <c r="J28" i="4"/>
  <c r="X34" i="4"/>
  <c r="T38" i="4"/>
  <c r="P42" i="4"/>
  <c r="W44" i="4"/>
  <c r="G46" i="4"/>
  <c r="V47" i="4"/>
  <c r="U48" i="4"/>
  <c r="T49" i="4"/>
  <c r="S50" i="4"/>
  <c r="R51" i="4"/>
  <c r="Q52" i="4"/>
  <c r="P53" i="4"/>
  <c r="O54" i="4"/>
  <c r="N55" i="4"/>
  <c r="AD55" i="4"/>
  <c r="M56" i="4"/>
  <c r="AC56" i="4"/>
  <c r="L57" i="4"/>
  <c r="AB57" i="4"/>
  <c r="K58" i="4"/>
  <c r="AA58" i="4"/>
  <c r="J59" i="4"/>
  <c r="Z59" i="4"/>
  <c r="I60" i="4"/>
  <c r="Y60" i="4"/>
  <c r="H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Q14" i="4"/>
  <c r="I30" i="4"/>
  <c r="W35" i="4"/>
  <c r="S39" i="4"/>
  <c r="L43" i="4"/>
  <c r="B45" i="4"/>
  <c r="U46" i="4"/>
  <c r="AD47" i="4"/>
  <c r="AC48" i="4"/>
  <c r="AB49" i="4"/>
  <c r="AA50" i="4"/>
  <c r="Z51" i="4"/>
  <c r="Y52" i="4"/>
  <c r="X53" i="4"/>
  <c r="W54" i="4"/>
  <c r="S55" i="4"/>
  <c r="B56" i="4"/>
  <c r="R56" i="4"/>
  <c r="A57" i="4"/>
  <c r="Q57" i="4"/>
  <c r="AG57" i="4"/>
  <c r="P58" i="4"/>
  <c r="AF58" i="4"/>
  <c r="O59" i="4"/>
  <c r="AE59" i="4"/>
  <c r="N60" i="4"/>
  <c r="AD60" i="4"/>
  <c r="M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M18" i="4"/>
  <c r="H31" i="4"/>
  <c r="F36" i="4"/>
  <c r="B40" i="4"/>
  <c r="T43" i="4"/>
  <c r="H45" i="4"/>
  <c r="AB46" i="4"/>
  <c r="A48" i="4"/>
  <c r="AG48" i="4"/>
  <c r="AF49" i="4"/>
  <c r="AE50" i="4"/>
  <c r="AD51" i="4"/>
  <c r="AC52" i="4"/>
  <c r="AB53" i="4"/>
  <c r="AA54" i="4"/>
  <c r="T55" i="4"/>
  <c r="C56" i="4"/>
  <c r="S56" i="4"/>
  <c r="B57" i="4"/>
  <c r="R57" i="4"/>
  <c r="A58" i="4"/>
  <c r="Q58" i="4"/>
  <c r="AG58" i="4"/>
  <c r="P59" i="4"/>
  <c r="AF59" i="4"/>
  <c r="O60" i="4"/>
  <c r="AE60" i="4"/>
  <c r="N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Q21" i="4"/>
  <c r="G32" i="4"/>
  <c r="V36" i="4"/>
  <c r="R40" i="4"/>
  <c r="AB43" i="4"/>
  <c r="O45" i="4"/>
  <c r="AG46" i="4"/>
  <c r="E48" i="4"/>
  <c r="D49" i="4"/>
  <c r="C50" i="4"/>
  <c r="B51" i="4"/>
  <c r="A52" i="4"/>
  <c r="AG52" i="4"/>
  <c r="AF53" i="4"/>
  <c r="AE54" i="4"/>
  <c r="V55" i="4"/>
  <c r="E56" i="4"/>
  <c r="U56" i="4"/>
  <c r="D57" i="4"/>
  <c r="T57" i="4"/>
  <c r="C58" i="4"/>
  <c r="S58" i="4"/>
  <c r="B59" i="4"/>
  <c r="R59" i="4"/>
  <c r="A60" i="4"/>
  <c r="Q60" i="4"/>
  <c r="AG60" i="4"/>
  <c r="P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M25" i="4"/>
  <c r="V33" i="4"/>
  <c r="U37" i="4"/>
  <c r="Q41" i="4"/>
  <c r="I44" i="4"/>
  <c r="AC45" i="4"/>
  <c r="M47" i="4"/>
  <c r="M48" i="4"/>
  <c r="L49" i="4"/>
  <c r="K50" i="4"/>
  <c r="J51" i="4"/>
  <c r="I52" i="4"/>
  <c r="H53" i="4"/>
  <c r="G54" i="4"/>
  <c r="F55" i="4"/>
  <c r="AA55" i="4"/>
  <c r="J56" i="4"/>
  <c r="Z56" i="4"/>
  <c r="I57" i="4"/>
  <c r="Y57" i="4"/>
  <c r="H58" i="4"/>
  <c r="X58" i="4"/>
  <c r="G59" i="4"/>
  <c r="W59" i="4"/>
  <c r="F60" i="4"/>
  <c r="V60" i="4"/>
  <c r="E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B27" i="4"/>
  <c r="H34" i="4"/>
  <c r="D38" i="4"/>
  <c r="AG41" i="4"/>
  <c r="P44" i="4"/>
  <c r="A46" i="4"/>
  <c r="R47" i="4"/>
  <c r="Q48" i="4"/>
  <c r="P49" i="4"/>
  <c r="O50" i="4"/>
  <c r="N51" i="4"/>
  <c r="M52" i="4"/>
  <c r="L53" i="4"/>
  <c r="K54" i="4"/>
  <c r="J55" i="4"/>
  <c r="AB55" i="4"/>
  <c r="K56" i="4"/>
  <c r="AA56" i="4"/>
  <c r="J57" i="4"/>
  <c r="Z57" i="4"/>
  <c r="I58" i="4"/>
  <c r="Y58" i="4"/>
  <c r="H59" i="4"/>
  <c r="X59" i="4"/>
  <c r="G60" i="4"/>
  <c r="W60" i="4"/>
  <c r="F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T10" i="4"/>
  <c r="AF42" i="4"/>
  <c r="Y48" i="4"/>
  <c r="U52" i="4"/>
  <c r="A56" i="4"/>
  <c r="AF57" i="4"/>
  <c r="AD59" i="4"/>
  <c r="W61" i="4"/>
  <c r="V62" i="4"/>
  <c r="U63" i="4"/>
  <c r="T64" i="4"/>
  <c r="S65" i="4"/>
  <c r="R66" i="4"/>
  <c r="Q67" i="4"/>
  <c r="P68" i="4"/>
  <c r="O69" i="4"/>
  <c r="N70" i="4"/>
  <c r="M71" i="4"/>
  <c r="L72" i="4"/>
  <c r="K73" i="4"/>
  <c r="J74" i="4"/>
  <c r="E75" i="4"/>
  <c r="W75" i="4"/>
  <c r="F76" i="4"/>
  <c r="V76" i="4"/>
  <c r="D77" i="4"/>
  <c r="R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O23" i="4"/>
  <c r="C44" i="4"/>
  <c r="H49" i="4"/>
  <c r="D53" i="4"/>
  <c r="I56" i="4"/>
  <c r="G58" i="4"/>
  <c r="E60" i="4"/>
  <c r="AA61" i="4"/>
  <c r="Z62" i="4"/>
  <c r="Y63" i="4"/>
  <c r="X64" i="4"/>
  <c r="W65" i="4"/>
  <c r="V66" i="4"/>
  <c r="U67" i="4"/>
  <c r="T68" i="4"/>
  <c r="S69" i="4"/>
  <c r="R70" i="4"/>
  <c r="Q71" i="4"/>
  <c r="P72" i="4"/>
  <c r="O73" i="4"/>
  <c r="N74" i="4"/>
  <c r="F75" i="4"/>
  <c r="Y75" i="4"/>
  <c r="H76" i="4"/>
  <c r="X76" i="4"/>
  <c r="E77" i="4"/>
  <c r="S77" i="4"/>
  <c r="AE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C83" i="4"/>
  <c r="K83" i="4"/>
  <c r="S83" i="4"/>
  <c r="AA83" i="4"/>
  <c r="B84" i="4"/>
  <c r="J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J29" i="4"/>
  <c r="AD44" i="4"/>
  <c r="X49" i="4"/>
  <c r="T53" i="4"/>
  <c r="Q56" i="4"/>
  <c r="O58" i="4"/>
  <c r="M60" i="4"/>
  <c r="AE61" i="4"/>
  <c r="AD62" i="4"/>
  <c r="AC63" i="4"/>
  <c r="AB64" i="4"/>
  <c r="AA65" i="4"/>
  <c r="Z66" i="4"/>
  <c r="Y67" i="4"/>
  <c r="X68" i="4"/>
  <c r="W69" i="4"/>
  <c r="V70" i="4"/>
  <c r="U71" i="4"/>
  <c r="T72" i="4"/>
  <c r="S73" i="4"/>
  <c r="R74" i="4"/>
  <c r="I75" i="4"/>
  <c r="AC75" i="4"/>
  <c r="L76" i="4"/>
  <c r="AB76" i="4"/>
  <c r="G77" i="4"/>
  <c r="T77" i="4"/>
  <c r="A78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B33" i="4"/>
  <c r="V45" i="4"/>
  <c r="G50" i="4"/>
  <c r="C54" i="4"/>
  <c r="Y56" i="4"/>
  <c r="W58" i="4"/>
  <c r="U60" i="4"/>
  <c r="B62" i="4"/>
  <c r="A63" i="4"/>
  <c r="AG63" i="4"/>
  <c r="AF64" i="4"/>
  <c r="AE65" i="4"/>
  <c r="AD66" i="4"/>
  <c r="AC67" i="4"/>
  <c r="AB68" i="4"/>
  <c r="AA69" i="4"/>
  <c r="Z70" i="4"/>
  <c r="Y71" i="4"/>
  <c r="X72" i="4"/>
  <c r="W73" i="4"/>
  <c r="V74" i="4"/>
  <c r="M75" i="4"/>
  <c r="AD75" i="4"/>
  <c r="M76" i="4"/>
  <c r="AC76" i="4"/>
  <c r="J77" i="4"/>
  <c r="U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G35" i="4"/>
  <c r="N46" i="4"/>
  <c r="W50" i="4"/>
  <c r="S54" i="4"/>
  <c r="AG56" i="4"/>
  <c r="AE58" i="4"/>
  <c r="AC60" i="4"/>
  <c r="F62" i="4"/>
  <c r="E63" i="4"/>
  <c r="D64" i="4"/>
  <c r="C65" i="4"/>
  <c r="B66" i="4"/>
  <c r="A67" i="4"/>
  <c r="AG67" i="4"/>
  <c r="AF68" i="4"/>
  <c r="AE69" i="4"/>
  <c r="AD70" i="4"/>
  <c r="AC71" i="4"/>
  <c r="AB72" i="4"/>
  <c r="AA73" i="4"/>
  <c r="Z74" i="4"/>
  <c r="N75" i="4"/>
  <c r="AE75" i="4"/>
  <c r="N76" i="4"/>
  <c r="AD76" i="4"/>
  <c r="K77" i="4"/>
  <c r="W77" i="4"/>
  <c r="C78" i="4"/>
  <c r="K78" i="4"/>
  <c r="S78" i="4"/>
  <c r="AA78" i="4"/>
  <c r="B79" i="4"/>
  <c r="J79" i="4"/>
  <c r="R79" i="4"/>
  <c r="Z79" i="4"/>
  <c r="A80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E37" i="4"/>
  <c r="F47" i="4"/>
  <c r="F51" i="4"/>
  <c r="B55" i="4"/>
  <c r="H57" i="4"/>
  <c r="F59" i="4"/>
  <c r="D61" i="4"/>
  <c r="J62" i="4"/>
  <c r="I63" i="4"/>
  <c r="H64" i="4"/>
  <c r="G65" i="4"/>
  <c r="F66" i="4"/>
  <c r="E67" i="4"/>
  <c r="D68" i="4"/>
  <c r="C69" i="4"/>
  <c r="B70" i="4"/>
  <c r="A71" i="4"/>
  <c r="AG71" i="4"/>
  <c r="AF72" i="4"/>
  <c r="AE73" i="4"/>
  <c r="AD74" i="4"/>
  <c r="Q75" i="4"/>
  <c r="AG75" i="4"/>
  <c r="P76" i="4"/>
  <c r="AF76" i="4"/>
  <c r="L77" i="4"/>
  <c r="Z77" i="4"/>
  <c r="D78" i="4"/>
  <c r="L78" i="4"/>
  <c r="T78" i="4"/>
  <c r="AB78" i="4"/>
  <c r="C79" i="4"/>
  <c r="K79" i="4"/>
  <c r="S79" i="4"/>
  <c r="AA79" i="4"/>
  <c r="B80" i="4"/>
  <c r="J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C39" i="4"/>
  <c r="Z47" i="4"/>
  <c r="V51" i="4"/>
  <c r="R55" i="4"/>
  <c r="P57" i="4"/>
  <c r="N59" i="4"/>
  <c r="L61" i="4"/>
  <c r="N62" i="4"/>
  <c r="M63" i="4"/>
  <c r="L64" i="4"/>
  <c r="K65" i="4"/>
  <c r="J66" i="4"/>
  <c r="I67" i="4"/>
  <c r="H68" i="4"/>
  <c r="G69" i="4"/>
  <c r="F70" i="4"/>
  <c r="E71" i="4"/>
  <c r="D72" i="4"/>
  <c r="C73" i="4"/>
  <c r="B74" i="4"/>
  <c r="AE74" i="4"/>
  <c r="U75" i="4"/>
  <c r="D76" i="4"/>
  <c r="T76" i="4"/>
  <c r="B77" i="4"/>
  <c r="M77" i="4"/>
  <c r="AA77" i="4"/>
  <c r="E78" i="4"/>
  <c r="M78" i="4"/>
  <c r="U78" i="4"/>
  <c r="AC78" i="4"/>
  <c r="D79" i="4"/>
  <c r="L79" i="4"/>
  <c r="T79" i="4"/>
  <c r="AB79" i="4"/>
  <c r="C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A41" i="4"/>
  <c r="I48" i="4"/>
  <c r="E52" i="4"/>
  <c r="Z55" i="4"/>
  <c r="X57" i="4"/>
  <c r="V59" i="4"/>
  <c r="S61" i="4"/>
  <c r="R62" i="4"/>
  <c r="Q63" i="4"/>
  <c r="P64" i="4"/>
  <c r="O65" i="4"/>
  <c r="N66" i="4"/>
  <c r="M67" i="4"/>
  <c r="L68" i="4"/>
  <c r="K69" i="4"/>
  <c r="J70" i="4"/>
  <c r="I71" i="4"/>
  <c r="H72" i="4"/>
  <c r="G73" i="4"/>
  <c r="F74" i="4"/>
  <c r="A75" i="4"/>
  <c r="V75" i="4"/>
  <c r="E76" i="4"/>
  <c r="U76" i="4"/>
  <c r="C77" i="4"/>
  <c r="O77" i="4"/>
  <c r="AB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L87" i="4"/>
  <c r="K88" i="4"/>
  <c r="A89" i="4"/>
  <c r="S89" i="4"/>
  <c r="H90" i="4"/>
  <c r="X90" i="4"/>
  <c r="G91" i="4"/>
  <c r="U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T87" i="4"/>
  <c r="L88" i="4"/>
  <c r="B89" i="4"/>
  <c r="Y89" i="4"/>
  <c r="I90" i="4"/>
  <c r="Y90" i="4"/>
  <c r="H91" i="4"/>
  <c r="V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AB87" i="4"/>
  <c r="R88" i="4"/>
  <c r="C89" i="4"/>
  <c r="Z89" i="4"/>
  <c r="J90" i="4"/>
  <c r="Z90" i="4"/>
  <c r="I91" i="4"/>
  <c r="W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AC87" i="4"/>
  <c r="S88" i="4"/>
  <c r="I89" i="4"/>
  <c r="AA89" i="4"/>
  <c r="O90" i="4"/>
  <c r="AE90" i="4"/>
  <c r="M91" i="4"/>
  <c r="X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B88" i="4"/>
  <c r="T88" i="4"/>
  <c r="J89" i="4"/>
  <c r="AG89" i="4"/>
  <c r="P90" i="4"/>
  <c r="AF90" i="4"/>
  <c r="N91" i="4"/>
  <c r="Y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C88" i="4"/>
  <c r="Z88" i="4"/>
  <c r="K89" i="4"/>
  <c r="A90" i="4"/>
  <c r="Q90" i="4"/>
  <c r="AG90" i="4"/>
  <c r="O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G9" i="1" s="1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D88" i="4"/>
  <c r="AA88" i="4"/>
  <c r="Q89" i="4"/>
  <c r="B90" i="4"/>
  <c r="R90" i="4"/>
  <c r="A91" i="4"/>
  <c r="P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J88" i="4"/>
  <c r="AB88" i="4"/>
  <c r="R89" i="4"/>
  <c r="G90" i="4"/>
  <c r="W90" i="4"/>
  <c r="F91" i="4"/>
  <c r="Q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S110" i="4"/>
  <c r="R111" i="4"/>
  <c r="I112" i="4"/>
  <c r="AF112" i="4"/>
  <c r="Q113" i="4"/>
  <c r="F114" i="4"/>
  <c r="V114" i="4"/>
  <c r="E115" i="4"/>
  <c r="U115" i="4"/>
  <c r="B116" i="4"/>
  <c r="L116" i="4"/>
  <c r="V116" i="4"/>
  <c r="A117" i="4"/>
  <c r="K117" i="4"/>
  <c r="T117" i="4"/>
  <c r="AC117" i="4"/>
  <c r="F118" i="4"/>
  <c r="O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Z110" i="4"/>
  <c r="Y111" i="4"/>
  <c r="J112" i="4"/>
  <c r="AG112" i="4"/>
  <c r="W113" i="4"/>
  <c r="G114" i="4"/>
  <c r="W114" i="4"/>
  <c r="F115" i="4"/>
  <c r="V115" i="4"/>
  <c r="C116" i="4"/>
  <c r="M116" i="4"/>
  <c r="Y116" i="4"/>
  <c r="B117" i="4"/>
  <c r="L117" i="4"/>
  <c r="U117" i="4"/>
  <c r="AE117" i="4"/>
  <c r="G118" i="4"/>
  <c r="P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AA110" i="4"/>
  <c r="Z111" i="4"/>
  <c r="P112" i="4"/>
  <c r="A113" i="4"/>
  <c r="X113" i="4"/>
  <c r="H114" i="4"/>
  <c r="X114" i="4"/>
  <c r="G115" i="4"/>
  <c r="W115" i="4"/>
  <c r="D116" i="4"/>
  <c r="N116" i="4"/>
  <c r="Z116" i="4"/>
  <c r="C117" i="4"/>
  <c r="M117" i="4"/>
  <c r="W117" i="4"/>
  <c r="AF117" i="4"/>
  <c r="H118" i="4"/>
  <c r="Q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A111" i="4"/>
  <c r="AA111" i="4"/>
  <c r="Q112" i="4"/>
  <c r="G113" i="4"/>
  <c r="Y113" i="4"/>
  <c r="M114" i="4"/>
  <c r="AC114" i="4"/>
  <c r="L115" i="4"/>
  <c r="AA115" i="4"/>
  <c r="E116" i="4"/>
  <c r="Q116" i="4"/>
  <c r="AA116" i="4"/>
  <c r="D117" i="4"/>
  <c r="O117" i="4"/>
  <c r="X117" i="4"/>
  <c r="AG117" i="4"/>
  <c r="I118" i="4"/>
  <c r="R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B111" i="4"/>
  <c r="AG111" i="4"/>
  <c r="R112" i="4"/>
  <c r="H113" i="4"/>
  <c r="AE113" i="4"/>
  <c r="N114" i="4"/>
  <c r="AD114" i="4"/>
  <c r="M115" i="4"/>
  <c r="AB115" i="4"/>
  <c r="F116" i="4"/>
  <c r="R116" i="4"/>
  <c r="AB116" i="4"/>
  <c r="E117" i="4"/>
  <c r="P117" i="4"/>
  <c r="Y117" i="4"/>
  <c r="A118" i="4"/>
  <c r="J118" i="4"/>
  <c r="S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11" i="4"/>
  <c r="A112" i="4"/>
  <c r="X112" i="4"/>
  <c r="I113" i="4"/>
  <c r="AF113" i="4"/>
  <c r="O114" i="4"/>
  <c r="AE114" i="4"/>
  <c r="N115" i="4"/>
  <c r="AC115" i="4"/>
  <c r="I116" i="4"/>
  <c r="S116" i="4"/>
  <c r="AC116" i="4"/>
  <c r="H117" i="4"/>
  <c r="Q117" i="4"/>
  <c r="Z117" i="4"/>
  <c r="B118" i="4"/>
  <c r="K118" i="4"/>
  <c r="T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J111" i="4"/>
  <c r="B112" i="4"/>
  <c r="Y112" i="4"/>
  <c r="O113" i="4"/>
  <c r="AG113" i="4"/>
  <c r="P114" i="4"/>
  <c r="AF114" i="4"/>
  <c r="O115" i="4"/>
  <c r="AD115" i="4"/>
  <c r="J116" i="4"/>
  <c r="T116" i="4"/>
  <c r="AD116" i="4"/>
  <c r="I117" i="4"/>
  <c r="R117" i="4"/>
  <c r="AA117" i="4"/>
  <c r="C118" i="4"/>
  <c r="L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Q111" i="4"/>
  <c r="H112" i="4"/>
  <c r="Z112" i="4"/>
  <c r="P113" i="4"/>
  <c r="E114" i="4"/>
  <c r="U114" i="4"/>
  <c r="D115" i="4"/>
  <c r="T115" i="4"/>
  <c r="AE115" i="4"/>
  <c r="K116" i="4"/>
  <c r="U116" i="4"/>
  <c r="AG116" i="4"/>
  <c r="J117" i="4"/>
  <c r="S117" i="4"/>
  <c r="AB117" i="4"/>
  <c r="D118" i="4"/>
  <c r="N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AC134" i="4"/>
  <c r="AC135" i="4"/>
  <c r="AA136" i="4"/>
  <c r="K137" i="4"/>
  <c r="AA137" i="4"/>
  <c r="J138" i="4"/>
  <c r="Z138" i="4"/>
  <c r="I139" i="4"/>
  <c r="Y139" i="4"/>
  <c r="G140" i="4"/>
  <c r="U140" i="4"/>
  <c r="AF140" i="4"/>
  <c r="K141" i="4"/>
  <c r="T141" i="4"/>
  <c r="AC141" i="4"/>
  <c r="D135" i="4"/>
  <c r="C136" i="4"/>
  <c r="AB136" i="4"/>
  <c r="L137" i="4"/>
  <c r="AB137" i="4"/>
  <c r="K138" i="4"/>
  <c r="AA138" i="4"/>
  <c r="J139" i="4"/>
  <c r="Z139" i="4"/>
  <c r="H140" i="4"/>
  <c r="V140" i="4"/>
  <c r="AG140" i="4"/>
  <c r="L141" i="4"/>
  <c r="U141" i="4"/>
  <c r="AD141" i="4"/>
  <c r="E135" i="4"/>
  <c r="D136" i="4"/>
  <c r="AC136" i="4"/>
  <c r="Q137" i="4"/>
  <c r="AG137" i="4"/>
  <c r="P138" i="4"/>
  <c r="AF138" i="4"/>
  <c r="O139" i="4"/>
  <c r="AE139" i="4"/>
  <c r="I140" i="4"/>
  <c r="W140" i="4"/>
  <c r="C141" i="4"/>
  <c r="M141" i="4"/>
  <c r="V141" i="4"/>
  <c r="AE141" i="4"/>
  <c r="L135" i="4"/>
  <c r="K136" i="4"/>
  <c r="B137" i="4"/>
  <c r="R137" i="4"/>
  <c r="A138" i="4"/>
  <c r="Q138" i="4"/>
  <c r="AG138" i="4"/>
  <c r="P139" i="4"/>
  <c r="AF139" i="4"/>
  <c r="M140" i="4"/>
  <c r="X140" i="4"/>
  <c r="D141" i="4"/>
  <c r="N141" i="4"/>
  <c r="W141" i="4"/>
  <c r="AF141" i="4"/>
  <c r="M135" i="4"/>
  <c r="L136" i="4"/>
  <c r="C137" i="4"/>
  <c r="S137" i="4"/>
  <c r="B138" i="4"/>
  <c r="R138" i="4"/>
  <c r="A139" i="4"/>
  <c r="Q139" i="4"/>
  <c r="AG139" i="4"/>
  <c r="N140" i="4"/>
  <c r="Y140" i="4"/>
  <c r="E141" i="4"/>
  <c r="O141" i="4"/>
  <c r="X141" i="4"/>
  <c r="T135" i="4"/>
  <c r="S136" i="4"/>
  <c r="D137" i="4"/>
  <c r="T137" i="4"/>
  <c r="C138" i="4"/>
  <c r="S138" i="4"/>
  <c r="B139" i="4"/>
  <c r="R139" i="4"/>
  <c r="A140" i="4"/>
  <c r="O140" i="4"/>
  <c r="AC140" i="4"/>
  <c r="F141" i="4"/>
  <c r="P141" i="4"/>
  <c r="Z141" i="4"/>
  <c r="U135" i="4"/>
  <c r="T136" i="4"/>
  <c r="I137" i="4"/>
  <c r="Y137" i="4"/>
  <c r="H138" i="4"/>
  <c r="X138" i="4"/>
  <c r="G139" i="4"/>
  <c r="W139" i="4"/>
  <c r="E140" i="4"/>
  <c r="P140" i="4"/>
  <c r="AD140" i="4"/>
  <c r="G141" i="4"/>
  <c r="R141" i="4"/>
  <c r="AA141" i="4"/>
  <c r="AB135" i="4"/>
  <c r="U136" i="4"/>
  <c r="J137" i="4"/>
  <c r="Z137" i="4"/>
  <c r="I138" i="4"/>
  <c r="Y138" i="4"/>
  <c r="H139" i="4"/>
  <c r="X139" i="4"/>
  <c r="F140" i="4"/>
  <c r="Q140" i="4"/>
  <c r="AE140" i="4"/>
  <c r="H141" i="4"/>
  <c r="S141" i="4"/>
  <c r="AB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7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AD32" i="3" s="1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AD45" i="3" s="1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AE6" i="3" s="1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AE8" i="3" s="1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AE26" i="3" s="1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AE38" i="3" s="1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AD56" i="3" s="1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N41" i="3" s="1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AD63" i="3" s="1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N49" i="3" s="1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AE75" i="3" s="1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O51" i="3" s="1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AE43" i="3" s="1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AE56" i="3" s="1"/>
  <c r="Q57" i="3"/>
  <c r="Y57" i="3"/>
  <c r="T58" i="3"/>
  <c r="AB58" i="3"/>
  <c r="W59" i="3"/>
  <c r="R60" i="3"/>
  <c r="Z60" i="3"/>
  <c r="U61" i="3"/>
  <c r="AE61" i="3" s="1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O87" i="3" s="1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AE42" i="3" s="1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O80" i="3" s="1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AE68" i="3" s="1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AE91" i="3" s="1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AE112" i="3" s="1"/>
  <c r="P113" i="3"/>
  <c r="X113" i="3"/>
  <c r="U13" i="3"/>
  <c r="AE13" i="3" s="1"/>
  <c r="V24" i="3"/>
  <c r="R36" i="3"/>
  <c r="U40" i="3"/>
  <c r="AE40" i="3" s="1"/>
  <c r="Z42" i="3"/>
  <c r="V45" i="3"/>
  <c r="U48" i="3"/>
  <c r="AE48" i="3" s="1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AE76" i="3" s="1"/>
  <c r="U77" i="3"/>
  <c r="AE77" i="3" s="1"/>
  <c r="Q78" i="3"/>
  <c r="Z78" i="3"/>
  <c r="V79" i="3"/>
  <c r="S80" i="3"/>
  <c r="AB80" i="3"/>
  <c r="X81" i="3"/>
  <c r="T82" i="3"/>
  <c r="P83" i="3"/>
  <c r="Y83" i="3"/>
  <c r="U84" i="3"/>
  <c r="AE84" i="3" s="1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AE60" i="3" s="1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AE29" i="3" s="1"/>
  <c r="P38" i="3"/>
  <c r="N38" i="3" s="1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AE83" i="3" s="1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N112" i="3" s="1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AD129" i="3" s="1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N153" i="3" s="1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AE116" i="3" s="1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AD106" i="3" s="1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AD123" i="3" s="1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Z65" i="3"/>
  <c r="AA73" i="3"/>
  <c r="P79" i="3"/>
  <c r="N79" i="3" s="1"/>
  <c r="Z81" i="3"/>
  <c r="X84" i="3"/>
  <c r="U87" i="3"/>
  <c r="AE87" i="3" s="1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AE108" i="3" s="1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AE90" i="3" s="1"/>
  <c r="U92" i="3"/>
  <c r="AE92" i="3" s="1"/>
  <c r="R94" i="3"/>
  <c r="W95" i="3"/>
  <c r="T97" i="3"/>
  <c r="Q99" i="3"/>
  <c r="V100" i="3"/>
  <c r="S102" i="3"/>
  <c r="P104" i="3"/>
  <c r="AD104" i="3" s="1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D110" i="3" s="1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AE123" i="3" s="1"/>
  <c r="P124" i="3"/>
  <c r="N124" i="3" s="1"/>
  <c r="X124" i="3"/>
  <c r="S125" i="3"/>
  <c r="AA116" i="3"/>
  <c r="Q122" i="3"/>
  <c r="U126" i="3"/>
  <c r="AE126" i="3" s="1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AE147" i="3" s="1"/>
  <c r="X148" i="3"/>
  <c r="AA149" i="3"/>
  <c r="Q151" i="3"/>
  <c r="T152" i="3"/>
  <c r="U153" i="3"/>
  <c r="AE153" i="3" s="1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O176" i="3" s="1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AD192" i="3" s="1"/>
  <c r="X192" i="3"/>
  <c r="S193" i="3"/>
  <c r="AA193" i="3"/>
  <c r="V194" i="3"/>
  <c r="Q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O127" i="3" s="1"/>
  <c r="V129" i="3"/>
  <c r="AB131" i="3"/>
  <c r="U134" i="3"/>
  <c r="AE134" i="3" s="1"/>
  <c r="AA136" i="3"/>
  <c r="T139" i="3"/>
  <c r="R141" i="3"/>
  <c r="AB142" i="3"/>
  <c r="R144" i="3"/>
  <c r="U145" i="3"/>
  <c r="AE145" i="3" s="1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AE161" i="3" s="1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O205" i="3" s="1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AE139" i="3" s="1"/>
  <c r="S141" i="3"/>
  <c r="P143" i="3"/>
  <c r="N143" i="3" s="1"/>
  <c r="S144" i="3"/>
  <c r="V145" i="3"/>
  <c r="Y146" i="3"/>
  <c r="AB147" i="3"/>
  <c r="R149" i="3"/>
  <c r="U150" i="3"/>
  <c r="AE150" i="3" s="1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AE166" i="3" s="1"/>
  <c r="T167" i="3"/>
  <c r="P168" i="3"/>
  <c r="Y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AD186" i="3" s="1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AE148" i="3" s="1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N146" i="3" s="1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N151" i="3" s="1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AE164" i="3" s="1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AD174" i="3" s="1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Z170" i="3"/>
  <c r="S173" i="3"/>
  <c r="Y175" i="3"/>
  <c r="R178" i="3"/>
  <c r="X180" i="3"/>
  <c r="W182" i="3"/>
  <c r="T184" i="3"/>
  <c r="Y185" i="3"/>
  <c r="V187" i="3"/>
  <c r="S189" i="3"/>
  <c r="X190" i="3"/>
  <c r="U192" i="3"/>
  <c r="AE192" i="3" s="1"/>
  <c r="R194" i="3"/>
  <c r="U195" i="3"/>
  <c r="AE195" i="3" s="1"/>
  <c r="X196" i="3"/>
  <c r="AA197" i="3"/>
  <c r="P199" i="3"/>
  <c r="AA199" i="3"/>
  <c r="AB200" i="3"/>
  <c r="P202" i="3"/>
  <c r="N202" i="3" s="1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O262" i="3" s="1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N278" i="3" s="1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AE189" i="3" s="1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AE231" i="3" s="1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AE247" i="3" s="1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O193" i="3" s="1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AD225" i="3" s="1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O245" i="3" s="1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AE203" i="3" s="1"/>
  <c r="V204" i="3"/>
  <c r="T205" i="3"/>
  <c r="U206" i="3"/>
  <c r="AE206" i="3" s="1"/>
  <c r="S207" i="3"/>
  <c r="T208" i="3"/>
  <c r="U209" i="3"/>
  <c r="AE209" i="3" s="1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O234" i="3" s="1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N242" i="3" s="1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AE205" i="3" s="1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AE212" i="3" s="1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AD265" i="3" s="1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AE276" i="3" s="1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N313" i="3" s="1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N345" i="3" s="1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N302" i="3" s="1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AE265" i="3" s="1"/>
  <c r="S266" i="3"/>
  <c r="T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AE290" i="3" s="1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N315" i="3" s="1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AE264" i="3" s="1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AE281" i="3" s="1"/>
  <c r="Q282" i="3"/>
  <c r="Z282" i="3"/>
  <c r="V283" i="3"/>
  <c r="S284" i="3"/>
  <c r="AB284" i="3"/>
  <c r="X285" i="3"/>
  <c r="T286" i="3"/>
  <c r="P287" i="3"/>
  <c r="AD287" i="3" s="1"/>
  <c r="Y287" i="3"/>
  <c r="U288" i="3"/>
  <c r="AE288" i="3" s="1"/>
  <c r="R289" i="3"/>
  <c r="AA289" i="3"/>
  <c r="W290" i="3"/>
  <c r="R291" i="3"/>
  <c r="Z291" i="3"/>
  <c r="U292" i="3"/>
  <c r="AE292" i="3" s="1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N317" i="3" s="1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N276" i="3" s="1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AE284" i="3" s="1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AD295" i="3" s="1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AE271" i="3" s="1"/>
  <c r="R272" i="3"/>
  <c r="AB272" i="3"/>
  <c r="AA273" i="3"/>
  <c r="X274" i="3"/>
  <c r="U275" i="3"/>
  <c r="AE275" i="3" s="1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AE289" i="3" s="1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AE356" i="3" s="1"/>
  <c r="Q357" i="3"/>
  <c r="Z357" i="3"/>
  <c r="V358" i="3"/>
  <c r="S359" i="3"/>
  <c r="AB359" i="3"/>
  <c r="X360" i="3"/>
  <c r="T361" i="3"/>
  <c r="P362" i="3"/>
  <c r="AD362" i="3" s="1"/>
  <c r="Y362" i="3"/>
  <c r="U363" i="3"/>
  <c r="AE363" i="3" s="1"/>
  <c r="R364" i="3"/>
  <c r="AA364" i="3"/>
  <c r="W365" i="3"/>
  <c r="R366" i="3"/>
  <c r="Z366" i="3"/>
  <c r="U367" i="3"/>
  <c r="AE367" i="3" s="1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AD384" i="3" s="1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AD324" i="3" s="1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AE347" i="3" s="1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AE369" i="3" s="1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AD394" i="3" s="1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D333" i="3" s="1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AE364" i="3" s="1"/>
  <c r="Q365" i="3"/>
  <c r="Z365" i="3"/>
  <c r="U366" i="3"/>
  <c r="AE366" i="3" s="1"/>
  <c r="P367" i="3"/>
  <c r="N367" i="3" s="1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AD349" i="3" s="1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N343" i="3" s="1"/>
  <c r="AB343" i="3"/>
  <c r="Y344" i="3"/>
  <c r="V345" i="3"/>
  <c r="U346" i="3"/>
  <c r="AE346" i="3" s="1"/>
  <c r="Q347" i="3"/>
  <c r="Z347" i="3"/>
  <c r="V348" i="3"/>
  <c r="R349" i="3"/>
  <c r="AA349" i="3"/>
  <c r="X350" i="3"/>
  <c r="T351" i="3"/>
  <c r="P352" i="3"/>
  <c r="N352" i="3" s="1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AE334" i="3" s="1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N385" i="3" s="1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O432" i="3" s="1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O429" i="3" s="1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AD426" i="3" s="1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O458" i="3" s="1"/>
  <c r="X458" i="3"/>
  <c r="S459" i="3"/>
  <c r="X377" i="3"/>
  <c r="Y380" i="3"/>
  <c r="Q382" i="3"/>
  <c r="AA383" i="3"/>
  <c r="X385" i="3"/>
  <c r="P387" i="3"/>
  <c r="AD387" i="3" s="1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AE414" i="3" s="1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N425" i="3" s="1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AE405" i="3" s="1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AE475" i="3" s="1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AE489" i="3" s="1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O477" i="3" s="1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N466" i="3" s="1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AE464" i="3" s="1"/>
  <c r="R465" i="3"/>
  <c r="Q466" i="3"/>
  <c r="AA466" i="3"/>
  <c r="X467" i="3"/>
  <c r="W468" i="3"/>
  <c r="T469" i="3"/>
  <c r="Q470" i="3"/>
  <c r="P471" i="3"/>
  <c r="N471" i="3" s="1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AE469" i="3" s="1"/>
  <c r="T470" i="3"/>
  <c r="Q471" i="3"/>
  <c r="AA471" i="3"/>
  <c r="Z472" i="3"/>
  <c r="W473" i="3"/>
  <c r="T474" i="3"/>
  <c r="S475" i="3"/>
  <c r="P476" i="3"/>
  <c r="AD476" i="3" s="1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O481" i="3" s="1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AE31" i="3"/>
  <c r="AE41" i="3"/>
  <c r="AE51" i="3"/>
  <c r="AE7" i="3"/>
  <c r="AE113" i="3"/>
  <c r="O60" i="3"/>
  <c r="AE168" i="3"/>
  <c r="O118" i="3"/>
  <c r="O16" i="3" l="1"/>
  <c r="N142" i="3"/>
  <c r="AD69" i="3"/>
  <c r="AD124" i="3"/>
  <c r="O124" i="3"/>
  <c r="O69" i="3"/>
  <c r="O106" i="3"/>
  <c r="O79" i="3"/>
  <c r="AD193" i="3"/>
  <c r="AD80" i="3"/>
  <c r="AD79" i="3"/>
  <c r="N80" i="3"/>
  <c r="N110" i="3"/>
  <c r="N186" i="3"/>
  <c r="AD239" i="3"/>
  <c r="O186" i="3"/>
  <c r="AD317" i="3"/>
  <c r="N106" i="3"/>
  <c r="N239" i="3"/>
  <c r="N67" i="3"/>
  <c r="O151" i="3"/>
  <c r="O317" i="3"/>
  <c r="AD151" i="3"/>
  <c r="AD118" i="3"/>
  <c r="O349" i="3"/>
  <c r="AD263" i="3"/>
  <c r="AD141" i="3"/>
  <c r="O9" i="3"/>
  <c r="AH113" i="3"/>
  <c r="AD49" i="3"/>
  <c r="O49" i="3"/>
  <c r="N14" i="3"/>
  <c r="AH255" i="3"/>
  <c r="O293" i="3"/>
  <c r="AD14" i="3"/>
  <c r="N20" i="3"/>
  <c r="AD20" i="3"/>
  <c r="N293" i="3"/>
  <c r="AD143" i="3"/>
  <c r="AD313" i="3"/>
  <c r="O295" i="3"/>
  <c r="N295" i="3"/>
  <c r="O146" i="3"/>
  <c r="N349" i="3"/>
  <c r="AD146" i="3"/>
  <c r="AH126" i="3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A18" i="1" l="1" a="1"/>
  <c r="AI478" i="3"/>
  <c r="AI233" i="3"/>
  <c r="AI113" i="3"/>
  <c r="AI255" i="3"/>
  <c r="AI18" i="3"/>
  <c r="AI212" i="3"/>
  <c r="AI183" i="3"/>
  <c r="AI7" i="3"/>
  <c r="AI211" i="3"/>
  <c r="AI126" i="3"/>
  <c r="AI304" i="3"/>
  <c r="AI269" i="3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9" i="1" a="1"/>
  <c r="A29" i="1" s="1"/>
  <c r="F29" i="1" s="1"/>
  <c r="G29" i="1" s="1"/>
  <c r="AI192" i="3"/>
  <c r="AI409" i="3"/>
  <c r="AI97" i="3"/>
  <c r="AI184" i="3"/>
  <c r="AI112" i="3"/>
  <c r="AI41" i="3"/>
  <c r="AI146" i="3"/>
  <c r="AI203" i="3"/>
  <c r="AI169" i="3"/>
  <c r="AI177" i="3"/>
  <c r="S4" i="3"/>
  <c r="D56" i="1" s="1"/>
  <c r="AI13" i="3"/>
  <c r="R18" i="1" a="1"/>
  <c r="R154" i="1" s="1"/>
  <c r="S154" i="1" s="1"/>
  <c r="Z154" i="1" s="1"/>
  <c r="R4" i="3"/>
  <c r="D67" i="1" s="1"/>
  <c r="U2" i="3"/>
  <c r="S2" i="3"/>
  <c r="T2" i="3"/>
  <c r="F19" i="1" s="1"/>
  <c r="X3" i="3"/>
  <c r="AD3" i="3" s="1"/>
  <c r="AA18" i="1" l="1"/>
  <c r="AA26" i="1"/>
  <c r="AB26" i="1" s="1"/>
  <c r="AA34" i="1"/>
  <c r="AA42" i="1"/>
  <c r="AA50" i="1"/>
  <c r="AA58" i="1"/>
  <c r="AA66" i="1"/>
  <c r="AA74" i="1"/>
  <c r="AB74" i="1" s="1"/>
  <c r="AA82" i="1"/>
  <c r="AA90" i="1"/>
  <c r="AB90" i="1" s="1"/>
  <c r="AA98" i="1"/>
  <c r="AA106" i="1"/>
  <c r="AA114" i="1"/>
  <c r="AA122" i="1"/>
  <c r="AB122" i="1" s="1"/>
  <c r="AA130" i="1"/>
  <c r="AA138" i="1"/>
  <c r="AB138" i="1" s="1"/>
  <c r="AA146" i="1"/>
  <c r="AA154" i="1"/>
  <c r="AA162" i="1"/>
  <c r="AA170" i="1"/>
  <c r="AA178" i="1"/>
  <c r="AA186" i="1"/>
  <c r="AB186" i="1" s="1"/>
  <c r="AA194" i="1"/>
  <c r="AA202" i="1"/>
  <c r="AB202" i="1" s="1"/>
  <c r="AA210" i="1"/>
  <c r="AA218" i="1"/>
  <c r="AB218" i="1" s="1"/>
  <c r="AA226" i="1"/>
  <c r="AA234" i="1"/>
  <c r="AA242" i="1"/>
  <c r="AA250" i="1"/>
  <c r="AB250" i="1" s="1"/>
  <c r="AA258" i="1"/>
  <c r="AA266" i="1"/>
  <c r="AB266" i="1" s="1"/>
  <c r="AA274" i="1"/>
  <c r="AA282" i="1"/>
  <c r="AA290" i="1"/>
  <c r="AA298" i="1"/>
  <c r="AA306" i="1"/>
  <c r="AA314" i="1"/>
  <c r="AB314" i="1" s="1"/>
  <c r="AA322" i="1"/>
  <c r="AA330" i="1"/>
  <c r="AB330" i="1" s="1"/>
  <c r="AA338" i="1"/>
  <c r="AA346" i="1"/>
  <c r="AB346" i="1" s="1"/>
  <c r="AA354" i="1"/>
  <c r="AA362" i="1"/>
  <c r="AA370" i="1"/>
  <c r="AA378" i="1"/>
  <c r="AB378" i="1" s="1"/>
  <c r="AA386" i="1"/>
  <c r="AA394" i="1"/>
  <c r="AB394" i="1" s="1"/>
  <c r="AA19" i="1"/>
  <c r="AA27" i="1"/>
  <c r="AA35" i="1"/>
  <c r="AA43" i="1"/>
  <c r="AA51" i="1"/>
  <c r="AA59" i="1"/>
  <c r="AB59" i="1" s="1"/>
  <c r="AA67" i="1"/>
  <c r="AA75" i="1"/>
  <c r="AB75" i="1" s="1"/>
  <c r="AA83" i="1"/>
  <c r="AA91" i="1"/>
  <c r="AB91" i="1" s="1"/>
  <c r="AA99" i="1"/>
  <c r="AA107" i="1"/>
  <c r="AA115" i="1"/>
  <c r="AA123" i="1"/>
  <c r="AB123" i="1" s="1"/>
  <c r="AA131" i="1"/>
  <c r="AA139" i="1"/>
  <c r="AB139" i="1" s="1"/>
  <c r="AA147" i="1"/>
  <c r="AA155" i="1"/>
  <c r="AB155" i="1" s="1"/>
  <c r="AA163" i="1"/>
  <c r="AA171" i="1"/>
  <c r="AA179" i="1"/>
  <c r="AA187" i="1"/>
  <c r="AB187" i="1" s="1"/>
  <c r="AA195" i="1"/>
  <c r="AA203" i="1"/>
  <c r="AB203" i="1" s="1"/>
  <c r="AA211" i="1"/>
  <c r="AA219" i="1"/>
  <c r="AB219" i="1" s="1"/>
  <c r="AA227" i="1"/>
  <c r="AA235" i="1"/>
  <c r="AA243" i="1"/>
  <c r="AA251" i="1"/>
  <c r="AB251" i="1" s="1"/>
  <c r="AA259" i="1"/>
  <c r="AA267" i="1"/>
  <c r="AB267" i="1" s="1"/>
  <c r="AA275" i="1"/>
  <c r="AA283" i="1"/>
  <c r="AA291" i="1"/>
  <c r="AA299" i="1"/>
  <c r="AA307" i="1"/>
  <c r="AA22" i="1"/>
  <c r="AB22" i="1" s="1"/>
  <c r="AA30" i="1"/>
  <c r="AA38" i="1"/>
  <c r="AB38" i="1" s="1"/>
  <c r="AA46" i="1"/>
  <c r="AA54" i="1"/>
  <c r="AB54" i="1" s="1"/>
  <c r="AA62" i="1"/>
  <c r="AA70" i="1"/>
  <c r="AA78" i="1"/>
  <c r="AA86" i="1"/>
  <c r="AB86" i="1" s="1"/>
  <c r="AA94" i="1"/>
  <c r="AA102" i="1"/>
  <c r="AB102" i="1" s="1"/>
  <c r="AA110" i="1"/>
  <c r="AA118" i="1"/>
  <c r="AB118" i="1" s="1"/>
  <c r="AA126" i="1"/>
  <c r="AA134" i="1"/>
  <c r="AA142" i="1"/>
  <c r="AA150" i="1"/>
  <c r="AB150" i="1" s="1"/>
  <c r="AA158" i="1"/>
  <c r="AA166" i="1"/>
  <c r="AB166" i="1" s="1"/>
  <c r="AA174" i="1"/>
  <c r="AA182" i="1"/>
  <c r="AA190" i="1"/>
  <c r="AA198" i="1"/>
  <c r="AA206" i="1"/>
  <c r="AA214" i="1"/>
  <c r="AB214" i="1" s="1"/>
  <c r="AA222" i="1"/>
  <c r="AA230" i="1"/>
  <c r="AB230" i="1" s="1"/>
  <c r="AA238" i="1"/>
  <c r="AA246" i="1"/>
  <c r="AB246" i="1" s="1"/>
  <c r="AA254" i="1"/>
  <c r="AA262" i="1"/>
  <c r="AA270" i="1"/>
  <c r="AA278" i="1"/>
  <c r="AB278" i="1" s="1"/>
  <c r="AA286" i="1"/>
  <c r="AA294" i="1"/>
  <c r="AB294" i="1" s="1"/>
  <c r="AA302" i="1"/>
  <c r="AA310" i="1"/>
  <c r="AA318" i="1"/>
  <c r="AA326" i="1"/>
  <c r="AA334" i="1"/>
  <c r="AA342" i="1"/>
  <c r="AB342" i="1" s="1"/>
  <c r="AA350" i="1"/>
  <c r="AA358" i="1"/>
  <c r="AB358" i="1" s="1"/>
  <c r="AA366" i="1"/>
  <c r="AA374" i="1"/>
  <c r="AB374" i="1" s="1"/>
  <c r="AA382" i="1"/>
  <c r="AA390" i="1"/>
  <c r="AA23" i="1"/>
  <c r="AA31" i="1"/>
  <c r="AB31" i="1" s="1"/>
  <c r="AA39" i="1"/>
  <c r="AA47" i="1"/>
  <c r="AB47" i="1" s="1"/>
  <c r="AA55" i="1"/>
  <c r="AA63" i="1"/>
  <c r="AA71" i="1"/>
  <c r="AA79" i="1"/>
  <c r="AA87" i="1"/>
  <c r="AA95" i="1"/>
  <c r="AB95" i="1" s="1"/>
  <c r="AA103" i="1"/>
  <c r="AA111" i="1"/>
  <c r="AB111" i="1" s="1"/>
  <c r="AA119" i="1"/>
  <c r="AA127" i="1"/>
  <c r="AB127" i="1" s="1"/>
  <c r="AA135" i="1"/>
  <c r="AA143" i="1"/>
  <c r="AA151" i="1"/>
  <c r="AA159" i="1"/>
  <c r="AB159" i="1" s="1"/>
  <c r="AA167" i="1"/>
  <c r="AA175" i="1"/>
  <c r="AB175" i="1" s="1"/>
  <c r="AA183" i="1"/>
  <c r="AA191" i="1"/>
  <c r="AB191" i="1" s="1"/>
  <c r="AA199" i="1"/>
  <c r="AA207" i="1"/>
  <c r="AA215" i="1"/>
  <c r="AA223" i="1"/>
  <c r="AA231" i="1"/>
  <c r="AA239" i="1"/>
  <c r="AB239" i="1" s="1"/>
  <c r="AA247" i="1"/>
  <c r="AA255" i="1"/>
  <c r="AB255" i="1" s="1"/>
  <c r="AA263" i="1"/>
  <c r="AA271" i="1"/>
  <c r="AA279" i="1"/>
  <c r="AA287" i="1"/>
  <c r="AB287" i="1" s="1"/>
  <c r="AA295" i="1"/>
  <c r="AA303" i="1"/>
  <c r="AB303" i="1" s="1"/>
  <c r="AA311" i="1"/>
  <c r="AA319" i="1"/>
  <c r="AB319" i="1" s="1"/>
  <c r="AA327" i="1"/>
  <c r="AA335" i="1"/>
  <c r="AA343" i="1"/>
  <c r="AA351" i="1"/>
  <c r="AB351" i="1" s="1"/>
  <c r="AA359" i="1"/>
  <c r="AA367" i="1"/>
  <c r="AB367" i="1" s="1"/>
  <c r="AA375" i="1"/>
  <c r="AA383" i="1"/>
  <c r="AA391" i="1"/>
  <c r="AA25" i="1"/>
  <c r="AA33" i="1"/>
  <c r="AA41" i="1"/>
  <c r="AB41" i="1" s="1"/>
  <c r="AA49" i="1"/>
  <c r="AA57" i="1"/>
  <c r="AB57" i="1" s="1"/>
  <c r="AA65" i="1"/>
  <c r="AA73" i="1"/>
  <c r="AB73" i="1" s="1"/>
  <c r="AA81" i="1"/>
  <c r="AA89" i="1"/>
  <c r="AA97" i="1"/>
  <c r="AA105" i="1"/>
  <c r="AA113" i="1"/>
  <c r="AA121" i="1"/>
  <c r="AB121" i="1" s="1"/>
  <c r="AA129" i="1"/>
  <c r="AA137" i="1"/>
  <c r="AA145" i="1"/>
  <c r="AA153" i="1"/>
  <c r="AA161" i="1"/>
  <c r="AA169" i="1"/>
  <c r="AB169" i="1" s="1"/>
  <c r="AA177" i="1"/>
  <c r="AA185" i="1"/>
  <c r="AB185" i="1" s="1"/>
  <c r="AA193" i="1"/>
  <c r="AA201" i="1"/>
  <c r="AB201" i="1" s="1"/>
  <c r="AA209" i="1"/>
  <c r="AA217" i="1"/>
  <c r="AA225" i="1"/>
  <c r="AA233" i="1"/>
  <c r="AB233" i="1" s="1"/>
  <c r="AA241" i="1"/>
  <c r="AA249" i="1"/>
  <c r="AB249" i="1" s="1"/>
  <c r="AA257" i="1"/>
  <c r="AA265" i="1"/>
  <c r="AA273" i="1"/>
  <c r="AA281" i="1"/>
  <c r="AA289" i="1"/>
  <c r="AA297" i="1"/>
  <c r="AB297" i="1" s="1"/>
  <c r="AA24" i="1"/>
  <c r="AA32" i="1"/>
  <c r="AB32" i="1" s="1"/>
  <c r="AA40" i="1"/>
  <c r="AA48" i="1"/>
  <c r="AB48" i="1" s="1"/>
  <c r="AA56" i="1"/>
  <c r="AA64" i="1"/>
  <c r="AA72" i="1"/>
  <c r="AA80" i="1"/>
  <c r="AB80" i="1" s="1"/>
  <c r="AA88" i="1"/>
  <c r="AA96" i="1"/>
  <c r="AB96" i="1" s="1"/>
  <c r="AA104" i="1"/>
  <c r="AA112" i="1"/>
  <c r="AA120" i="1"/>
  <c r="AA128" i="1"/>
  <c r="AA136" i="1"/>
  <c r="AA144" i="1"/>
  <c r="AB144" i="1" s="1"/>
  <c r="AA152" i="1"/>
  <c r="AA160" i="1"/>
  <c r="AB160" i="1" s="1"/>
  <c r="AA168" i="1"/>
  <c r="AA176" i="1"/>
  <c r="AB176" i="1" s="1"/>
  <c r="AA184" i="1"/>
  <c r="AA192" i="1"/>
  <c r="AA200" i="1"/>
  <c r="AA208" i="1"/>
  <c r="AB208" i="1" s="1"/>
  <c r="AA216" i="1"/>
  <c r="AA224" i="1"/>
  <c r="AB224" i="1" s="1"/>
  <c r="AA232" i="1"/>
  <c r="AA240" i="1"/>
  <c r="AB240" i="1" s="1"/>
  <c r="AA248" i="1"/>
  <c r="AA256" i="1"/>
  <c r="AA264" i="1"/>
  <c r="AA272" i="1"/>
  <c r="AA280" i="1"/>
  <c r="AA288" i="1"/>
  <c r="AB288" i="1" s="1"/>
  <c r="AA296" i="1"/>
  <c r="AA304" i="1"/>
  <c r="AB304" i="1" s="1"/>
  <c r="AA312" i="1"/>
  <c r="AA320" i="1"/>
  <c r="AA328" i="1"/>
  <c r="AA336" i="1"/>
  <c r="AB336" i="1" s="1"/>
  <c r="AA344" i="1"/>
  <c r="AA352" i="1"/>
  <c r="AB352" i="1" s="1"/>
  <c r="AA360" i="1"/>
  <c r="AA368" i="1"/>
  <c r="AA376" i="1"/>
  <c r="AA384" i="1"/>
  <c r="AA392" i="1"/>
  <c r="AA21" i="1"/>
  <c r="AB21" i="1" s="1"/>
  <c r="AA53" i="1"/>
  <c r="AA85" i="1"/>
  <c r="AB85" i="1" s="1"/>
  <c r="AA117" i="1"/>
  <c r="AA149" i="1"/>
  <c r="AB149" i="1" s="1"/>
  <c r="AA181" i="1"/>
  <c r="AA213" i="1"/>
  <c r="AA245" i="1"/>
  <c r="AA277" i="1"/>
  <c r="AB277" i="1" s="1"/>
  <c r="AA308" i="1"/>
  <c r="AA324" i="1"/>
  <c r="AB324" i="1" s="1"/>
  <c r="AA340" i="1"/>
  <c r="AA356" i="1"/>
  <c r="AB356" i="1" s="1"/>
  <c r="AA372" i="1"/>
  <c r="AA388" i="1"/>
  <c r="AA124" i="1"/>
  <c r="AA252" i="1"/>
  <c r="AB252" i="1" s="1"/>
  <c r="AA357" i="1"/>
  <c r="AA29" i="1"/>
  <c r="AB29" i="1" s="1"/>
  <c r="AA253" i="1"/>
  <c r="AA345" i="1"/>
  <c r="AA68" i="1"/>
  <c r="AA260" i="1"/>
  <c r="AA347" i="1"/>
  <c r="AA37" i="1"/>
  <c r="AB37" i="1" s="1"/>
  <c r="AA69" i="1"/>
  <c r="AB69" i="1" s="1"/>
  <c r="AA101" i="1"/>
  <c r="AB101" i="1" s="1"/>
  <c r="AA133" i="1"/>
  <c r="AA165" i="1"/>
  <c r="AB165" i="1" s="1"/>
  <c r="AA197" i="1"/>
  <c r="AA229" i="1"/>
  <c r="AA261" i="1"/>
  <c r="AA293" i="1"/>
  <c r="AB293" i="1" s="1"/>
  <c r="AA316" i="1"/>
  <c r="AB316" i="1" s="1"/>
  <c r="AA332" i="1"/>
  <c r="AB332" i="1" s="1"/>
  <c r="AA348" i="1"/>
  <c r="AA364" i="1"/>
  <c r="AB364" i="1" s="1"/>
  <c r="AA380" i="1"/>
  <c r="AA349" i="1"/>
  <c r="AA381" i="1"/>
  <c r="AA20" i="1"/>
  <c r="AB20" i="1" s="1"/>
  <c r="AA60" i="1"/>
  <c r="AA156" i="1"/>
  <c r="AB156" i="1" s="1"/>
  <c r="AA284" i="1"/>
  <c r="AA341" i="1"/>
  <c r="AB341" i="1" s="1"/>
  <c r="AA61" i="1"/>
  <c r="AA157" i="1"/>
  <c r="AA285" i="1"/>
  <c r="AA361" i="1"/>
  <c r="AB361" i="1" s="1"/>
  <c r="AA36" i="1"/>
  <c r="AB36" i="1" s="1"/>
  <c r="AA164" i="1"/>
  <c r="AB164" i="1" s="1"/>
  <c r="AA331" i="1"/>
  <c r="AA395" i="1"/>
  <c r="AB395" i="1" s="1"/>
  <c r="AA44" i="1"/>
  <c r="AA76" i="1"/>
  <c r="AA108" i="1"/>
  <c r="AA140" i="1"/>
  <c r="AB140" i="1" s="1"/>
  <c r="AA172" i="1"/>
  <c r="AB172" i="1" s="1"/>
  <c r="AA204" i="1"/>
  <c r="AB204" i="1" s="1"/>
  <c r="AA236" i="1"/>
  <c r="AA268" i="1"/>
  <c r="AA300" i="1"/>
  <c r="AA317" i="1"/>
  <c r="AA333" i="1"/>
  <c r="AA365" i="1"/>
  <c r="AB365" i="1" s="1"/>
  <c r="AA84" i="1"/>
  <c r="AB84" i="1" s="1"/>
  <c r="AA148" i="1"/>
  <c r="AB148" i="1" s="1"/>
  <c r="AA180" i="1"/>
  <c r="AA244" i="1"/>
  <c r="AB244" i="1" s="1"/>
  <c r="AA305" i="1"/>
  <c r="AA339" i="1"/>
  <c r="AA355" i="1"/>
  <c r="AA387" i="1"/>
  <c r="AB387" i="1" s="1"/>
  <c r="AA28" i="1"/>
  <c r="AB28" i="1" s="1"/>
  <c r="AA188" i="1"/>
  <c r="AB188" i="1" s="1"/>
  <c r="AA309" i="1"/>
  <c r="AA373" i="1"/>
  <c r="AB373" i="1" s="1"/>
  <c r="AA125" i="1"/>
  <c r="AA221" i="1"/>
  <c r="AA313" i="1"/>
  <c r="AA377" i="1"/>
  <c r="AB377" i="1" s="1"/>
  <c r="AA132" i="1"/>
  <c r="AA228" i="1"/>
  <c r="AB228" i="1" s="1"/>
  <c r="AA315" i="1"/>
  <c r="AA363" i="1"/>
  <c r="AB363" i="1" s="1"/>
  <c r="AA45" i="1"/>
  <c r="AA77" i="1"/>
  <c r="AA109" i="1"/>
  <c r="AA141" i="1"/>
  <c r="AB141" i="1" s="1"/>
  <c r="AA173" i="1"/>
  <c r="AB173" i="1" s="1"/>
  <c r="AA205" i="1"/>
  <c r="AB205" i="1" s="1"/>
  <c r="AA237" i="1"/>
  <c r="AA269" i="1"/>
  <c r="AB269" i="1" s="1"/>
  <c r="AA301" i="1"/>
  <c r="AA321" i="1"/>
  <c r="AA337" i="1"/>
  <c r="AA353" i="1"/>
  <c r="AB353" i="1" s="1"/>
  <c r="AA369" i="1"/>
  <c r="AB369" i="1" s="1"/>
  <c r="AA385" i="1"/>
  <c r="AB385" i="1" s="1"/>
  <c r="AA52" i="1"/>
  <c r="AA116" i="1"/>
  <c r="AB116" i="1" s="1"/>
  <c r="AA212" i="1"/>
  <c r="AA276" i="1"/>
  <c r="AA323" i="1"/>
  <c r="AA371" i="1"/>
  <c r="AB371" i="1" s="1"/>
  <c r="AA92" i="1"/>
  <c r="AB92" i="1" s="1"/>
  <c r="AA220" i="1"/>
  <c r="AB220" i="1" s="1"/>
  <c r="AA325" i="1"/>
  <c r="AA389" i="1"/>
  <c r="AB389" i="1" s="1"/>
  <c r="AA93" i="1"/>
  <c r="AA189" i="1"/>
  <c r="AA329" i="1"/>
  <c r="AA393" i="1"/>
  <c r="AB393" i="1" s="1"/>
  <c r="AA100" i="1"/>
  <c r="AB100" i="1" s="1"/>
  <c r="AA196" i="1"/>
  <c r="AB196" i="1" s="1"/>
  <c r="AA292" i="1"/>
  <c r="AA379" i="1"/>
  <c r="AB18" i="1"/>
  <c r="AB34" i="1"/>
  <c r="AB42" i="1"/>
  <c r="AB50" i="1"/>
  <c r="AB58" i="1"/>
  <c r="AB66" i="1"/>
  <c r="AB82" i="1"/>
  <c r="AB98" i="1"/>
  <c r="AB106" i="1"/>
  <c r="AB114" i="1"/>
  <c r="AB130" i="1"/>
  <c r="AB146" i="1"/>
  <c r="AB154" i="1"/>
  <c r="AB162" i="1"/>
  <c r="AB170" i="1"/>
  <c r="AB178" i="1"/>
  <c r="AB194" i="1"/>
  <c r="AB210" i="1"/>
  <c r="AB226" i="1"/>
  <c r="AB234" i="1"/>
  <c r="AB242" i="1"/>
  <c r="AB258" i="1"/>
  <c r="AB274" i="1"/>
  <c r="AB282" i="1"/>
  <c r="AB290" i="1"/>
  <c r="AB298" i="1"/>
  <c r="AB306" i="1"/>
  <c r="AB322" i="1"/>
  <c r="AB338" i="1"/>
  <c r="AB354" i="1"/>
  <c r="AB362" i="1"/>
  <c r="AB370" i="1"/>
  <c r="AB386" i="1"/>
  <c r="AB19" i="1"/>
  <c r="AB27" i="1"/>
  <c r="AB35" i="1"/>
  <c r="AB43" i="1"/>
  <c r="AB51" i="1"/>
  <c r="AB67" i="1"/>
  <c r="AB83" i="1"/>
  <c r="AB99" i="1"/>
  <c r="AB107" i="1"/>
  <c r="AB115" i="1"/>
  <c r="AB131" i="1"/>
  <c r="AB147" i="1"/>
  <c r="AB163" i="1"/>
  <c r="AB171" i="1"/>
  <c r="AB179" i="1"/>
  <c r="AB195" i="1"/>
  <c r="AB211" i="1"/>
  <c r="AB227" i="1"/>
  <c r="AB235" i="1"/>
  <c r="AB243" i="1"/>
  <c r="AB259" i="1"/>
  <c r="AB44" i="1"/>
  <c r="AB52" i="1"/>
  <c r="AB60" i="1"/>
  <c r="AB68" i="1"/>
  <c r="AB76" i="1"/>
  <c r="AB108" i="1"/>
  <c r="AB124" i="1"/>
  <c r="AB132" i="1"/>
  <c r="AB180" i="1"/>
  <c r="AB212" i="1"/>
  <c r="AB236" i="1"/>
  <c r="AB260" i="1"/>
  <c r="AB268" i="1"/>
  <c r="AB276" i="1"/>
  <c r="AB284" i="1"/>
  <c r="AB292" i="1"/>
  <c r="AB300" i="1"/>
  <c r="AB308" i="1"/>
  <c r="AB340" i="1"/>
  <c r="AB348" i="1"/>
  <c r="AB372" i="1"/>
  <c r="AB380" i="1"/>
  <c r="AB388" i="1"/>
  <c r="AB45" i="1"/>
  <c r="AB53" i="1"/>
  <c r="AB61" i="1"/>
  <c r="AB77" i="1"/>
  <c r="AB93" i="1"/>
  <c r="AB109" i="1"/>
  <c r="AB117" i="1"/>
  <c r="AB125" i="1"/>
  <c r="AB133" i="1"/>
  <c r="AB157" i="1"/>
  <c r="AB181" i="1"/>
  <c r="AB189" i="1"/>
  <c r="AB197" i="1"/>
  <c r="AB213" i="1"/>
  <c r="AB221" i="1"/>
  <c r="AB229" i="1"/>
  <c r="AB237" i="1"/>
  <c r="AB245" i="1"/>
  <c r="AB253" i="1"/>
  <c r="AB261" i="1"/>
  <c r="AB285" i="1"/>
  <c r="AB301" i="1"/>
  <c r="AB309" i="1"/>
  <c r="AB317" i="1"/>
  <c r="AB30" i="1"/>
  <c r="AB46" i="1"/>
  <c r="AB62" i="1"/>
  <c r="AB70" i="1"/>
  <c r="AB78" i="1"/>
  <c r="AB94" i="1"/>
  <c r="AB110" i="1"/>
  <c r="AB126" i="1"/>
  <c r="AB134" i="1"/>
  <c r="AB142" i="1"/>
  <c r="AB158" i="1"/>
  <c r="AB174" i="1"/>
  <c r="AB182" i="1"/>
  <c r="AB190" i="1"/>
  <c r="AB198" i="1"/>
  <c r="AB206" i="1"/>
  <c r="AB222" i="1"/>
  <c r="AB238" i="1"/>
  <c r="AB254" i="1"/>
  <c r="AB262" i="1"/>
  <c r="AB270" i="1"/>
  <c r="AB286" i="1"/>
  <c r="AB302" i="1"/>
  <c r="AB310" i="1"/>
  <c r="AB318" i="1"/>
  <c r="AB326" i="1"/>
  <c r="AB334" i="1"/>
  <c r="AB350" i="1"/>
  <c r="AB366" i="1"/>
  <c r="AB382" i="1"/>
  <c r="AB390" i="1"/>
  <c r="AB23" i="1"/>
  <c r="AB39" i="1"/>
  <c r="AB55" i="1"/>
  <c r="AB63" i="1"/>
  <c r="AB71" i="1"/>
  <c r="AB79" i="1"/>
  <c r="AB87" i="1"/>
  <c r="AB103" i="1"/>
  <c r="AB119" i="1"/>
  <c r="AB135" i="1"/>
  <c r="AB143" i="1"/>
  <c r="AB151" i="1"/>
  <c r="AB167" i="1"/>
  <c r="AB183" i="1"/>
  <c r="AB199" i="1"/>
  <c r="AB207" i="1"/>
  <c r="AB215" i="1"/>
  <c r="AB223" i="1"/>
  <c r="AB231" i="1"/>
  <c r="AB247" i="1"/>
  <c r="AB263" i="1"/>
  <c r="AB24" i="1"/>
  <c r="AB40" i="1"/>
  <c r="AB56" i="1"/>
  <c r="AB64" i="1"/>
  <c r="AB72" i="1"/>
  <c r="AB88" i="1"/>
  <c r="AB104" i="1"/>
  <c r="AB112" i="1"/>
  <c r="AB120" i="1"/>
  <c r="AB128" i="1"/>
  <c r="AB136" i="1"/>
  <c r="AB152" i="1"/>
  <c r="AB168" i="1"/>
  <c r="AB184" i="1"/>
  <c r="AB192" i="1"/>
  <c r="AB200" i="1"/>
  <c r="AB216" i="1"/>
  <c r="AB232" i="1"/>
  <c r="AB248" i="1"/>
  <c r="AB256" i="1"/>
  <c r="AB264" i="1"/>
  <c r="AB272" i="1"/>
  <c r="AB280" i="1"/>
  <c r="AB296" i="1"/>
  <c r="AB312" i="1"/>
  <c r="AB320" i="1"/>
  <c r="AB328" i="1"/>
  <c r="AB344" i="1"/>
  <c r="AB360" i="1"/>
  <c r="AB368" i="1"/>
  <c r="AB376" i="1"/>
  <c r="AB384" i="1"/>
  <c r="AB392" i="1"/>
  <c r="AB25" i="1"/>
  <c r="AB89" i="1"/>
  <c r="AB153" i="1"/>
  <c r="AB217" i="1"/>
  <c r="AB271" i="1"/>
  <c r="AB291" i="1"/>
  <c r="AB313" i="1"/>
  <c r="AB331" i="1"/>
  <c r="AB347" i="1"/>
  <c r="AB379" i="1"/>
  <c r="AB33" i="1"/>
  <c r="AB97" i="1"/>
  <c r="AB161" i="1"/>
  <c r="AB225" i="1"/>
  <c r="AB273" i="1"/>
  <c r="AB295" i="1"/>
  <c r="AB315" i="1"/>
  <c r="AB333" i="1"/>
  <c r="AB349" i="1"/>
  <c r="AB381" i="1"/>
  <c r="AB105" i="1"/>
  <c r="AB275" i="1"/>
  <c r="AB335" i="1"/>
  <c r="AB383" i="1"/>
  <c r="AB49" i="1"/>
  <c r="AB113" i="1"/>
  <c r="AB177" i="1"/>
  <c r="AB241" i="1"/>
  <c r="AB279" i="1"/>
  <c r="AB299" i="1"/>
  <c r="AB321" i="1"/>
  <c r="AB337" i="1"/>
  <c r="AB281" i="1"/>
  <c r="AB323" i="1"/>
  <c r="AB339" i="1"/>
  <c r="AB355" i="1"/>
  <c r="AB81" i="1"/>
  <c r="AB145" i="1"/>
  <c r="AB209" i="1"/>
  <c r="AB289" i="1"/>
  <c r="AB311" i="1"/>
  <c r="AB329" i="1"/>
  <c r="AB345" i="1"/>
  <c r="AB65" i="1"/>
  <c r="AB129" i="1"/>
  <c r="AB193" i="1"/>
  <c r="AB257" i="1"/>
  <c r="AB283" i="1"/>
  <c r="AB305" i="1"/>
  <c r="AB325" i="1"/>
  <c r="AB357" i="1"/>
  <c r="AB137" i="1"/>
  <c r="AB265" i="1"/>
  <c r="AB307" i="1"/>
  <c r="AB327" i="1"/>
  <c r="AB343" i="1"/>
  <c r="AB359" i="1"/>
  <c r="AB375" i="1"/>
  <c r="AB391" i="1"/>
  <c r="W154" i="1"/>
  <c r="T154" i="1"/>
  <c r="Y154" i="1"/>
  <c r="AD2" i="3"/>
  <c r="AC3" i="3" s="1"/>
  <c r="A40" i="1"/>
  <c r="A41" i="1"/>
  <c r="A34" i="1"/>
  <c r="A33" i="1"/>
  <c r="A42" i="1"/>
  <c r="A38" i="1"/>
  <c r="B29" i="1"/>
  <c r="A43" i="1"/>
  <c r="A39" i="1"/>
  <c r="A30" i="1"/>
  <c r="F30" i="1" s="1"/>
  <c r="G30" i="1" s="1"/>
  <c r="A35" i="1"/>
  <c r="A32" i="1"/>
  <c r="A36" i="1"/>
  <c r="A31" i="1"/>
  <c r="A37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AC359" i="1" l="1"/>
  <c r="AE359" i="1"/>
  <c r="AD359" i="1"/>
  <c r="AE73" i="1"/>
  <c r="AD73" i="1"/>
  <c r="AC73" i="1"/>
  <c r="AC257" i="1"/>
  <c r="AE257" i="1"/>
  <c r="AD257" i="1"/>
  <c r="AD329" i="1"/>
  <c r="AE329" i="1"/>
  <c r="AC329" i="1"/>
  <c r="AE371" i="1"/>
  <c r="AD371" i="1"/>
  <c r="AC371" i="1"/>
  <c r="AE121" i="1"/>
  <c r="AD121" i="1"/>
  <c r="AC121" i="1"/>
  <c r="AC279" i="1"/>
  <c r="AD279" i="1"/>
  <c r="AE279" i="1"/>
  <c r="AD335" i="1"/>
  <c r="AC335" i="1"/>
  <c r="AE335" i="1"/>
  <c r="AC381" i="1"/>
  <c r="AD381" i="1"/>
  <c r="AE381" i="1"/>
  <c r="AE161" i="1"/>
  <c r="AC161" i="1"/>
  <c r="AD161" i="1"/>
  <c r="AD313" i="1"/>
  <c r="AE313" i="1"/>
  <c r="AC313" i="1"/>
  <c r="AE384" i="1"/>
  <c r="AC384" i="1"/>
  <c r="AD384" i="1"/>
  <c r="AD320" i="1"/>
  <c r="AE320" i="1"/>
  <c r="AC320" i="1"/>
  <c r="AC256" i="1"/>
  <c r="AD256" i="1"/>
  <c r="AE256" i="1"/>
  <c r="AC192" i="1"/>
  <c r="AD192" i="1"/>
  <c r="AE192" i="1"/>
  <c r="AD128" i="1"/>
  <c r="AE128" i="1"/>
  <c r="AC128" i="1"/>
  <c r="AD64" i="1"/>
  <c r="AC64" i="1"/>
  <c r="AE64" i="1"/>
  <c r="AD247" i="1"/>
  <c r="AC247" i="1"/>
  <c r="AE247" i="1"/>
  <c r="AE183" i="1"/>
  <c r="AC183" i="1"/>
  <c r="AD183" i="1"/>
  <c r="AE119" i="1"/>
  <c r="AC119" i="1"/>
  <c r="AD119" i="1"/>
  <c r="AE55" i="1"/>
  <c r="AC55" i="1"/>
  <c r="AD55" i="1"/>
  <c r="AE366" i="1"/>
  <c r="AC366" i="1"/>
  <c r="AD366" i="1"/>
  <c r="AC302" i="1"/>
  <c r="AD302" i="1"/>
  <c r="AE302" i="1"/>
  <c r="AC238" i="1"/>
  <c r="AD238" i="1"/>
  <c r="AE238" i="1"/>
  <c r="AC174" i="1"/>
  <c r="AD174" i="1"/>
  <c r="AE174" i="1"/>
  <c r="AC110" i="1"/>
  <c r="AD110" i="1"/>
  <c r="AE110" i="1"/>
  <c r="AD46" i="1"/>
  <c r="AC46" i="1"/>
  <c r="AE46" i="1"/>
  <c r="AC285" i="1"/>
  <c r="AE285" i="1"/>
  <c r="AD285" i="1"/>
  <c r="AC221" i="1"/>
  <c r="AD221" i="1"/>
  <c r="AE221" i="1"/>
  <c r="AE157" i="1"/>
  <c r="AD157" i="1"/>
  <c r="AC157" i="1"/>
  <c r="AE93" i="1"/>
  <c r="AC93" i="1"/>
  <c r="AD93" i="1"/>
  <c r="AE29" i="1"/>
  <c r="AC29" i="1"/>
  <c r="AD29" i="1"/>
  <c r="AC340" i="1"/>
  <c r="AD340" i="1"/>
  <c r="AE340" i="1"/>
  <c r="AC276" i="1"/>
  <c r="AE276" i="1"/>
  <c r="AD276" i="1"/>
  <c r="AC212" i="1"/>
  <c r="AD212" i="1"/>
  <c r="AE212" i="1"/>
  <c r="AC148" i="1"/>
  <c r="AE148" i="1"/>
  <c r="AD148" i="1"/>
  <c r="AC84" i="1"/>
  <c r="AD84" i="1"/>
  <c r="AE84" i="1"/>
  <c r="AC203" i="1"/>
  <c r="AD203" i="1"/>
  <c r="AE203" i="1"/>
  <c r="AE139" i="1"/>
  <c r="AC139" i="1"/>
  <c r="AD139" i="1"/>
  <c r="AE75" i="1"/>
  <c r="AC75" i="1"/>
  <c r="AD75" i="1"/>
  <c r="AE394" i="1"/>
  <c r="AC394" i="1"/>
  <c r="AD394" i="1"/>
  <c r="AC330" i="1"/>
  <c r="AD330" i="1"/>
  <c r="AE330" i="1"/>
  <c r="AC266" i="1"/>
  <c r="AD266" i="1"/>
  <c r="AE266" i="1"/>
  <c r="AC202" i="1"/>
  <c r="AE202" i="1"/>
  <c r="AD202" i="1"/>
  <c r="AC138" i="1"/>
  <c r="AD138" i="1"/>
  <c r="AE138" i="1"/>
  <c r="AD74" i="1"/>
  <c r="AC74" i="1"/>
  <c r="AE74" i="1"/>
  <c r="AC343" i="1"/>
  <c r="AD343" i="1"/>
  <c r="AE343" i="1"/>
  <c r="AC389" i="1"/>
  <c r="AD389" i="1"/>
  <c r="AE389" i="1"/>
  <c r="AE193" i="1"/>
  <c r="AC193" i="1"/>
  <c r="AD193" i="1"/>
  <c r="AC311" i="1"/>
  <c r="AD311" i="1"/>
  <c r="AE311" i="1"/>
  <c r="AC355" i="1"/>
  <c r="AD355" i="1"/>
  <c r="AE355" i="1"/>
  <c r="AE57" i="1"/>
  <c r="AD57" i="1"/>
  <c r="AC57" i="1"/>
  <c r="AC241" i="1"/>
  <c r="AE241" i="1"/>
  <c r="AD241" i="1"/>
  <c r="AC319" i="1"/>
  <c r="AD319" i="1"/>
  <c r="AE319" i="1"/>
  <c r="AC365" i="1"/>
  <c r="AE365" i="1"/>
  <c r="AD365" i="1"/>
  <c r="AE97" i="1"/>
  <c r="AC97" i="1"/>
  <c r="AD97" i="1"/>
  <c r="AC291" i="1"/>
  <c r="AD291" i="1"/>
  <c r="AE291" i="1"/>
  <c r="AE376" i="1"/>
  <c r="AD376" i="1"/>
  <c r="AC376" i="1"/>
  <c r="AC312" i="1"/>
  <c r="AD312" i="1"/>
  <c r="AE312" i="1"/>
  <c r="AC248" i="1"/>
  <c r="AD248" i="1"/>
  <c r="AE248" i="1"/>
  <c r="AC184" i="1"/>
  <c r="AD184" i="1"/>
  <c r="AE184" i="1"/>
  <c r="AC120" i="1"/>
  <c r="AE120" i="1"/>
  <c r="AD120" i="1"/>
  <c r="AD56" i="1"/>
  <c r="AC56" i="1"/>
  <c r="AE56" i="1"/>
  <c r="AC239" i="1"/>
  <c r="AD239" i="1"/>
  <c r="AE239" i="1"/>
  <c r="AE175" i="1"/>
  <c r="AC175" i="1"/>
  <c r="AD175" i="1"/>
  <c r="AE111" i="1"/>
  <c r="AC111" i="1"/>
  <c r="AD111" i="1"/>
  <c r="AE47" i="1"/>
  <c r="AD47" i="1"/>
  <c r="AC47" i="1"/>
  <c r="AE358" i="1"/>
  <c r="AC358" i="1"/>
  <c r="AD358" i="1"/>
  <c r="AD294" i="1"/>
  <c r="AE294" i="1"/>
  <c r="AC294" i="1"/>
  <c r="AC230" i="1"/>
  <c r="AD230" i="1"/>
  <c r="AE230" i="1"/>
  <c r="AC166" i="1"/>
  <c r="AD166" i="1"/>
  <c r="AE166" i="1"/>
  <c r="AD102" i="1"/>
  <c r="AE102" i="1"/>
  <c r="AC102" i="1"/>
  <c r="AD38" i="1"/>
  <c r="AE38" i="1"/>
  <c r="AC38" i="1"/>
  <c r="AC277" i="1"/>
  <c r="AD277" i="1"/>
  <c r="AE277" i="1"/>
  <c r="AE213" i="1"/>
  <c r="AD213" i="1"/>
  <c r="AC213" i="1"/>
  <c r="AE149" i="1"/>
  <c r="AC149" i="1"/>
  <c r="AD149" i="1"/>
  <c r="AE85" i="1"/>
  <c r="AC85" i="1"/>
  <c r="AD85" i="1"/>
  <c r="AE21" i="1"/>
  <c r="AD21" i="1"/>
  <c r="AC21" i="1"/>
  <c r="AC332" i="1"/>
  <c r="AD332" i="1"/>
  <c r="AE332" i="1"/>
  <c r="AC268" i="1"/>
  <c r="AD268" i="1"/>
  <c r="AE268" i="1"/>
  <c r="AC204" i="1"/>
  <c r="AD204" i="1"/>
  <c r="AE204" i="1"/>
  <c r="AC140" i="1"/>
  <c r="AD140" i="1"/>
  <c r="AE140" i="1"/>
  <c r="AD76" i="1"/>
  <c r="AC76" i="1"/>
  <c r="AE76" i="1"/>
  <c r="AC259" i="1"/>
  <c r="AE259" i="1"/>
  <c r="AD259" i="1"/>
  <c r="AD195" i="1"/>
  <c r="AE195" i="1"/>
  <c r="AC195" i="1"/>
  <c r="AE131" i="1"/>
  <c r="AC131" i="1"/>
  <c r="AD131" i="1"/>
  <c r="AE67" i="1"/>
  <c r="AC67" i="1"/>
  <c r="AD67" i="1"/>
  <c r="AE386" i="1"/>
  <c r="AD386" i="1"/>
  <c r="AC386" i="1"/>
  <c r="AE322" i="1"/>
  <c r="AC322" i="1"/>
  <c r="AD322" i="1"/>
  <c r="AC258" i="1"/>
  <c r="AD258" i="1"/>
  <c r="AE258" i="1"/>
  <c r="AC194" i="1"/>
  <c r="AD194" i="1"/>
  <c r="AE194" i="1"/>
  <c r="AE130" i="1"/>
  <c r="AD130" i="1"/>
  <c r="AC130" i="1"/>
  <c r="AD66" i="1"/>
  <c r="AC66" i="1"/>
  <c r="AE66" i="1"/>
  <c r="AE289" i="1"/>
  <c r="AC289" i="1"/>
  <c r="AD289" i="1"/>
  <c r="AD297" i="1"/>
  <c r="AE297" i="1"/>
  <c r="AC297" i="1"/>
  <c r="AD304" i="1"/>
  <c r="AE304" i="1"/>
  <c r="AC304" i="1"/>
  <c r="AD231" i="1"/>
  <c r="AE231" i="1"/>
  <c r="AC231" i="1"/>
  <c r="AC350" i="1"/>
  <c r="AD350" i="1"/>
  <c r="AE350" i="1"/>
  <c r="AC94" i="1"/>
  <c r="AD94" i="1"/>
  <c r="AE94" i="1"/>
  <c r="AE77" i="1"/>
  <c r="AC77" i="1"/>
  <c r="AD77" i="1"/>
  <c r="AD68" i="1"/>
  <c r="AC68" i="1"/>
  <c r="AE68" i="1"/>
  <c r="AC314" i="1"/>
  <c r="AD314" i="1"/>
  <c r="AE314" i="1"/>
  <c r="AC307" i="1"/>
  <c r="AD307" i="1"/>
  <c r="AE307" i="1"/>
  <c r="AC357" i="1"/>
  <c r="AD357" i="1"/>
  <c r="AE357" i="1"/>
  <c r="AE65" i="1"/>
  <c r="AC65" i="1"/>
  <c r="AD65" i="1"/>
  <c r="AD267" i="1"/>
  <c r="AE267" i="1"/>
  <c r="AC267" i="1"/>
  <c r="AC323" i="1"/>
  <c r="AE323" i="1"/>
  <c r="AD323" i="1"/>
  <c r="AC369" i="1"/>
  <c r="AE369" i="1"/>
  <c r="AD369" i="1"/>
  <c r="AE113" i="1"/>
  <c r="AD113" i="1"/>
  <c r="AC113" i="1"/>
  <c r="AC275" i="1"/>
  <c r="AE275" i="1"/>
  <c r="AD275" i="1"/>
  <c r="AC333" i="1"/>
  <c r="AD333" i="1"/>
  <c r="AE333" i="1"/>
  <c r="AE395" i="1"/>
  <c r="AD395" i="1"/>
  <c r="AC395" i="1"/>
  <c r="AC217" i="1"/>
  <c r="AE217" i="1"/>
  <c r="AD217" i="1"/>
  <c r="AE360" i="1"/>
  <c r="AC360" i="1"/>
  <c r="AD360" i="1"/>
  <c r="AC296" i="1"/>
  <c r="AD296" i="1"/>
  <c r="AE296" i="1"/>
  <c r="AC232" i="1"/>
  <c r="AD232" i="1"/>
  <c r="AE232" i="1"/>
  <c r="AC168" i="1"/>
  <c r="AD168" i="1"/>
  <c r="AE168" i="1"/>
  <c r="AC104" i="1"/>
  <c r="AD104" i="1"/>
  <c r="AE104" i="1"/>
  <c r="AD40" i="1"/>
  <c r="AC40" i="1"/>
  <c r="AE40" i="1"/>
  <c r="AD223" i="1"/>
  <c r="AE223" i="1"/>
  <c r="AC223" i="1"/>
  <c r="AE159" i="1"/>
  <c r="AD159" i="1"/>
  <c r="AC159" i="1"/>
  <c r="AE95" i="1"/>
  <c r="AC95" i="1"/>
  <c r="AD95" i="1"/>
  <c r="AE31" i="1"/>
  <c r="AC31" i="1"/>
  <c r="AD31" i="1"/>
  <c r="AE342" i="1"/>
  <c r="AC342" i="1"/>
  <c r="AD342" i="1"/>
  <c r="AD278" i="1"/>
  <c r="AC278" i="1"/>
  <c r="AE278" i="1"/>
  <c r="AC214" i="1"/>
  <c r="AD214" i="1"/>
  <c r="AE214" i="1"/>
  <c r="AD150" i="1"/>
  <c r="AE150" i="1"/>
  <c r="AC150" i="1"/>
  <c r="AE86" i="1"/>
  <c r="AC86" i="1"/>
  <c r="AD86" i="1"/>
  <c r="AD22" i="1"/>
  <c r="AE22" i="1"/>
  <c r="AC22" i="1"/>
  <c r="AC261" i="1"/>
  <c r="AD261" i="1"/>
  <c r="AE261" i="1"/>
  <c r="AC197" i="1"/>
  <c r="AD197" i="1"/>
  <c r="AE197" i="1"/>
  <c r="AE133" i="1"/>
  <c r="AC133" i="1"/>
  <c r="AD133" i="1"/>
  <c r="AE69" i="1"/>
  <c r="AD69" i="1"/>
  <c r="AC69" i="1"/>
  <c r="AE380" i="1"/>
  <c r="AC380" i="1"/>
  <c r="AD380" i="1"/>
  <c r="AC316" i="1"/>
  <c r="AD316" i="1"/>
  <c r="AE316" i="1"/>
  <c r="AC252" i="1"/>
  <c r="AD252" i="1"/>
  <c r="AE252" i="1"/>
  <c r="AC188" i="1"/>
  <c r="AE188" i="1"/>
  <c r="AD188" i="1"/>
  <c r="AC124" i="1"/>
  <c r="AD124" i="1"/>
  <c r="AE124" i="1"/>
  <c r="AD60" i="1"/>
  <c r="AC60" i="1"/>
  <c r="AE60" i="1"/>
  <c r="AC243" i="1"/>
  <c r="AD243" i="1"/>
  <c r="AE243" i="1"/>
  <c r="AE179" i="1"/>
  <c r="AC179" i="1"/>
  <c r="AD179" i="1"/>
  <c r="AE115" i="1"/>
  <c r="AC115" i="1"/>
  <c r="AD115" i="1"/>
  <c r="AE51" i="1"/>
  <c r="AC51" i="1"/>
  <c r="AD51" i="1"/>
  <c r="AE370" i="1"/>
  <c r="AC370" i="1"/>
  <c r="AD370" i="1"/>
  <c r="AE306" i="1"/>
  <c r="AC306" i="1"/>
  <c r="AD306" i="1"/>
  <c r="AC242" i="1"/>
  <c r="AD242" i="1"/>
  <c r="AE242" i="1"/>
  <c r="AE178" i="1"/>
  <c r="AD178" i="1"/>
  <c r="AC178" i="1"/>
  <c r="AE114" i="1"/>
  <c r="AC114" i="1"/>
  <c r="AD114" i="1"/>
  <c r="AD50" i="1"/>
  <c r="AC50" i="1"/>
  <c r="AE50" i="1"/>
  <c r="AC339" i="1"/>
  <c r="AD339" i="1"/>
  <c r="AE339" i="1"/>
  <c r="AE33" i="1"/>
  <c r="AC33" i="1"/>
  <c r="AD33" i="1"/>
  <c r="AD48" i="1"/>
  <c r="AC48" i="1"/>
  <c r="AE48" i="1"/>
  <c r="AC286" i="1"/>
  <c r="AD286" i="1"/>
  <c r="AE286" i="1"/>
  <c r="AE141" i="1"/>
  <c r="AD141" i="1"/>
  <c r="AC141" i="1"/>
  <c r="AC196" i="1"/>
  <c r="AD196" i="1"/>
  <c r="AE196" i="1"/>
  <c r="AC122" i="1"/>
  <c r="AD122" i="1"/>
  <c r="AE122" i="1"/>
  <c r="AD287" i="1"/>
  <c r="AE287" i="1"/>
  <c r="AC287" i="1"/>
  <c r="AC341" i="1"/>
  <c r="AD341" i="1"/>
  <c r="AE341" i="1"/>
  <c r="AD393" i="1"/>
  <c r="AC393" i="1"/>
  <c r="AE393" i="1"/>
  <c r="AE209" i="1"/>
  <c r="AC209" i="1"/>
  <c r="AD209" i="1"/>
  <c r="AC303" i="1"/>
  <c r="AD303" i="1"/>
  <c r="AE303" i="1"/>
  <c r="AD353" i="1"/>
  <c r="AE353" i="1"/>
  <c r="AC353" i="1"/>
  <c r="AE49" i="1"/>
  <c r="AD49" i="1"/>
  <c r="AC49" i="1"/>
  <c r="AC233" i="1"/>
  <c r="AD233" i="1"/>
  <c r="AE233" i="1"/>
  <c r="AE315" i="1"/>
  <c r="AC315" i="1"/>
  <c r="AD315" i="1"/>
  <c r="AE379" i="1"/>
  <c r="AD379" i="1"/>
  <c r="AC379" i="1"/>
  <c r="AE153" i="1"/>
  <c r="AD153" i="1"/>
  <c r="AC153" i="1"/>
  <c r="AD352" i="1"/>
  <c r="AE352" i="1"/>
  <c r="AC352" i="1"/>
  <c r="AC288" i="1"/>
  <c r="AD288" i="1"/>
  <c r="AE288" i="1"/>
  <c r="AC224" i="1"/>
  <c r="AE224" i="1"/>
  <c r="AD224" i="1"/>
  <c r="AD160" i="1"/>
  <c r="AC160" i="1"/>
  <c r="AE160" i="1"/>
  <c r="AD96" i="1"/>
  <c r="AE96" i="1"/>
  <c r="AC96" i="1"/>
  <c r="AD32" i="1"/>
  <c r="AC32" i="1"/>
  <c r="AE32" i="1"/>
  <c r="AC215" i="1"/>
  <c r="AD215" i="1"/>
  <c r="AE215" i="1"/>
  <c r="AE151" i="1"/>
  <c r="AC151" i="1"/>
  <c r="AD151" i="1"/>
  <c r="AE87" i="1"/>
  <c r="AC87" i="1"/>
  <c r="AD87" i="1"/>
  <c r="AE23" i="1"/>
  <c r="AC23" i="1"/>
  <c r="AD23" i="1"/>
  <c r="AC334" i="1"/>
  <c r="AD334" i="1"/>
  <c r="AE334" i="1"/>
  <c r="AC270" i="1"/>
  <c r="AD270" i="1"/>
  <c r="AE270" i="1"/>
  <c r="AC206" i="1"/>
  <c r="AE206" i="1"/>
  <c r="AD206" i="1"/>
  <c r="AC142" i="1"/>
  <c r="AD142" i="1"/>
  <c r="AE142" i="1"/>
  <c r="AD78" i="1"/>
  <c r="AE78" i="1"/>
  <c r="AC78" i="1"/>
  <c r="AC317" i="1"/>
  <c r="AD317" i="1"/>
  <c r="AE317" i="1"/>
  <c r="AE253" i="1"/>
  <c r="AC253" i="1"/>
  <c r="AD253" i="1"/>
  <c r="AE189" i="1"/>
  <c r="AC189" i="1"/>
  <c r="AD189" i="1"/>
  <c r="AE125" i="1"/>
  <c r="AC125" i="1"/>
  <c r="AD125" i="1"/>
  <c r="AE61" i="1"/>
  <c r="AC61" i="1"/>
  <c r="AD61" i="1"/>
  <c r="AE372" i="1"/>
  <c r="AC372" i="1"/>
  <c r="AD372" i="1"/>
  <c r="AC308" i="1"/>
  <c r="AE308" i="1"/>
  <c r="AD308" i="1"/>
  <c r="AC244" i="1"/>
  <c r="AD244" i="1"/>
  <c r="AE244" i="1"/>
  <c r="AD180" i="1"/>
  <c r="AE180" i="1"/>
  <c r="AC180" i="1"/>
  <c r="AC116" i="1"/>
  <c r="AE116" i="1"/>
  <c r="AD116" i="1"/>
  <c r="AD52" i="1"/>
  <c r="AC52" i="1"/>
  <c r="AE52" i="1"/>
  <c r="AD235" i="1"/>
  <c r="AE235" i="1"/>
  <c r="AC235" i="1"/>
  <c r="AE171" i="1"/>
  <c r="AC171" i="1"/>
  <c r="AD171" i="1"/>
  <c r="AE107" i="1"/>
  <c r="AC107" i="1"/>
  <c r="AD107" i="1"/>
  <c r="AE43" i="1"/>
  <c r="AC43" i="1"/>
  <c r="AD43" i="1"/>
  <c r="AE362" i="1"/>
  <c r="AC362" i="1"/>
  <c r="AD362" i="1"/>
  <c r="AC298" i="1"/>
  <c r="AE298" i="1"/>
  <c r="AD298" i="1"/>
  <c r="AC234" i="1"/>
  <c r="AD234" i="1"/>
  <c r="AE234" i="1"/>
  <c r="AE170" i="1"/>
  <c r="AC170" i="1"/>
  <c r="AD170" i="1"/>
  <c r="AC106" i="1"/>
  <c r="AD106" i="1"/>
  <c r="AE106" i="1"/>
  <c r="AD42" i="1"/>
  <c r="AC42" i="1"/>
  <c r="AE42" i="1"/>
  <c r="AE129" i="1"/>
  <c r="AC129" i="1"/>
  <c r="AD129" i="1"/>
  <c r="AE349" i="1"/>
  <c r="AD349" i="1"/>
  <c r="AC349" i="1"/>
  <c r="AC240" i="1"/>
  <c r="AD240" i="1"/>
  <c r="AE240" i="1"/>
  <c r="AE167" i="1"/>
  <c r="AC167" i="1"/>
  <c r="AD167" i="1"/>
  <c r="AC158" i="1"/>
  <c r="AD158" i="1"/>
  <c r="AE158" i="1"/>
  <c r="AC205" i="1"/>
  <c r="AD205" i="1"/>
  <c r="AE205" i="1"/>
  <c r="AC260" i="1"/>
  <c r="AD260" i="1"/>
  <c r="AE260" i="1"/>
  <c r="AD251" i="1"/>
  <c r="AE251" i="1"/>
  <c r="AC251" i="1"/>
  <c r="AE187" i="1"/>
  <c r="AC187" i="1"/>
  <c r="AD187" i="1"/>
  <c r="AE123" i="1"/>
  <c r="AC123" i="1"/>
  <c r="AD123" i="1"/>
  <c r="AE59" i="1"/>
  <c r="AD59" i="1"/>
  <c r="AC59" i="1"/>
  <c r="AE378" i="1"/>
  <c r="AD378" i="1"/>
  <c r="AC378" i="1"/>
  <c r="AC250" i="1"/>
  <c r="AD250" i="1"/>
  <c r="AE250" i="1"/>
  <c r="AC265" i="1"/>
  <c r="AD265" i="1"/>
  <c r="AE265" i="1"/>
  <c r="AC325" i="1"/>
  <c r="AD325" i="1"/>
  <c r="AE325" i="1"/>
  <c r="AC377" i="1"/>
  <c r="AD377" i="1"/>
  <c r="AE377" i="1"/>
  <c r="AE145" i="1"/>
  <c r="AD145" i="1"/>
  <c r="AC145" i="1"/>
  <c r="AC281" i="1"/>
  <c r="AD281" i="1"/>
  <c r="AE281" i="1"/>
  <c r="AC337" i="1"/>
  <c r="AD337" i="1"/>
  <c r="AE337" i="1"/>
  <c r="AC383" i="1"/>
  <c r="AD383" i="1"/>
  <c r="AE383" i="1"/>
  <c r="AE169" i="1"/>
  <c r="AD169" i="1"/>
  <c r="AC169" i="1"/>
  <c r="AC295" i="1"/>
  <c r="AD295" i="1"/>
  <c r="AE295" i="1"/>
  <c r="AC363" i="1"/>
  <c r="AE363" i="1"/>
  <c r="AD363" i="1"/>
  <c r="AE89" i="1"/>
  <c r="AD89" i="1"/>
  <c r="AC89" i="1"/>
  <c r="AC344" i="1"/>
  <c r="AD344" i="1"/>
  <c r="AE344" i="1"/>
  <c r="AE280" i="1"/>
  <c r="AC280" i="1"/>
  <c r="AD280" i="1"/>
  <c r="AC216" i="1"/>
  <c r="AE216" i="1"/>
  <c r="AD216" i="1"/>
  <c r="AC152" i="1"/>
  <c r="AD152" i="1"/>
  <c r="AE152" i="1"/>
  <c r="AC88" i="1"/>
  <c r="AD88" i="1"/>
  <c r="AE88" i="1"/>
  <c r="AD24" i="1"/>
  <c r="AC24" i="1"/>
  <c r="AE24" i="1"/>
  <c r="AD207" i="1"/>
  <c r="AE207" i="1"/>
  <c r="AC207" i="1"/>
  <c r="AE143" i="1"/>
  <c r="AC143" i="1"/>
  <c r="AD143" i="1"/>
  <c r="AE79" i="1"/>
  <c r="AD79" i="1"/>
  <c r="AC79" i="1"/>
  <c r="AE390" i="1"/>
  <c r="AC390" i="1"/>
  <c r="AD390" i="1"/>
  <c r="AC326" i="1"/>
  <c r="AD326" i="1"/>
  <c r="AE326" i="1"/>
  <c r="AC262" i="1"/>
  <c r="AD262" i="1"/>
  <c r="AE262" i="1"/>
  <c r="AC198" i="1"/>
  <c r="AD198" i="1"/>
  <c r="AE198" i="1"/>
  <c r="AD134" i="1"/>
  <c r="AC134" i="1"/>
  <c r="AE134" i="1"/>
  <c r="AD70" i="1"/>
  <c r="AE70" i="1"/>
  <c r="AC70" i="1"/>
  <c r="AC309" i="1"/>
  <c r="AD309" i="1"/>
  <c r="AE309" i="1"/>
  <c r="AC245" i="1"/>
  <c r="AD245" i="1"/>
  <c r="AE245" i="1"/>
  <c r="AE181" i="1"/>
  <c r="AC181" i="1"/>
  <c r="AD181" i="1"/>
  <c r="AE117" i="1"/>
  <c r="AC117" i="1"/>
  <c r="AD117" i="1"/>
  <c r="AE53" i="1"/>
  <c r="AC53" i="1"/>
  <c r="AD53" i="1"/>
  <c r="AE364" i="1"/>
  <c r="AC364" i="1"/>
  <c r="AD364" i="1"/>
  <c r="AC300" i="1"/>
  <c r="AD300" i="1"/>
  <c r="AE300" i="1"/>
  <c r="AC236" i="1"/>
  <c r="AD236" i="1"/>
  <c r="AE236" i="1"/>
  <c r="AD172" i="1"/>
  <c r="AE172" i="1"/>
  <c r="AC172" i="1"/>
  <c r="AC108" i="1"/>
  <c r="AD108" i="1"/>
  <c r="AE108" i="1"/>
  <c r="AD44" i="1"/>
  <c r="AC44" i="1"/>
  <c r="AE44" i="1"/>
  <c r="AC227" i="1"/>
  <c r="AD227" i="1"/>
  <c r="AE227" i="1"/>
  <c r="AE163" i="1"/>
  <c r="AC163" i="1"/>
  <c r="AD163" i="1"/>
  <c r="AE99" i="1"/>
  <c r="AC99" i="1"/>
  <c r="AD99" i="1"/>
  <c r="AE35" i="1"/>
  <c r="AC35" i="1"/>
  <c r="AD35" i="1"/>
  <c r="AE354" i="1"/>
  <c r="AC354" i="1"/>
  <c r="AD354" i="1"/>
  <c r="AD290" i="1"/>
  <c r="AE290" i="1"/>
  <c r="AC290" i="1"/>
  <c r="AC226" i="1"/>
  <c r="AD226" i="1"/>
  <c r="AE226" i="1"/>
  <c r="AE162" i="1"/>
  <c r="AD162" i="1"/>
  <c r="AC162" i="1"/>
  <c r="AE98" i="1"/>
  <c r="AD98" i="1"/>
  <c r="AC98" i="1"/>
  <c r="AD34" i="1"/>
  <c r="AC34" i="1"/>
  <c r="AE34" i="1"/>
  <c r="AC373" i="1"/>
  <c r="AE373" i="1"/>
  <c r="AD373" i="1"/>
  <c r="AC385" i="1"/>
  <c r="AD385" i="1"/>
  <c r="AE385" i="1"/>
  <c r="AC271" i="1"/>
  <c r="AD271" i="1"/>
  <c r="AE271" i="1"/>
  <c r="AD176" i="1"/>
  <c r="AC176" i="1"/>
  <c r="AE176" i="1"/>
  <c r="AE103" i="1"/>
  <c r="AC103" i="1"/>
  <c r="AD103" i="1"/>
  <c r="AC222" i="1"/>
  <c r="AD222" i="1"/>
  <c r="AE222" i="1"/>
  <c r="AE269" i="1"/>
  <c r="AC269" i="1"/>
  <c r="AD269" i="1"/>
  <c r="AE388" i="1"/>
  <c r="AD388" i="1"/>
  <c r="AC388" i="1"/>
  <c r="AC132" i="1"/>
  <c r="AD132" i="1"/>
  <c r="AE132" i="1"/>
  <c r="AD186" i="1"/>
  <c r="AE186" i="1"/>
  <c r="AC186" i="1"/>
  <c r="AC391" i="1"/>
  <c r="AD391" i="1"/>
  <c r="AE391" i="1"/>
  <c r="AC201" i="1"/>
  <c r="AD201" i="1"/>
  <c r="AE201" i="1"/>
  <c r="AC305" i="1"/>
  <c r="AD305" i="1"/>
  <c r="AE305" i="1"/>
  <c r="AC361" i="1"/>
  <c r="AD361" i="1"/>
  <c r="AE361" i="1"/>
  <c r="AE81" i="1"/>
  <c r="AC81" i="1"/>
  <c r="AD81" i="1"/>
  <c r="AC249" i="1"/>
  <c r="AD249" i="1"/>
  <c r="AE249" i="1"/>
  <c r="AC321" i="1"/>
  <c r="AE321" i="1"/>
  <c r="AD321" i="1"/>
  <c r="AC367" i="1"/>
  <c r="AD367" i="1"/>
  <c r="AE367" i="1"/>
  <c r="AE105" i="1"/>
  <c r="AD105" i="1"/>
  <c r="AC105" i="1"/>
  <c r="AC273" i="1"/>
  <c r="AE273" i="1"/>
  <c r="AD273" i="1"/>
  <c r="AE347" i="1"/>
  <c r="AC347" i="1"/>
  <c r="AD347" i="1"/>
  <c r="AE25" i="1"/>
  <c r="AD25" i="1"/>
  <c r="AC25" i="1"/>
  <c r="AD336" i="1"/>
  <c r="AE336" i="1"/>
  <c r="AC336" i="1"/>
  <c r="AC272" i="1"/>
  <c r="AD272" i="1"/>
  <c r="AE272" i="1"/>
  <c r="AC208" i="1"/>
  <c r="AD208" i="1"/>
  <c r="AE208" i="1"/>
  <c r="AD144" i="1"/>
  <c r="AE144" i="1"/>
  <c r="AC144" i="1"/>
  <c r="AD80" i="1"/>
  <c r="AC80" i="1"/>
  <c r="AE80" i="1"/>
  <c r="AD263" i="1"/>
  <c r="AC263" i="1"/>
  <c r="AE263" i="1"/>
  <c r="AD199" i="1"/>
  <c r="AC199" i="1"/>
  <c r="AE199" i="1"/>
  <c r="AE135" i="1"/>
  <c r="AC135" i="1"/>
  <c r="AD135" i="1"/>
  <c r="AE71" i="1"/>
  <c r="AC71" i="1"/>
  <c r="AD71" i="1"/>
  <c r="AE382" i="1"/>
  <c r="AD382" i="1"/>
  <c r="AC382" i="1"/>
  <c r="AC318" i="1"/>
  <c r="AD318" i="1"/>
  <c r="AE318" i="1"/>
  <c r="AC254" i="1"/>
  <c r="AD254" i="1"/>
  <c r="AE254" i="1"/>
  <c r="AC190" i="1"/>
  <c r="AD190" i="1"/>
  <c r="AE190" i="1"/>
  <c r="AC126" i="1"/>
  <c r="AD126" i="1"/>
  <c r="AE126" i="1"/>
  <c r="AD62" i="1"/>
  <c r="AC62" i="1"/>
  <c r="AE62" i="1"/>
  <c r="AE301" i="1"/>
  <c r="AD301" i="1"/>
  <c r="AC301" i="1"/>
  <c r="AE237" i="1"/>
  <c r="AC237" i="1"/>
  <c r="AD237" i="1"/>
  <c r="AE173" i="1"/>
  <c r="AC173" i="1"/>
  <c r="AD173" i="1"/>
  <c r="AE109" i="1"/>
  <c r="AD109" i="1"/>
  <c r="AC109" i="1"/>
  <c r="AE45" i="1"/>
  <c r="AC45" i="1"/>
  <c r="AD45" i="1"/>
  <c r="AE356" i="1"/>
  <c r="AD356" i="1"/>
  <c r="AC356" i="1"/>
  <c r="AC292" i="1"/>
  <c r="AE292" i="1"/>
  <c r="AD292" i="1"/>
  <c r="AC228" i="1"/>
  <c r="AD228" i="1"/>
  <c r="AE228" i="1"/>
  <c r="AC164" i="1"/>
  <c r="AD164" i="1"/>
  <c r="AE164" i="1"/>
  <c r="AC100" i="1"/>
  <c r="AE100" i="1"/>
  <c r="AD100" i="1"/>
  <c r="AD36" i="1"/>
  <c r="AC36" i="1"/>
  <c r="AE36" i="1"/>
  <c r="AC219" i="1"/>
  <c r="AD219" i="1"/>
  <c r="AE219" i="1"/>
  <c r="AE155" i="1"/>
  <c r="AC155" i="1"/>
  <c r="AD155" i="1"/>
  <c r="AE91" i="1"/>
  <c r="AC91" i="1"/>
  <c r="AD91" i="1"/>
  <c r="AE27" i="1"/>
  <c r="AD27" i="1"/>
  <c r="AC27" i="1"/>
  <c r="AC346" i="1"/>
  <c r="AE346" i="1"/>
  <c r="AD346" i="1"/>
  <c r="AC282" i="1"/>
  <c r="AE282" i="1"/>
  <c r="AD282" i="1"/>
  <c r="AC218" i="1"/>
  <c r="AD218" i="1"/>
  <c r="AE218" i="1"/>
  <c r="AC154" i="1"/>
  <c r="AD154" i="1"/>
  <c r="AE154" i="1"/>
  <c r="AC90" i="1"/>
  <c r="AE90" i="1"/>
  <c r="AD90" i="1"/>
  <c r="AD26" i="1"/>
  <c r="AC26" i="1"/>
  <c r="AE26" i="1"/>
  <c r="AC327" i="1"/>
  <c r="AD327" i="1"/>
  <c r="AE327" i="1"/>
  <c r="AE177" i="1"/>
  <c r="AC177" i="1"/>
  <c r="AD177" i="1"/>
  <c r="AE368" i="1"/>
  <c r="AD368" i="1"/>
  <c r="AC368" i="1"/>
  <c r="AD112" i="1"/>
  <c r="AE112" i="1"/>
  <c r="AC112" i="1"/>
  <c r="AE39" i="1"/>
  <c r="AC39" i="1"/>
  <c r="AD39" i="1"/>
  <c r="AD30" i="1"/>
  <c r="AC30" i="1"/>
  <c r="AE30" i="1"/>
  <c r="AD324" i="1"/>
  <c r="AE324" i="1"/>
  <c r="AC324" i="1"/>
  <c r="AD58" i="1"/>
  <c r="AC58" i="1"/>
  <c r="AE58" i="1"/>
  <c r="AC375" i="1"/>
  <c r="AD375" i="1"/>
  <c r="AE375" i="1"/>
  <c r="AE137" i="1"/>
  <c r="AD137" i="1"/>
  <c r="AC137" i="1"/>
  <c r="AD283" i="1"/>
  <c r="AE283" i="1"/>
  <c r="AC283" i="1"/>
  <c r="AD345" i="1"/>
  <c r="AE345" i="1"/>
  <c r="AC345" i="1"/>
  <c r="AC387" i="1"/>
  <c r="AD387" i="1"/>
  <c r="AE387" i="1"/>
  <c r="AE185" i="1"/>
  <c r="AD185" i="1"/>
  <c r="AC185" i="1"/>
  <c r="AE299" i="1"/>
  <c r="AD299" i="1"/>
  <c r="AC299" i="1"/>
  <c r="AC351" i="1"/>
  <c r="AD351" i="1"/>
  <c r="AE351" i="1"/>
  <c r="AE41" i="1"/>
  <c r="AD41" i="1"/>
  <c r="AC41" i="1"/>
  <c r="AE225" i="1"/>
  <c r="AD225" i="1"/>
  <c r="AC225" i="1"/>
  <c r="AE331" i="1"/>
  <c r="AD331" i="1"/>
  <c r="AC331" i="1"/>
  <c r="AE392" i="1"/>
  <c r="AC392" i="1"/>
  <c r="AD392" i="1"/>
  <c r="AE328" i="1"/>
  <c r="AD328" i="1"/>
  <c r="AC328" i="1"/>
  <c r="AC264" i="1"/>
  <c r="AD264" i="1"/>
  <c r="AE264" i="1"/>
  <c r="AC200" i="1"/>
  <c r="AE200" i="1"/>
  <c r="AD200" i="1"/>
  <c r="AC136" i="1"/>
  <c r="AD136" i="1"/>
  <c r="AE136" i="1"/>
  <c r="AD72" i="1"/>
  <c r="AC72" i="1"/>
  <c r="AE72" i="1"/>
  <c r="AC255" i="1"/>
  <c r="AD255" i="1"/>
  <c r="AE255" i="1"/>
  <c r="AD191" i="1"/>
  <c r="AE191" i="1"/>
  <c r="AC191" i="1"/>
  <c r="AE127" i="1"/>
  <c r="AC127" i="1"/>
  <c r="AD127" i="1"/>
  <c r="AE63" i="1"/>
  <c r="AC63" i="1"/>
  <c r="AD63" i="1"/>
  <c r="AE374" i="1"/>
  <c r="AC374" i="1"/>
  <c r="AD374" i="1"/>
  <c r="AC310" i="1"/>
  <c r="AD310" i="1"/>
  <c r="AE310" i="1"/>
  <c r="AC246" i="1"/>
  <c r="AD246" i="1"/>
  <c r="AE246" i="1"/>
  <c r="AC182" i="1"/>
  <c r="AD182" i="1"/>
  <c r="AE182" i="1"/>
  <c r="AC118" i="1"/>
  <c r="AD118" i="1"/>
  <c r="AE118" i="1"/>
  <c r="AD54" i="1"/>
  <c r="AE54" i="1"/>
  <c r="AC54" i="1"/>
  <c r="AC293" i="1"/>
  <c r="AD293" i="1"/>
  <c r="AE293" i="1"/>
  <c r="AC229" i="1"/>
  <c r="AD229" i="1"/>
  <c r="AE229" i="1"/>
  <c r="AE165" i="1"/>
  <c r="AD165" i="1"/>
  <c r="AC165" i="1"/>
  <c r="AE101" i="1"/>
  <c r="AC101" i="1"/>
  <c r="AD101" i="1"/>
  <c r="AE37" i="1"/>
  <c r="AD37" i="1"/>
  <c r="AC37" i="1"/>
  <c r="AC348" i="1"/>
  <c r="AD348" i="1"/>
  <c r="AE348" i="1"/>
  <c r="AC284" i="1"/>
  <c r="AD284" i="1"/>
  <c r="AE284" i="1"/>
  <c r="AC220" i="1"/>
  <c r="AD220" i="1"/>
  <c r="AE220" i="1"/>
  <c r="AC156" i="1"/>
  <c r="AD156" i="1"/>
  <c r="AE156" i="1"/>
  <c r="AC92" i="1"/>
  <c r="AD92" i="1"/>
  <c r="AE92" i="1"/>
  <c r="AD28" i="1"/>
  <c r="AE28" i="1"/>
  <c r="AC28" i="1"/>
  <c r="AC211" i="1"/>
  <c r="AD211" i="1"/>
  <c r="AE211" i="1"/>
  <c r="AE147" i="1"/>
  <c r="AC147" i="1"/>
  <c r="AD147" i="1"/>
  <c r="AE83" i="1"/>
  <c r="AC83" i="1"/>
  <c r="AD83" i="1"/>
  <c r="AE338" i="1"/>
  <c r="AD338" i="1"/>
  <c r="AC338" i="1"/>
  <c r="AC274" i="1"/>
  <c r="AD274" i="1"/>
  <c r="AE274" i="1"/>
  <c r="AC210" i="1"/>
  <c r="AD210" i="1"/>
  <c r="AE210" i="1"/>
  <c r="AE146" i="1"/>
  <c r="AC146" i="1"/>
  <c r="AD146" i="1"/>
  <c r="AE82" i="1"/>
  <c r="AC82" i="1"/>
  <c r="AD82" i="1"/>
  <c r="AD20" i="1"/>
  <c r="AC20" i="1"/>
  <c r="AE20" i="1"/>
  <c r="AE19" i="1"/>
  <c r="AD19" i="1"/>
  <c r="AC19" i="1"/>
  <c r="AD18" i="1"/>
  <c r="AC18" i="1"/>
  <c r="AE18" i="1"/>
  <c r="H29" i="1"/>
  <c r="V149" i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5" i="1"/>
  <c r="B35" i="1" s="1"/>
  <c r="V121" i="1"/>
  <c r="U311" i="1"/>
  <c r="U155" i="1"/>
  <c r="V102" i="1"/>
  <c r="AC2" i="3"/>
  <c r="U281" i="1"/>
  <c r="V291" i="1"/>
  <c r="F40" i="1"/>
  <c r="G40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30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6" i="1"/>
  <c r="G36" i="1" s="1"/>
  <c r="B30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32" i="1"/>
  <c r="G32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43" i="1"/>
  <c r="G43" i="1" s="1"/>
  <c r="V156" i="1"/>
  <c r="U200" i="1"/>
  <c r="V300" i="1"/>
  <c r="U56" i="1"/>
  <c r="F31" i="1"/>
  <c r="B31" i="1" s="1"/>
  <c r="F42" i="1"/>
  <c r="B42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7" i="1"/>
  <c r="G37" i="1" s="1"/>
  <c r="T187" i="1"/>
  <c r="T296" i="1"/>
  <c r="T262" i="1"/>
  <c r="V91" i="1"/>
  <c r="F39" i="1"/>
  <c r="H39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34" i="1"/>
  <c r="F41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33" i="1"/>
  <c r="V68" i="1"/>
  <c r="V54" i="1"/>
  <c r="V164" i="1"/>
  <c r="V179" i="1"/>
  <c r="U391" i="1"/>
  <c r="F38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G35" i="1" l="1"/>
  <c r="H35" i="1"/>
  <c r="B36" i="1"/>
  <c r="H36" i="1"/>
  <c r="B40" i="1"/>
  <c r="H40" i="1"/>
  <c r="H32" i="1"/>
  <c r="H43" i="1"/>
  <c r="H37" i="1"/>
  <c r="B32" i="1"/>
  <c r="B37" i="1"/>
  <c r="B43" i="1"/>
  <c r="H31" i="1"/>
  <c r="B39" i="1"/>
  <c r="G39" i="1"/>
  <c r="G42" i="1"/>
  <c r="H42" i="1"/>
  <c r="G31" i="1"/>
  <c r="H41" i="1"/>
  <c r="B41" i="1"/>
  <c r="G41" i="1"/>
  <c r="H34" i="1"/>
  <c r="G34" i="1"/>
  <c r="B34" i="1"/>
  <c r="G33" i="1"/>
  <c r="B33" i="1"/>
  <c r="H33" i="1"/>
  <c r="H38" i="1"/>
  <c r="G38" i="1"/>
  <c r="B38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<sst xmlns="http://schemas.openxmlformats.org/spreadsheetml/2006/main" count="421" uniqueCount="245">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</sst>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9" xfId="0" applyFon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 applyBorder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NumberFormat="1"/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9" xfId="0" applyFill="1" applyBorder="1" applyProtection="1"/>
    <xf numFmtId="0" fontId="0" fillId="8" borderId="10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5" xfId="0" applyNumberFormat="1" applyFill="1" applyBorder="1" applyAlignment="1" applyProtection="1">
      <alignment horizontal="right" vertical="center"/>
    </xf>
    <xf numFmtId="14" fontId="0" fillId="3" borderId="7" xfId="0" applyNumberFormat="1" applyFill="1" applyBorder="1" applyAlignment="1" applyProtection="1">
      <alignment horizontal="right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 applyProtection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3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29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8" xfId="0" applyFont="1" applyFill="1" applyBorder="1" applyAlignment="1" applyProtection="1">
      <alignment horizontal="right"/>
    </xf>
    <xf numFmtId="1" fontId="8" fillId="6" borderId="28" xfId="0" applyNumberFormat="1" applyFont="1" applyFill="1" applyBorder="1" applyAlignment="1" applyProtection="1">
      <alignment horizontal="center"/>
    </xf>
    <xf numFmtId="0" fontId="0" fillId="6" borderId="28" xfId="0" applyFill="1" applyBorder="1" applyAlignment="1" applyProtection="1">
      <alignment horizontal="center"/>
    </xf>
    <xf numFmtId="16" fontId="0" fillId="3" borderId="11" xfId="0" applyNumberFormat="1" applyFill="1" applyBorder="1" applyProtection="1"/>
    <xf numFmtId="0" fontId="0" fillId="3" borderId="11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5" borderId="3" xfId="0" applyFill="1" applyBorder="1" applyProtection="1">
      <protection locked="0"/>
    </xf>
    <xf numFmtId="0" fontId="0" fillId="4" borderId="28" xfId="0" applyFill="1" applyBorder="1" applyAlignment="1" applyProtection="1">
      <alignment horizontal="center"/>
    </xf>
    <xf numFmtId="0" fontId="2" fillId="4" borderId="28" xfId="0" applyFont="1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0" fillId="2" borderId="30" xfId="0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2" fillId="4" borderId="31" xfId="0" applyFont="1" applyFill="1" applyBorder="1" applyAlignment="1" applyProtection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 applyProtection="1">
      <alignment horizontal="center"/>
    </xf>
    <xf numFmtId="0" fontId="0" fillId="14" borderId="0" xfId="0" applyFill="1" applyAlignment="1" applyProtection="1">
      <alignment horizontal="center"/>
    </xf>
    <xf numFmtId="0" fontId="0" fillId="15" borderId="0" xfId="0" applyFill="1" applyAlignment="1" applyProtection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cat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Algn val="ctr"/>
        <c:lblOffset val="100"/>
        <c:noMultiLvlLbl val="1"/>
      </c:cat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395"/>
  <sheetViews>
    <sheetView tabSelected="1" topLeftCell="C1" zoomScale="110" zoomScaleNormal="110" workbookViewId="0">
      <selection activeCell="C38" sqref="C38:D38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30.140625" style="62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1" bestFit="1" customWidth="1"/>
    <col min="11" max="15" width="9.140625" style="121"/>
    <col min="16" max="16" width="4.42578125" style="121" customWidth="1"/>
    <col min="17" max="17" width="92.140625" style="62" customWidth="1"/>
    <col min="18" max="18" width="10.7109375" style="62" customWidth="1"/>
    <col min="19" max="22" width="9.140625" style="62" customWidth="1"/>
    <col min="23" max="26" width="9.140625" style="60" customWidth="1"/>
    <col min="27" max="27" width="10.85546875" style="60" bestFit="1" customWidth="1"/>
    <col min="28" max="16384" width="9.140625" style="60"/>
  </cols>
  <sheetData>
    <row r="1" spans="2:31" s="62" customFormat="1" ht="20.25" customHeight="1" x14ac:dyDescent="0.3">
      <c r="B1" s="62">
        <f>VLOOKUP(C1,ListMembers!U8:V10,2,FALSE)</f>
        <v>3</v>
      </c>
      <c r="C1" s="127" t="s">
        <v>193</v>
      </c>
      <c r="D1" s="143" t="s">
        <v>162</v>
      </c>
      <c r="E1" s="144"/>
      <c r="F1" s="144"/>
      <c r="G1" s="144"/>
      <c r="H1" s="145"/>
      <c r="I1" s="121"/>
      <c r="J1" s="121"/>
      <c r="K1" s="121"/>
      <c r="L1" s="121"/>
      <c r="M1" s="121"/>
      <c r="N1" s="121"/>
      <c r="O1" s="121"/>
      <c r="P1" s="121"/>
      <c r="W1" s="60"/>
      <c r="X1" s="60"/>
      <c r="Y1" s="60"/>
      <c r="Z1" s="60"/>
    </row>
    <row r="2" spans="2:31" s="62" customFormat="1" ht="47.25" customHeight="1" x14ac:dyDescent="0.25">
      <c r="C2" s="116"/>
      <c r="D2" s="146" t="s">
        <v>163</v>
      </c>
      <c r="E2" s="147"/>
      <c r="F2" s="147"/>
      <c r="G2" s="147"/>
      <c r="H2" s="148"/>
      <c r="I2" s="121"/>
      <c r="J2" s="121"/>
      <c r="K2" s="121"/>
      <c r="L2" s="121"/>
      <c r="M2" s="121"/>
      <c r="N2" s="121"/>
      <c r="O2" s="121"/>
      <c r="P2" s="121"/>
      <c r="W2" s="60"/>
      <c r="X2" s="60"/>
      <c r="Y2" s="60"/>
      <c r="Z2" s="60"/>
    </row>
    <row r="3" spans="2:31" s="61" customFormat="1" ht="15.75" thickBot="1" x14ac:dyDescent="0.3">
      <c r="B3" s="62"/>
      <c r="C3" s="138" t="s">
        <v>194</v>
      </c>
      <c r="D3" s="138"/>
      <c r="E3" s="138"/>
      <c r="F3" s="138"/>
      <c r="G3" s="149"/>
      <c r="H3" s="149"/>
      <c r="I3" s="121"/>
      <c r="J3" s="121"/>
      <c r="K3" s="121"/>
      <c r="L3" s="121"/>
      <c r="M3" s="121"/>
      <c r="N3" s="121"/>
      <c r="O3" s="121"/>
      <c r="P3" s="121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31" s="62" customFormat="1" ht="15.75" x14ac:dyDescent="0.25">
      <c r="C4" s="118" t="s">
        <v>182</v>
      </c>
      <c r="D4" s="119"/>
      <c r="E4" s="65"/>
      <c r="F4" s="118" t="s">
        <v>202</v>
      </c>
      <c r="G4" s="95" t="str">
        <f>IF(H4="","Typical",H4)</f>
        <v>Typical</v>
      </c>
      <c r="H4" s="136"/>
      <c r="I4" s="121"/>
      <c r="J4" s="121"/>
      <c r="K4" s="121"/>
      <c r="L4" s="121"/>
      <c r="M4" s="121"/>
      <c r="N4" s="121"/>
      <c r="O4" s="121"/>
      <c r="P4" s="121"/>
      <c r="W4" s="60"/>
      <c r="X4" s="60"/>
      <c r="Y4" s="60"/>
      <c r="Z4" s="60"/>
    </row>
    <row r="5" spans="2:31" s="62" customFormat="1" ht="15.75" x14ac:dyDescent="0.25">
      <c r="C5" s="118" t="s">
        <v>30</v>
      </c>
      <c r="D5" s="120"/>
      <c r="E5" s="65"/>
      <c r="F5" s="118" t="s">
        <v>203</v>
      </c>
      <c r="G5" s="95" t="str">
        <f>IF(H5="","Typical",H5)</f>
        <v>Typical</v>
      </c>
      <c r="H5" s="136"/>
      <c r="I5" s="121"/>
      <c r="J5" s="121"/>
      <c r="K5" s="121"/>
      <c r="L5" s="121"/>
      <c r="M5" s="121"/>
      <c r="N5" s="121"/>
      <c r="O5" s="121"/>
      <c r="P5" s="121"/>
      <c r="W5" s="60"/>
      <c r="X5" s="60"/>
      <c r="Y5" s="60"/>
      <c r="Z5" s="60"/>
    </row>
    <row r="6" spans="2:31" s="62" customFormat="1" ht="15.75" x14ac:dyDescent="0.25">
      <c r="C6" s="118" t="s">
        <v>99</v>
      </c>
      <c r="D6" s="120"/>
      <c r="F6" s="118" t="s">
        <v>198</v>
      </c>
      <c r="G6" s="95" t="str">
        <f>IF(H6="","None",H6)</f>
        <v>None</v>
      </c>
      <c r="H6" s="129"/>
      <c r="I6" s="121"/>
      <c r="J6" s="121"/>
      <c r="K6" s="121"/>
      <c r="L6" s="121"/>
      <c r="M6" s="121"/>
      <c r="N6" s="121"/>
      <c r="O6" s="121"/>
      <c r="P6" s="121"/>
      <c r="W6" s="60"/>
      <c r="X6" s="60"/>
      <c r="Y6" s="60"/>
      <c r="Z6" s="60"/>
    </row>
    <row r="7" spans="2:31" s="62" customFormat="1" x14ac:dyDescent="0.25">
      <c r="C7" s="64" t="s">
        <v>100</v>
      </c>
      <c r="D7" s="94" t="str">
        <f>IF(E7="","General",E7)</f>
        <v>General</v>
      </c>
      <c r="E7" s="101"/>
      <c r="I7" s="121"/>
      <c r="J7" s="121"/>
      <c r="K7" s="121"/>
      <c r="L7" s="121"/>
      <c r="M7" s="121"/>
      <c r="N7" s="121"/>
      <c r="O7" s="121"/>
      <c r="P7" s="121"/>
      <c r="W7" s="60"/>
      <c r="X7" s="60"/>
      <c r="Y7" s="60"/>
      <c r="Z7" s="60"/>
    </row>
    <row r="8" spans="2:31" s="62" customFormat="1" x14ac:dyDescent="0.25">
      <c r="C8" s="73" t="s">
        <v>158</v>
      </c>
      <c r="D8" s="74" t="str">
        <f>CurrentCropName&amp;" "&amp;CurrentCropType&amp;" "&amp;CurrentCropVariety</f>
        <v xml:space="preserve">  General</v>
      </c>
      <c r="I8" s="121"/>
      <c r="J8" s="121"/>
      <c r="K8" s="121"/>
      <c r="L8" s="121"/>
      <c r="M8" s="121"/>
      <c r="N8" s="121"/>
      <c r="O8" s="121"/>
      <c r="P8" s="121"/>
      <c r="W8" s="60"/>
      <c r="X8" s="60"/>
      <c r="Y8" s="60"/>
      <c r="Z8" s="60"/>
    </row>
    <row r="9" spans="2:31" s="62" customFormat="1" x14ac:dyDescent="0.25">
      <c r="C9" s="64" t="s">
        <v>4</v>
      </c>
      <c r="D9" s="100">
        <f ca="1">IF(E9="",TODAY(),E9)</f>
        <v>44992</v>
      </c>
      <c r="E9" s="76"/>
      <c r="F9" s="64" t="s">
        <v>153</v>
      </c>
      <c r="G9" s="94" t="e">
        <f>IF(H9="",VLOOKUP(CurrentCropNameFull,CropCoefficients,13,FALSE),H9)</f>
        <v>#N/A</v>
      </c>
      <c r="H9" s="81"/>
      <c r="I9" s="121"/>
      <c r="J9" s="121"/>
      <c r="K9" s="121"/>
      <c r="L9" s="121"/>
      <c r="M9" s="121"/>
      <c r="N9" s="121"/>
      <c r="O9" s="121"/>
      <c r="P9" s="121"/>
      <c r="W9" s="60"/>
      <c r="X9" s="60"/>
      <c r="Y9" s="60"/>
      <c r="Z9" s="60"/>
    </row>
    <row r="10" spans="2:31" s="62" customFormat="1" x14ac:dyDescent="0.25">
      <c r="C10" s="64" t="s">
        <v>5</v>
      </c>
      <c r="D10" s="100">
        <f ca="1">IF(E10="",CurrentEstablishDate+125,E10)</f>
        <v>45117</v>
      </c>
      <c r="E10" s="76"/>
      <c r="F10" s="64" t="s">
        <v>154</v>
      </c>
      <c r="G10" s="94" t="e">
        <f>IF(H10="",VLOOKUP(CurrentCropNameFull,CropCoefficients,15,FALSE),H10)</f>
        <v>#N/A</v>
      </c>
      <c r="H10" s="81"/>
      <c r="I10" s="121"/>
      <c r="J10" s="121"/>
      <c r="K10" s="121"/>
      <c r="L10" s="121"/>
      <c r="M10" s="121"/>
      <c r="N10" s="121"/>
      <c r="O10" s="121"/>
      <c r="P10" s="121"/>
      <c r="W10" s="60"/>
      <c r="X10" s="60"/>
      <c r="Y10" s="60"/>
      <c r="Z10" s="60"/>
    </row>
    <row r="11" spans="2:31" s="62" customFormat="1" x14ac:dyDescent="0.25">
      <c r="C11" s="64" t="s">
        <v>144</v>
      </c>
      <c r="D11" s="94" t="e">
        <f>IF(CurrentUnits="kg/head",IF(E11="",VLOOKUP(CurrentCropNameFull,CropCoefficients,20,FALSE),E11),"  -")</f>
        <v>#N/A</v>
      </c>
      <c r="E11" s="81"/>
      <c r="F11" s="64" t="s">
        <v>141</v>
      </c>
      <c r="G11" s="94" t="e">
        <f>IF(H11="",VLOOKUP(CurrentCropNameFull,CropCoefficients,23,FALSE),H11)</f>
        <v>#N/A</v>
      </c>
      <c r="H11" s="81"/>
      <c r="I11" s="121"/>
      <c r="J11" s="121"/>
      <c r="K11" s="121"/>
      <c r="L11" s="121"/>
      <c r="M11" s="121"/>
      <c r="N11" s="121"/>
      <c r="O11" s="121"/>
      <c r="P11" s="121"/>
      <c r="W11" s="60"/>
      <c r="X11" s="60"/>
      <c r="Y11" s="60"/>
      <c r="Z11" s="60"/>
    </row>
    <row r="12" spans="2:31" s="62" customFormat="1" x14ac:dyDescent="0.25">
      <c r="C12" s="64" t="e">
        <f>"Yield ("&amp;CurrentUnits&amp;")"</f>
        <v>#N/A</v>
      </c>
      <c r="D12" s="94" t="e">
        <f>IF(E12="",VLOOKUP(CurrentCropNameFull,CropCoefficients,17,FALSE),E12)</f>
        <v>#N/A</v>
      </c>
      <c r="E12" s="78"/>
      <c r="F12" s="64" t="s">
        <v>143</v>
      </c>
      <c r="G12" s="94" t="e">
        <f>IF(H12="",VLOOKUP(CurrentCropNameFull,CropCoefficients,22,FALSE),H12)</f>
        <v>#N/A</v>
      </c>
      <c r="H12" s="81"/>
      <c r="I12" s="121"/>
      <c r="J12" s="121"/>
      <c r="K12" s="121"/>
      <c r="L12" s="121"/>
      <c r="M12" s="121"/>
      <c r="N12" s="121"/>
      <c r="O12" s="121"/>
      <c r="P12" s="121"/>
      <c r="W12" s="60"/>
      <c r="X12" s="60"/>
      <c r="Y12" s="60"/>
      <c r="Z12" s="60"/>
    </row>
    <row r="13" spans="2:31" s="62" customFormat="1" x14ac:dyDescent="0.25">
      <c r="C13" s="64" t="s">
        <v>15</v>
      </c>
      <c r="D13" s="95" t="e">
        <f>IF(E13="",VLOOKUP(CurrentCropNameFull,CropCoefficients,18,FALSE),E13)</f>
        <v>#N/A</v>
      </c>
      <c r="E13" s="80"/>
      <c r="F13" s="64" t="s">
        <v>142</v>
      </c>
      <c r="G13" s="108" t="e">
        <f>IF(H13="",VLOOKUP(CurrentCropNameFull,CropCoefficients,26,FALSE),H13)</f>
        <v>#N/A</v>
      </c>
      <c r="H13" s="81"/>
      <c r="I13" s="121"/>
      <c r="J13" s="121"/>
      <c r="K13" s="121"/>
      <c r="L13" s="121"/>
      <c r="M13" s="121"/>
      <c r="N13" s="121"/>
      <c r="O13" s="121"/>
      <c r="P13" s="121"/>
      <c r="W13" s="60"/>
      <c r="X13" s="60"/>
      <c r="Y13" s="60"/>
      <c r="Z13" s="60"/>
    </row>
    <row r="14" spans="2:31" s="62" customFormat="1" x14ac:dyDescent="0.25">
      <c r="B14" s="99" t="e">
        <f>IF(CurrentUnits="kg/head",CurrentYield*CurrentPopulation/1000,IF(CurrentUnits="kg/ha",CurrentYield/1000,CurrentYield))</f>
        <v>#N/A</v>
      </c>
      <c r="C14" s="73" t="e">
        <f>"Yield "&amp;CurrentYield_tperHa&amp;" (t/ha)"</f>
        <v>#N/A</v>
      </c>
      <c r="D14" s="99" t="e">
        <f ca="1">"requires "&amp;ROUND(SUM('Model Interface'!V3:W3),0)&amp;" kg N/ha from all sources"</f>
        <v>#N/A</v>
      </c>
      <c r="F14" s="64" t="s">
        <v>168</v>
      </c>
      <c r="G14" s="94" t="str">
        <f>IF(H14="","None removed",H14)</f>
        <v>None removed</v>
      </c>
      <c r="H14" s="81"/>
      <c r="I14" s="121"/>
      <c r="J14" s="121"/>
      <c r="K14" s="121"/>
      <c r="L14" s="121"/>
      <c r="M14" s="121"/>
      <c r="N14" s="121"/>
      <c r="O14" s="121"/>
      <c r="P14" s="121"/>
      <c r="R14" s="92">
        <f ca="1">MAX(PriorHarvestDate,MIN(C38,CurrentEstablishDate))</f>
        <v>44992</v>
      </c>
      <c r="W14" s="60"/>
      <c r="X14" s="60"/>
      <c r="Y14" s="60"/>
      <c r="Z14" s="60"/>
    </row>
    <row r="15" spans="2:31" s="62" customFormat="1" ht="16.5" thickBot="1" x14ac:dyDescent="0.3">
      <c r="B15" s="62">
        <f ca="1">SUMIF(B29:B43,1,G29:G43)</f>
        <v>0</v>
      </c>
      <c r="C15" s="122" t="s">
        <v>240</v>
      </c>
      <c r="D15" s="123" t="str">
        <f ca="1">SUMIF(B29:B43,1,G29:G43)&amp;" Kg/ha"</f>
        <v>0 Kg/ha</v>
      </c>
      <c r="E15" s="124" t="s">
        <v>197</v>
      </c>
      <c r="F15" s="64" t="s">
        <v>169</v>
      </c>
      <c r="G15" s="94" t="str">
        <f>IF(H15="","Full (Plough)",H15)</f>
        <v>Full (Plough)</v>
      </c>
      <c r="H15" s="81"/>
      <c r="I15" s="121"/>
      <c r="J15" s="121"/>
      <c r="K15" s="121"/>
      <c r="L15" s="121"/>
      <c r="M15" s="121"/>
      <c r="N15" s="121"/>
      <c r="O15" s="121"/>
      <c r="P15" s="121"/>
      <c r="R15" s="156" t="s">
        <v>243</v>
      </c>
      <c r="S15" s="156"/>
      <c r="T15" s="156"/>
      <c r="U15" s="156"/>
      <c r="V15" s="156"/>
      <c r="W15" s="157" t="s">
        <v>242</v>
      </c>
      <c r="X15" s="157"/>
      <c r="Y15" s="157"/>
      <c r="Z15" s="157"/>
      <c r="AA15" s="158" t="s">
        <v>244</v>
      </c>
      <c r="AB15" s="158"/>
      <c r="AC15" s="158"/>
      <c r="AD15" s="158"/>
      <c r="AE15" s="158"/>
    </row>
    <row r="16" spans="2:31" s="62" customFormat="1" ht="5.25" customHeight="1" x14ac:dyDescent="0.25">
      <c r="C16" s="68"/>
      <c r="D16" s="115"/>
      <c r="E16" s="68"/>
      <c r="I16" s="121"/>
      <c r="J16" s="121"/>
      <c r="K16" s="121"/>
      <c r="L16" s="121"/>
      <c r="M16" s="121"/>
      <c r="N16" s="121"/>
      <c r="O16" s="121"/>
      <c r="P16" s="121"/>
      <c r="W16" s="60"/>
      <c r="X16" s="60"/>
      <c r="Y16" s="60"/>
      <c r="Z16" s="60"/>
    </row>
    <row r="17" spans="1:31" s="61" customFormat="1" ht="15.75" thickBot="1" x14ac:dyDescent="0.3">
      <c r="A17" s="62"/>
      <c r="B17" s="62"/>
      <c r="C17" s="138" t="s">
        <v>195</v>
      </c>
      <c r="D17" s="138"/>
      <c r="E17" s="138"/>
      <c r="F17" s="138"/>
      <c r="G17" s="138"/>
      <c r="H17" s="138"/>
      <c r="I17" s="121"/>
      <c r="J17" s="121"/>
      <c r="K17" s="121"/>
      <c r="L17" s="121"/>
      <c r="M17" s="121"/>
      <c r="N17" s="121"/>
      <c r="O17" s="121"/>
      <c r="P17" s="121"/>
      <c r="Q17" s="62"/>
      <c r="R17" s="62">
        <f ca="1">'Model Interface'!P5</f>
        <v>0</v>
      </c>
      <c r="S17" s="62"/>
      <c r="T17" s="62" t="s">
        <v>167</v>
      </c>
      <c r="U17" s="62" t="s">
        <v>166</v>
      </c>
      <c r="V17" s="62" t="s">
        <v>13</v>
      </c>
      <c r="W17" s="62" t="s">
        <v>215</v>
      </c>
      <c r="X17" s="62" t="s">
        <v>216</v>
      </c>
      <c r="Y17" s="62" t="s">
        <v>198</v>
      </c>
      <c r="Z17" s="62" t="s">
        <v>219</v>
      </c>
      <c r="AA17" s="62" t="s">
        <v>14</v>
      </c>
      <c r="AB17" s="62"/>
      <c r="AC17" s="62" t="s">
        <v>167</v>
      </c>
      <c r="AD17" s="62" t="s">
        <v>166</v>
      </c>
      <c r="AE17" s="62" t="s">
        <v>13</v>
      </c>
    </row>
    <row r="18" spans="1:31" s="62" customFormat="1" ht="5.25" customHeight="1" x14ac:dyDescent="0.25">
      <c r="F18" s="66"/>
      <c r="G18" s="66"/>
      <c r="H18" s="66"/>
      <c r="I18" s="121"/>
      <c r="J18" s="121"/>
      <c r="K18" s="121"/>
      <c r="L18" s="121"/>
      <c r="M18" s="121"/>
      <c r="N18" s="121"/>
      <c r="O18" s="121"/>
      <c r="P18" s="121"/>
      <c r="R18" s="92" t="str">
        <f t="array" aca="1" ref="R18:R395" ca="1">_xlfn._xlws.FILTER('Model Interface'!AD6:AD495,('Model Interface'!AD6:AD495&gt;=StartGraphDate)*('Model Interface'!AD6:AD495&lt;=CurrentHarvestDate),"")</f>
        <v/>
      </c>
      <c r="S18" s="62" t="str">
        <f ca="1">IF(R18&gt;1,R18,"")</f>
        <v/>
      </c>
      <c r="T18" s="62" t="e">
        <f t="shared" ref="T18:T81" ca="1" si="0">VLOOKUP(S18,ModelOutputs,2,FALSE)</f>
        <v>#N/A</v>
      </c>
      <c r="U18" s="62" t="e">
        <f t="shared" ref="U18:U81" ca="1" si="1">VLOOKUP(S18,ModelOutputs,7,FALSE)</f>
        <v>#N/A</v>
      </c>
      <c r="V18" s="62" t="e">
        <f t="shared" ref="V18:V81" ca="1" si="2">VLOOKUP(S18,ModelOutputs,6,FALSE)</f>
        <v>#N/A</v>
      </c>
      <c r="W18" s="60" t="e">
        <f t="shared" ref="W18:W81" ca="1" si="3">VLOOKUP(S18,ModelOutputs,10,FALSE)*AWC</f>
        <v>#N/A</v>
      </c>
      <c r="X18" s="60" t="e">
        <f ca="1">VLOOKUP(S18,ModelOutputs,11,FALSE)</f>
        <v>#N/A</v>
      </c>
      <c r="Y18" s="60" t="e">
        <f t="shared" ref="Y18:Y81" ca="1" si="4">VLOOKUP(S18,ModelOutputs,12,FALSE)</f>
        <v>#N/A</v>
      </c>
      <c r="Z18" s="60" t="e">
        <f t="shared" ref="Z18:Z81" ca="1" si="5">VLOOKUP(S18,ModelOutputs,13,FALSE)</f>
        <v>#N/A</v>
      </c>
      <c r="AA18" s="92" t="str">
        <f t="array" aca="1" ref="AA18:AA395" ca="1">_xlfn._xlws.FILTER('Model Interface'!AD6:AD495,('Model Interface'!AD6:AD495&gt;=CurrentHarvestDate+1)*('Model Interface'!AD6:AD495&lt;=FollowingHarvestDate),"")</f>
        <v/>
      </c>
      <c r="AB18" s="62" t="str">
        <f ca="1">IF(AA18&gt;1,AA18,"")</f>
        <v/>
      </c>
      <c r="AC18" s="62" t="e">
        <f t="shared" ref="AC18:AC20" ca="1" si="6">VLOOKUP(AB18,ModelOutputs,2,FALSE)</f>
        <v>#N/A</v>
      </c>
      <c r="AD18" s="62" t="e">
        <f t="shared" ref="AD18:AD20" ca="1" si="7">VLOOKUP(AB18,ModelOutputs,7,FALSE)</f>
        <v>#N/A</v>
      </c>
      <c r="AE18" s="62" t="e">
        <f t="shared" ref="AE18:AE20" ca="1" si="8">VLOOKUP(AB18,ModelOutputs,6,FALSE)</f>
        <v>#N/A</v>
      </c>
    </row>
    <row r="19" spans="1:31" s="62" customFormat="1" x14ac:dyDescent="0.25">
      <c r="C19" s="64" t="s">
        <v>237</v>
      </c>
      <c r="D19" s="94">
        <f>IF(E19="",60,E19)</f>
        <v>60</v>
      </c>
      <c r="E19" s="18"/>
      <c r="F19" s="109" t="str">
        <f ca="1">ROUND('Model Interface'!T2,0)&amp;" kg N/ha available from SOM mineralisation"</f>
        <v>0 kg N/ha available from SOM mineralisation</v>
      </c>
      <c r="I19" s="121"/>
      <c r="J19" s="121"/>
      <c r="K19" s="121"/>
      <c r="L19" s="121"/>
      <c r="M19" s="121"/>
      <c r="N19" s="121"/>
      <c r="O19" s="121"/>
      <c r="P19" s="121"/>
      <c r="R19" s="92" t="str">
        <f ca="1"/>
        <v/>
      </c>
      <c r="S19" s="62" t="str">
        <f t="shared" ref="S19:S82" ca="1" si="9">IF(R19&gt;1,R19,"")</f>
        <v/>
      </c>
      <c r="T19" s="62" t="e">
        <f t="shared" ca="1" si="0"/>
        <v>#N/A</v>
      </c>
      <c r="U19" s="62" t="e">
        <f t="shared" ca="1" si="1"/>
        <v>#N/A</v>
      </c>
      <c r="V19" s="62" t="e">
        <f t="shared" ca="1" si="2"/>
        <v>#N/A</v>
      </c>
      <c r="W19" s="60" t="e">
        <f t="shared" ca="1" si="3"/>
        <v>#N/A</v>
      </c>
      <c r="X19" s="60" t="e">
        <f t="shared" ref="X19:X82" ca="1" si="10">VLOOKUP(S19,ModelOutputs,11,FALSE)+X18</f>
        <v>#N/A</v>
      </c>
      <c r="Y19" s="60" t="e">
        <f t="shared" ca="1" si="4"/>
        <v>#N/A</v>
      </c>
      <c r="Z19" s="60" t="e">
        <f t="shared" ca="1" si="5"/>
        <v>#N/A</v>
      </c>
      <c r="AA19" s="92" t="str">
        <f ca="1"/>
        <v/>
      </c>
      <c r="AB19" s="62" t="str">
        <f t="shared" ref="AB19:AB20" ca="1" si="11">IF(AA19&gt;1,AA19,"")</f>
        <v/>
      </c>
      <c r="AC19" s="62" t="e">
        <f t="shared" ca="1" si="6"/>
        <v>#N/A</v>
      </c>
      <c r="AD19" s="62" t="e">
        <f t="shared" ca="1" si="7"/>
        <v>#N/A</v>
      </c>
      <c r="AE19" s="62" t="e">
        <f t="shared" ca="1" si="8"/>
        <v>#N/A</v>
      </c>
    </row>
    <row r="20" spans="1:31" s="62" customFormat="1" x14ac:dyDescent="0.25">
      <c r="C20" s="64" t="s">
        <v>227</v>
      </c>
      <c r="D20" s="94" t="str">
        <f>IF(E20="","PMN",E20)</f>
        <v>PMN</v>
      </c>
      <c r="E20" s="18"/>
      <c r="F20" s="109"/>
      <c r="I20" s="121"/>
      <c r="J20" s="121"/>
      <c r="K20" s="121"/>
      <c r="L20" s="121"/>
      <c r="M20" s="121"/>
      <c r="N20" s="121"/>
      <c r="O20" s="121"/>
      <c r="P20" s="121"/>
      <c r="R20" s="92" t="str">
        <f ca="1"/>
        <v/>
      </c>
      <c r="S20" s="62" t="str">
        <f t="shared" ca="1" si="9"/>
        <v/>
      </c>
      <c r="T20" s="62" t="e">
        <f t="shared" ca="1" si="0"/>
        <v>#N/A</v>
      </c>
      <c r="U20" s="62" t="e">
        <f t="shared" ca="1" si="1"/>
        <v>#N/A</v>
      </c>
      <c r="V20" s="62" t="e">
        <f t="shared" ca="1" si="2"/>
        <v>#N/A</v>
      </c>
      <c r="W20" s="60" t="e">
        <f t="shared" ca="1" si="3"/>
        <v>#N/A</v>
      </c>
      <c r="X20" s="60" t="e">
        <f t="shared" ca="1" si="10"/>
        <v>#N/A</v>
      </c>
      <c r="Y20" s="60" t="e">
        <f t="shared" ca="1" si="4"/>
        <v>#N/A</v>
      </c>
      <c r="Z20" s="60" t="e">
        <f t="shared" ca="1" si="5"/>
        <v>#N/A</v>
      </c>
      <c r="AA20" s="92" t="str">
        <f ca="1"/>
        <v/>
      </c>
      <c r="AB20" s="62" t="str">
        <f t="shared" ca="1" si="11"/>
        <v/>
      </c>
      <c r="AC20" s="62" t="e">
        <f t="shared" ca="1" si="6"/>
        <v>#N/A</v>
      </c>
      <c r="AD20" s="62" t="e">
        <f t="shared" ca="1" si="7"/>
        <v>#N/A</v>
      </c>
      <c r="AE20" s="62" t="e">
        <f t="shared" ca="1" si="8"/>
        <v>#N/A</v>
      </c>
    </row>
    <row r="21" spans="1:31" s="62" customFormat="1" ht="15.75" customHeight="1" x14ac:dyDescent="0.25">
      <c r="B21" s="62">
        <f>VLOOKUP(SampleDepth,depths,2,FALSE)</f>
        <v>3</v>
      </c>
      <c r="C21" s="64" t="s">
        <v>225</v>
      </c>
      <c r="D21" s="94" t="str">
        <f>IF(E21="","0-30cm",E21)</f>
        <v>0-30cm</v>
      </c>
      <c r="E21" s="18"/>
      <c r="F21" s="109"/>
      <c r="I21" s="121"/>
      <c r="J21" s="121"/>
      <c r="K21" s="121"/>
      <c r="L21" s="121"/>
      <c r="M21" s="121"/>
      <c r="N21" s="121"/>
      <c r="O21" s="121"/>
      <c r="P21" s="121"/>
      <c r="R21" s="92" t="str">
        <f ca="1"/>
        <v/>
      </c>
      <c r="S21" s="62" t="str">
        <f t="shared" ca="1" si="9"/>
        <v/>
      </c>
      <c r="T21" s="62" t="e">
        <f t="shared" ca="1" si="0"/>
        <v>#N/A</v>
      </c>
      <c r="U21" s="62" t="e">
        <f t="shared" ca="1" si="1"/>
        <v>#N/A</v>
      </c>
      <c r="V21" s="62" t="e">
        <f t="shared" ca="1" si="2"/>
        <v>#N/A</v>
      </c>
      <c r="W21" s="60" t="e">
        <f t="shared" ca="1" si="3"/>
        <v>#N/A</v>
      </c>
      <c r="X21" s="60" t="e">
        <f t="shared" ca="1" si="10"/>
        <v>#N/A</v>
      </c>
      <c r="Y21" s="60" t="e">
        <f t="shared" ca="1" si="4"/>
        <v>#N/A</v>
      </c>
      <c r="Z21" s="60" t="e">
        <f t="shared" ca="1" si="5"/>
        <v>#N/A</v>
      </c>
      <c r="AA21" s="92" t="str">
        <f ca="1"/>
        <v/>
      </c>
      <c r="AB21" s="62" t="str">
        <f t="shared" ref="AB21:AB84" ca="1" si="12">IF(AA21&gt;1,AA21,"")</f>
        <v/>
      </c>
      <c r="AC21" s="62" t="e">
        <f t="shared" ref="AC21:AC84" ca="1" si="13">VLOOKUP(AB21,ModelOutputs,2,FALSE)</f>
        <v>#N/A</v>
      </c>
      <c r="AD21" s="62" t="e">
        <f t="shared" ref="AD21:AD84" ca="1" si="14">VLOOKUP(AB21,ModelOutputs,7,FALSE)</f>
        <v>#N/A</v>
      </c>
      <c r="AE21" s="62" t="e">
        <f t="shared" ref="AE21:AE84" ca="1" si="15">VLOOKUP(AB21,ModelOutputs,6,FALSE)</f>
        <v>#N/A</v>
      </c>
    </row>
    <row r="22" spans="1:31" s="62" customFormat="1" ht="15" customHeight="1" x14ac:dyDescent="0.25">
      <c r="C22" s="64" t="s">
        <v>226</v>
      </c>
      <c r="D22" s="94" t="str">
        <f>IF(E22="","Brown",E22)</f>
        <v>Brown</v>
      </c>
      <c r="E22" s="18"/>
      <c r="F22" s="109"/>
      <c r="I22" s="121"/>
      <c r="J22" s="121"/>
      <c r="K22" s="121"/>
      <c r="L22" s="121"/>
      <c r="M22" s="121"/>
      <c r="N22" s="121"/>
      <c r="O22" s="121"/>
      <c r="P22" s="121"/>
      <c r="R22" s="92" t="str">
        <f ca="1"/>
        <v/>
      </c>
      <c r="S22" s="62" t="str">
        <f t="shared" ca="1" si="9"/>
        <v/>
      </c>
      <c r="T22" s="62" t="e">
        <f t="shared" ca="1" si="0"/>
        <v>#N/A</v>
      </c>
      <c r="U22" s="62" t="e">
        <f t="shared" ca="1" si="1"/>
        <v>#N/A</v>
      </c>
      <c r="V22" s="62" t="e">
        <f t="shared" ca="1" si="2"/>
        <v>#N/A</v>
      </c>
      <c r="W22" s="60" t="e">
        <f t="shared" ca="1" si="3"/>
        <v>#N/A</v>
      </c>
      <c r="X22" s="60" t="e">
        <f t="shared" ca="1" si="10"/>
        <v>#N/A</v>
      </c>
      <c r="Y22" s="60" t="e">
        <f t="shared" ca="1" si="4"/>
        <v>#N/A</v>
      </c>
      <c r="Z22" s="60" t="e">
        <f t="shared" ca="1" si="5"/>
        <v>#N/A</v>
      </c>
      <c r="AA22" s="92" t="str">
        <f ca="1"/>
        <v/>
      </c>
      <c r="AB22" s="62" t="str">
        <f t="shared" ca="1" si="12"/>
        <v/>
      </c>
      <c r="AC22" s="62" t="e">
        <f t="shared" ca="1" si="13"/>
        <v>#N/A</v>
      </c>
      <c r="AD22" s="62" t="e">
        <f t="shared" ca="1" si="14"/>
        <v>#N/A</v>
      </c>
      <c r="AE22" s="62" t="e">
        <f t="shared" ca="1" si="15"/>
        <v>#N/A</v>
      </c>
    </row>
    <row r="23" spans="1:31" s="62" customFormat="1" x14ac:dyDescent="0.25">
      <c r="C23" s="64" t="s">
        <v>223</v>
      </c>
      <c r="D23" s="94">
        <f>IF(E23="",VLOOKUP(SoilOrder,SoilOrders,B21,FALSE),E23)</f>
        <v>1.22</v>
      </c>
      <c r="E23" s="135"/>
      <c r="F23" s="109"/>
      <c r="I23" s="121"/>
      <c r="J23" s="121"/>
      <c r="K23" s="121"/>
      <c r="L23" s="121"/>
      <c r="M23" s="121"/>
      <c r="N23" s="121"/>
      <c r="O23" s="121"/>
      <c r="P23" s="121"/>
      <c r="R23" s="92" t="str">
        <f ca="1"/>
        <v/>
      </c>
      <c r="S23" s="62" t="str">
        <f t="shared" ca="1" si="9"/>
        <v/>
      </c>
      <c r="T23" s="62" t="e">
        <f t="shared" ca="1" si="0"/>
        <v>#N/A</v>
      </c>
      <c r="U23" s="62" t="e">
        <f t="shared" ca="1" si="1"/>
        <v>#N/A</v>
      </c>
      <c r="V23" s="62" t="e">
        <f t="shared" ca="1" si="2"/>
        <v>#N/A</v>
      </c>
      <c r="W23" s="60" t="e">
        <f t="shared" ca="1" si="3"/>
        <v>#N/A</v>
      </c>
      <c r="X23" s="60" t="e">
        <f t="shared" ca="1" si="10"/>
        <v>#N/A</v>
      </c>
      <c r="Y23" s="60" t="e">
        <f t="shared" ca="1" si="4"/>
        <v>#N/A</v>
      </c>
      <c r="Z23" s="60" t="e">
        <f t="shared" ca="1" si="5"/>
        <v>#N/A</v>
      </c>
      <c r="AA23" s="92" t="str">
        <f ca="1"/>
        <v/>
      </c>
      <c r="AB23" s="62" t="str">
        <f t="shared" ca="1" si="12"/>
        <v/>
      </c>
      <c r="AC23" s="62" t="e">
        <f t="shared" ca="1" si="13"/>
        <v>#N/A</v>
      </c>
      <c r="AD23" s="62" t="e">
        <f t="shared" ca="1" si="14"/>
        <v>#N/A</v>
      </c>
      <c r="AE23" s="62" t="e">
        <f t="shared" ca="1" si="15"/>
        <v>#N/A</v>
      </c>
    </row>
    <row r="24" spans="1:31" s="62" customFormat="1" x14ac:dyDescent="0.25">
      <c r="D24" s="134"/>
      <c r="F24" s="109"/>
      <c r="I24" s="121"/>
      <c r="J24" s="121"/>
      <c r="K24" s="121"/>
      <c r="L24" s="121"/>
      <c r="M24" s="121"/>
      <c r="N24" s="121"/>
      <c r="O24" s="121"/>
      <c r="P24" s="121"/>
      <c r="R24" s="92" t="str">
        <f ca="1"/>
        <v/>
      </c>
      <c r="S24" s="62" t="str">
        <f t="shared" ca="1" si="9"/>
        <v/>
      </c>
      <c r="T24" s="62" t="e">
        <f t="shared" ca="1" si="0"/>
        <v>#N/A</v>
      </c>
      <c r="U24" s="62" t="e">
        <f t="shared" ca="1" si="1"/>
        <v>#N/A</v>
      </c>
      <c r="V24" s="62" t="e">
        <f t="shared" ca="1" si="2"/>
        <v>#N/A</v>
      </c>
      <c r="W24" s="60" t="e">
        <f t="shared" ca="1" si="3"/>
        <v>#N/A</v>
      </c>
      <c r="X24" s="60" t="e">
        <f t="shared" ca="1" si="10"/>
        <v>#N/A</v>
      </c>
      <c r="Y24" s="60" t="e">
        <f t="shared" ca="1" si="4"/>
        <v>#N/A</v>
      </c>
      <c r="Z24" s="60" t="e">
        <f t="shared" ca="1" si="5"/>
        <v>#N/A</v>
      </c>
      <c r="AA24" s="92" t="str">
        <f ca="1"/>
        <v/>
      </c>
      <c r="AB24" s="62" t="str">
        <f t="shared" ca="1" si="12"/>
        <v/>
      </c>
      <c r="AC24" s="62" t="e">
        <f t="shared" ca="1" si="13"/>
        <v>#N/A</v>
      </c>
      <c r="AD24" s="62" t="e">
        <f t="shared" ca="1" si="14"/>
        <v>#N/A</v>
      </c>
      <c r="AE24" s="62" t="e">
        <f t="shared" ca="1" si="15"/>
        <v>#N/A</v>
      </c>
    </row>
    <row r="25" spans="1:31" s="62" customFormat="1" x14ac:dyDescent="0.25">
      <c r="C25" s="69" t="str">
        <f>IF(COUNT(C29:C34)&gt;0,"Side dressings remaining","Side dressings")</f>
        <v>Side dressings</v>
      </c>
      <c r="D25" s="94">
        <f>IF(E25="",1,E25)</f>
        <v>1</v>
      </c>
      <c r="E25" s="113"/>
      <c r="I25" s="121"/>
      <c r="J25" s="121"/>
      <c r="K25" s="121"/>
      <c r="L25" s="121"/>
      <c r="M25" s="121"/>
      <c r="N25" s="121"/>
      <c r="O25" s="121"/>
      <c r="P25" s="121"/>
      <c r="R25" s="92" t="str">
        <f ca="1"/>
        <v/>
      </c>
      <c r="S25" s="62" t="str">
        <f t="shared" ca="1" si="9"/>
        <v/>
      </c>
      <c r="T25" s="62" t="e">
        <f t="shared" ca="1" si="0"/>
        <v>#N/A</v>
      </c>
      <c r="U25" s="62" t="e">
        <f t="shared" ca="1" si="1"/>
        <v>#N/A</v>
      </c>
      <c r="V25" s="62" t="e">
        <f t="shared" ca="1" si="2"/>
        <v>#N/A</v>
      </c>
      <c r="W25" s="60" t="e">
        <f t="shared" ca="1" si="3"/>
        <v>#N/A</v>
      </c>
      <c r="X25" s="60" t="e">
        <f t="shared" ca="1" si="10"/>
        <v>#N/A</v>
      </c>
      <c r="Y25" s="60" t="e">
        <f t="shared" ca="1" si="4"/>
        <v>#N/A</v>
      </c>
      <c r="Z25" s="60" t="e">
        <f t="shared" ca="1" si="5"/>
        <v>#N/A</v>
      </c>
      <c r="AA25" s="92" t="str">
        <f ca="1"/>
        <v/>
      </c>
      <c r="AB25" s="62" t="str">
        <f t="shared" ca="1" si="12"/>
        <v/>
      </c>
      <c r="AC25" s="62" t="e">
        <f t="shared" ca="1" si="13"/>
        <v>#N/A</v>
      </c>
      <c r="AD25" s="62" t="e">
        <f t="shared" ca="1" si="14"/>
        <v>#N/A</v>
      </c>
      <c r="AE25" s="62" t="e">
        <f t="shared" ca="1" si="15"/>
        <v>#N/A</v>
      </c>
    </row>
    <row r="26" spans="1:31" s="62" customFormat="1" ht="15.75" thickBot="1" x14ac:dyDescent="0.3">
      <c r="C26" s="63"/>
      <c r="D26" s="63"/>
      <c r="E26" s="63"/>
      <c r="F26" s="63"/>
      <c r="I26" s="121"/>
      <c r="J26" s="121"/>
      <c r="K26" s="121"/>
      <c r="L26" s="121"/>
      <c r="M26" s="121"/>
      <c r="N26" s="121"/>
      <c r="O26" s="121"/>
      <c r="P26" s="121"/>
      <c r="R26" s="92" t="str">
        <f ca="1"/>
        <v/>
      </c>
      <c r="S26" s="62" t="str">
        <f t="shared" ca="1" si="9"/>
        <v/>
      </c>
      <c r="T26" s="62" t="e">
        <f t="shared" ca="1" si="0"/>
        <v>#N/A</v>
      </c>
      <c r="U26" s="62" t="e">
        <f t="shared" ca="1" si="1"/>
        <v>#N/A</v>
      </c>
      <c r="V26" s="62" t="e">
        <f t="shared" ca="1" si="2"/>
        <v>#N/A</v>
      </c>
      <c r="W26" s="60" t="e">
        <f t="shared" ca="1" si="3"/>
        <v>#N/A</v>
      </c>
      <c r="X26" s="60" t="e">
        <f t="shared" ca="1" si="10"/>
        <v>#N/A</v>
      </c>
      <c r="Y26" s="60" t="e">
        <f t="shared" ca="1" si="4"/>
        <v>#N/A</v>
      </c>
      <c r="Z26" s="60" t="e">
        <f t="shared" ca="1" si="5"/>
        <v>#N/A</v>
      </c>
      <c r="AA26" s="92" t="str">
        <f ca="1"/>
        <v/>
      </c>
      <c r="AB26" s="62" t="str">
        <f t="shared" ca="1" si="12"/>
        <v/>
      </c>
      <c r="AC26" s="62" t="e">
        <f t="shared" ca="1" si="13"/>
        <v>#N/A</v>
      </c>
      <c r="AD26" s="62" t="e">
        <f t="shared" ca="1" si="14"/>
        <v>#N/A</v>
      </c>
      <c r="AE26" s="62" t="e">
        <f t="shared" ca="1" si="15"/>
        <v>#N/A</v>
      </c>
    </row>
    <row r="27" spans="1:31" s="62" customFormat="1" ht="15.75" thickBot="1" x14ac:dyDescent="0.3">
      <c r="C27" s="139" t="s">
        <v>145</v>
      </c>
      <c r="D27" s="140"/>
      <c r="E27" s="67"/>
      <c r="F27" s="141" t="s">
        <v>152</v>
      </c>
      <c r="G27" s="142"/>
      <c r="I27" s="121"/>
      <c r="J27" s="121"/>
      <c r="K27" s="121"/>
      <c r="L27" s="121"/>
      <c r="M27" s="121"/>
      <c r="N27" s="121"/>
      <c r="O27" s="121"/>
      <c r="P27" s="121"/>
      <c r="R27" s="92" t="str">
        <f ca="1"/>
        <v/>
      </c>
      <c r="S27" s="62" t="str">
        <f t="shared" ca="1" si="9"/>
        <v/>
      </c>
      <c r="T27" s="62" t="e">
        <f t="shared" ca="1" si="0"/>
        <v>#N/A</v>
      </c>
      <c r="U27" s="62" t="e">
        <f t="shared" ca="1" si="1"/>
        <v>#N/A</v>
      </c>
      <c r="V27" s="62" t="e">
        <f t="shared" ca="1" si="2"/>
        <v>#N/A</v>
      </c>
      <c r="W27" s="60" t="e">
        <f t="shared" ca="1" si="3"/>
        <v>#N/A</v>
      </c>
      <c r="X27" s="60" t="e">
        <f t="shared" ca="1" si="10"/>
        <v>#N/A</v>
      </c>
      <c r="Y27" s="60" t="e">
        <f t="shared" ca="1" si="4"/>
        <v>#N/A</v>
      </c>
      <c r="Z27" s="60" t="e">
        <f t="shared" ca="1" si="5"/>
        <v>#N/A</v>
      </c>
      <c r="AA27" s="92" t="str">
        <f ca="1"/>
        <v/>
      </c>
      <c r="AB27" s="62" t="str">
        <f t="shared" ca="1" si="12"/>
        <v/>
      </c>
      <c r="AC27" s="62" t="e">
        <f t="shared" ca="1" si="13"/>
        <v>#N/A</v>
      </c>
      <c r="AD27" s="62" t="e">
        <f t="shared" ca="1" si="14"/>
        <v>#N/A</v>
      </c>
      <c r="AE27" s="62" t="e">
        <f t="shared" ca="1" si="15"/>
        <v>#N/A</v>
      </c>
    </row>
    <row r="28" spans="1:31" s="62" customFormat="1" ht="15.75" thickBot="1" x14ac:dyDescent="0.3">
      <c r="C28" s="125" t="s">
        <v>14</v>
      </c>
      <c r="D28" s="126" t="s">
        <v>116</v>
      </c>
      <c r="E28" s="68"/>
      <c r="F28" s="70" t="s">
        <v>14</v>
      </c>
      <c r="G28" s="71" t="s">
        <v>116</v>
      </c>
      <c r="I28" s="121"/>
      <c r="J28" s="121"/>
      <c r="K28" s="121"/>
      <c r="L28" s="121"/>
      <c r="M28" s="121"/>
      <c r="N28" s="121"/>
      <c r="O28" s="121"/>
      <c r="P28" s="121"/>
      <c r="R28" s="92" t="str">
        <f ca="1"/>
        <v/>
      </c>
      <c r="S28" s="62" t="str">
        <f t="shared" ca="1" si="9"/>
        <v/>
      </c>
      <c r="T28" s="62" t="e">
        <f t="shared" ca="1" si="0"/>
        <v>#N/A</v>
      </c>
      <c r="U28" s="62" t="e">
        <f t="shared" ca="1" si="1"/>
        <v>#N/A</v>
      </c>
      <c r="V28" s="62" t="e">
        <f t="shared" ca="1" si="2"/>
        <v>#N/A</v>
      </c>
      <c r="W28" s="60" t="e">
        <f t="shared" ca="1" si="3"/>
        <v>#N/A</v>
      </c>
      <c r="X28" s="60" t="e">
        <f t="shared" ca="1" si="10"/>
        <v>#N/A</v>
      </c>
      <c r="Y28" s="60" t="e">
        <f t="shared" ca="1" si="4"/>
        <v>#N/A</v>
      </c>
      <c r="Z28" s="60" t="e">
        <f t="shared" ca="1" si="5"/>
        <v>#N/A</v>
      </c>
      <c r="AA28" s="92" t="str">
        <f ca="1"/>
        <v/>
      </c>
      <c r="AB28" s="62" t="str">
        <f t="shared" ca="1" si="12"/>
        <v/>
      </c>
      <c r="AC28" s="62" t="e">
        <f t="shared" ca="1" si="13"/>
        <v>#N/A</v>
      </c>
      <c r="AD28" s="62" t="e">
        <f t="shared" ca="1" si="14"/>
        <v>#N/A</v>
      </c>
      <c r="AE28" s="62" t="e">
        <f t="shared" ca="1" si="15"/>
        <v>#N/A</v>
      </c>
    </row>
    <row r="29" spans="1:31" s="62" customFormat="1" x14ac:dyDescent="0.25">
      <c r="A29" s="92" t="str">
        <f t="array" aca="1" ref="A29:A43" ca="1">_xlfn._xlws.FILTER('Model Interface'!AD6:AD495,'Model Interface'!AE6:AE495&gt;0,"")</f>
        <v/>
      </c>
      <c r="B29" s="62">
        <f t="shared" ref="B29:B43" ca="1" si="16">IF(AND(NOT(F29=""),F29&gt;=StartSchedullingDate),1,0)</f>
        <v>0</v>
      </c>
      <c r="C29" s="87"/>
      <c r="D29" s="89"/>
      <c r="E29" s="68"/>
      <c r="F29" s="83" t="str">
        <f ca="1">A29</f>
        <v/>
      </c>
      <c r="G29" s="85" t="str">
        <f ca="1">IFERROR(VLOOKUP(F29,'Model Interface'!$P$6:$U$495,6,FALSE),"")</f>
        <v/>
      </c>
      <c r="H29" s="62" t="str">
        <f ca="1">IF(B29=1,"Suggested","Applied or Planned")</f>
        <v>Applied or Planned</v>
      </c>
      <c r="I29" s="121"/>
      <c r="J29" s="121"/>
      <c r="K29" s="121"/>
      <c r="L29" s="121"/>
      <c r="M29" s="121"/>
      <c r="N29" s="121"/>
      <c r="O29" s="121"/>
      <c r="P29" s="121"/>
      <c r="R29" s="92" t="str">
        <f ca="1"/>
        <v/>
      </c>
      <c r="S29" s="62" t="str">
        <f t="shared" ca="1" si="9"/>
        <v/>
      </c>
      <c r="T29" s="62" t="e">
        <f t="shared" ca="1" si="0"/>
        <v>#N/A</v>
      </c>
      <c r="U29" s="62" t="e">
        <f t="shared" ca="1" si="1"/>
        <v>#N/A</v>
      </c>
      <c r="V29" s="62" t="e">
        <f t="shared" ca="1" si="2"/>
        <v>#N/A</v>
      </c>
      <c r="W29" s="60" t="e">
        <f t="shared" ca="1" si="3"/>
        <v>#N/A</v>
      </c>
      <c r="X29" s="60" t="e">
        <f t="shared" ca="1" si="10"/>
        <v>#N/A</v>
      </c>
      <c r="Y29" s="60" t="e">
        <f t="shared" ca="1" si="4"/>
        <v>#N/A</v>
      </c>
      <c r="Z29" s="60" t="e">
        <f t="shared" ca="1" si="5"/>
        <v>#N/A</v>
      </c>
      <c r="AA29" s="92" t="str">
        <f ca="1"/>
        <v/>
      </c>
      <c r="AB29" s="62" t="str">
        <f t="shared" ca="1" si="12"/>
        <v/>
      </c>
      <c r="AC29" s="62" t="e">
        <f t="shared" ca="1" si="13"/>
        <v>#N/A</v>
      </c>
      <c r="AD29" s="62" t="e">
        <f t="shared" ca="1" si="14"/>
        <v>#N/A</v>
      </c>
      <c r="AE29" s="62" t="e">
        <f t="shared" ca="1" si="15"/>
        <v>#N/A</v>
      </c>
    </row>
    <row r="30" spans="1:31" s="62" customFormat="1" x14ac:dyDescent="0.25">
      <c r="A30" s="92" t="str">
        <f ca="1"/>
        <v/>
      </c>
      <c r="B30" s="62">
        <f t="shared" ca="1" si="16"/>
        <v>0</v>
      </c>
      <c r="C30" s="87"/>
      <c r="D30" s="90"/>
      <c r="E30" s="68"/>
      <c r="F30" s="83" t="str">
        <f t="shared" ref="F30:F43" ca="1" si="17">IFERROR(IF(A30=A29,"",A30),"")</f>
        <v/>
      </c>
      <c r="G30" s="85" t="str">
        <f ca="1">IFERROR(VLOOKUP(F30,'Model Interface'!$P$6:$U$495,6,FALSE),"")</f>
        <v/>
      </c>
      <c r="H30" s="62" t="str">
        <f t="shared" ref="H30:H43" ca="1" si="18">IF(F30="","",IF(F30&lt;=StartSchedullingDate,"Applied or Planned","Suggested"))</f>
        <v/>
      </c>
      <c r="I30" s="121"/>
      <c r="J30" s="121"/>
      <c r="K30" s="121"/>
      <c r="L30" s="121"/>
      <c r="M30" s="121"/>
      <c r="N30" s="121"/>
      <c r="O30" s="121"/>
      <c r="P30" s="121"/>
      <c r="R30" s="92" t="str">
        <f ca="1"/>
        <v/>
      </c>
      <c r="S30" s="62" t="str">
        <f t="shared" ca="1" si="9"/>
        <v/>
      </c>
      <c r="T30" s="62" t="e">
        <f t="shared" ca="1" si="0"/>
        <v>#N/A</v>
      </c>
      <c r="U30" s="62" t="e">
        <f t="shared" ca="1" si="1"/>
        <v>#N/A</v>
      </c>
      <c r="V30" s="62" t="e">
        <f t="shared" ca="1" si="2"/>
        <v>#N/A</v>
      </c>
      <c r="W30" s="60" t="e">
        <f t="shared" ca="1" si="3"/>
        <v>#N/A</v>
      </c>
      <c r="X30" s="60" t="e">
        <f t="shared" ca="1" si="10"/>
        <v>#N/A</v>
      </c>
      <c r="Y30" s="60" t="e">
        <f t="shared" ca="1" si="4"/>
        <v>#N/A</v>
      </c>
      <c r="Z30" s="60" t="e">
        <f t="shared" ca="1" si="5"/>
        <v>#N/A</v>
      </c>
      <c r="AA30" s="92" t="str">
        <f ca="1"/>
        <v/>
      </c>
      <c r="AB30" s="62" t="str">
        <f t="shared" ca="1" si="12"/>
        <v/>
      </c>
      <c r="AC30" s="62" t="e">
        <f t="shared" ca="1" si="13"/>
        <v>#N/A</v>
      </c>
      <c r="AD30" s="62" t="e">
        <f t="shared" ca="1" si="14"/>
        <v>#N/A</v>
      </c>
      <c r="AE30" s="62" t="e">
        <f t="shared" ca="1" si="15"/>
        <v>#N/A</v>
      </c>
    </row>
    <row r="31" spans="1:31" s="62" customFormat="1" x14ac:dyDescent="0.25">
      <c r="A31" s="92" t="str">
        <f ca="1"/>
        <v/>
      </c>
      <c r="B31" s="62">
        <f t="shared" ca="1" si="16"/>
        <v>0</v>
      </c>
      <c r="C31" s="87"/>
      <c r="D31" s="90"/>
      <c r="E31" s="68"/>
      <c r="F31" s="83" t="str">
        <f t="shared" ca="1" si="17"/>
        <v/>
      </c>
      <c r="G31" s="85" t="str">
        <f ca="1">IFERROR(VLOOKUP(F31,'Model Interface'!$P$6:$U$495,6,FALSE),"")</f>
        <v/>
      </c>
      <c r="H31" s="62" t="str">
        <f t="shared" ca="1" si="18"/>
        <v/>
      </c>
      <c r="I31" s="121"/>
      <c r="J31" s="121"/>
      <c r="K31" s="121"/>
      <c r="L31" s="121"/>
      <c r="M31" s="121"/>
      <c r="N31" s="121"/>
      <c r="O31" s="121"/>
      <c r="P31" s="121"/>
      <c r="R31" s="92" t="str">
        <f ca="1"/>
        <v/>
      </c>
      <c r="S31" s="62" t="str">
        <f t="shared" ca="1" si="9"/>
        <v/>
      </c>
      <c r="T31" s="62" t="e">
        <f t="shared" ca="1" si="0"/>
        <v>#N/A</v>
      </c>
      <c r="U31" s="62" t="e">
        <f t="shared" ca="1" si="1"/>
        <v>#N/A</v>
      </c>
      <c r="V31" s="62" t="e">
        <f t="shared" ca="1" si="2"/>
        <v>#N/A</v>
      </c>
      <c r="W31" s="60" t="e">
        <f t="shared" ca="1" si="3"/>
        <v>#N/A</v>
      </c>
      <c r="X31" s="60" t="e">
        <f t="shared" ca="1" si="10"/>
        <v>#N/A</v>
      </c>
      <c r="Y31" s="60" t="e">
        <f t="shared" ca="1" si="4"/>
        <v>#N/A</v>
      </c>
      <c r="Z31" s="60" t="e">
        <f t="shared" ca="1" si="5"/>
        <v>#N/A</v>
      </c>
      <c r="AA31" s="92" t="str">
        <f ca="1"/>
        <v/>
      </c>
      <c r="AB31" s="62" t="str">
        <f t="shared" ca="1" si="12"/>
        <v/>
      </c>
      <c r="AC31" s="62" t="e">
        <f t="shared" ca="1" si="13"/>
        <v>#N/A</v>
      </c>
      <c r="AD31" s="62" t="e">
        <f t="shared" ca="1" si="14"/>
        <v>#N/A</v>
      </c>
      <c r="AE31" s="62" t="e">
        <f t="shared" ca="1" si="15"/>
        <v>#N/A</v>
      </c>
    </row>
    <row r="32" spans="1:31" s="62" customFormat="1" x14ac:dyDescent="0.25">
      <c r="A32" s="92" t="str">
        <f ca="1"/>
        <v/>
      </c>
      <c r="B32" s="62">
        <f t="shared" ca="1" si="16"/>
        <v>0</v>
      </c>
      <c r="C32" s="87"/>
      <c r="D32" s="90"/>
      <c r="E32" s="68"/>
      <c r="F32" s="83" t="str">
        <f t="shared" ca="1" si="17"/>
        <v/>
      </c>
      <c r="G32" s="85" t="str">
        <f ca="1">IFERROR(VLOOKUP(F32,'Model Interface'!$P$6:$U$495,6,FALSE),"")</f>
        <v/>
      </c>
      <c r="H32" s="62" t="str">
        <f t="shared" ca="1" si="18"/>
        <v/>
      </c>
      <c r="I32" s="121"/>
      <c r="J32" s="121"/>
      <c r="K32" s="121"/>
      <c r="L32" s="121"/>
      <c r="M32" s="121"/>
      <c r="N32" s="121"/>
      <c r="O32" s="121"/>
      <c r="P32" s="121"/>
      <c r="R32" s="92" t="str">
        <f ca="1"/>
        <v/>
      </c>
      <c r="S32" s="62" t="str">
        <f t="shared" ca="1" si="9"/>
        <v/>
      </c>
      <c r="T32" s="62" t="e">
        <f t="shared" ca="1" si="0"/>
        <v>#N/A</v>
      </c>
      <c r="U32" s="62" t="e">
        <f t="shared" ca="1" si="1"/>
        <v>#N/A</v>
      </c>
      <c r="V32" s="62" t="e">
        <f t="shared" ca="1" si="2"/>
        <v>#N/A</v>
      </c>
      <c r="W32" s="60" t="e">
        <f t="shared" ca="1" si="3"/>
        <v>#N/A</v>
      </c>
      <c r="X32" s="60" t="e">
        <f t="shared" ca="1" si="10"/>
        <v>#N/A</v>
      </c>
      <c r="Y32" s="60" t="e">
        <f t="shared" ca="1" si="4"/>
        <v>#N/A</v>
      </c>
      <c r="Z32" s="60" t="e">
        <f t="shared" ca="1" si="5"/>
        <v>#N/A</v>
      </c>
      <c r="AA32" s="92" t="str">
        <f ca="1"/>
        <v/>
      </c>
      <c r="AB32" s="62" t="str">
        <f t="shared" ca="1" si="12"/>
        <v/>
      </c>
      <c r="AC32" s="62" t="e">
        <f t="shared" ca="1" si="13"/>
        <v>#N/A</v>
      </c>
      <c r="AD32" s="62" t="e">
        <f t="shared" ca="1" si="14"/>
        <v>#N/A</v>
      </c>
      <c r="AE32" s="62" t="e">
        <f t="shared" ca="1" si="15"/>
        <v>#N/A</v>
      </c>
    </row>
    <row r="33" spans="1:31" s="62" customFormat="1" x14ac:dyDescent="0.25">
      <c r="A33" s="92" t="str">
        <f ca="1"/>
        <v/>
      </c>
      <c r="B33" s="62">
        <f t="shared" ca="1" si="16"/>
        <v>0</v>
      </c>
      <c r="C33" s="87"/>
      <c r="D33" s="90"/>
      <c r="E33" s="68"/>
      <c r="F33" s="83" t="str">
        <f t="shared" ca="1" si="17"/>
        <v/>
      </c>
      <c r="G33" s="85" t="str">
        <f ca="1">IFERROR(VLOOKUP(F33,'Model Interface'!$P$6:$U$495,6,FALSE),"")</f>
        <v/>
      </c>
      <c r="H33" s="62" t="str">
        <f t="shared" ca="1" si="18"/>
        <v/>
      </c>
      <c r="I33" s="121"/>
      <c r="J33" s="121"/>
      <c r="K33" s="121"/>
      <c r="L33" s="121"/>
      <c r="M33" s="121"/>
      <c r="N33" s="121"/>
      <c r="O33" s="121"/>
      <c r="P33" s="121"/>
      <c r="R33" s="92" t="str">
        <f ca="1"/>
        <v/>
      </c>
      <c r="S33" s="62" t="str">
        <f t="shared" ca="1" si="9"/>
        <v/>
      </c>
      <c r="T33" s="62" t="e">
        <f t="shared" ca="1" si="0"/>
        <v>#N/A</v>
      </c>
      <c r="U33" s="62" t="e">
        <f t="shared" ca="1" si="1"/>
        <v>#N/A</v>
      </c>
      <c r="V33" s="62" t="e">
        <f t="shared" ca="1" si="2"/>
        <v>#N/A</v>
      </c>
      <c r="W33" s="60" t="e">
        <f t="shared" ca="1" si="3"/>
        <v>#N/A</v>
      </c>
      <c r="X33" s="60" t="e">
        <f t="shared" ca="1" si="10"/>
        <v>#N/A</v>
      </c>
      <c r="Y33" s="60" t="e">
        <f t="shared" ca="1" si="4"/>
        <v>#N/A</v>
      </c>
      <c r="Z33" s="60" t="e">
        <f t="shared" ca="1" si="5"/>
        <v>#N/A</v>
      </c>
      <c r="AA33" s="92" t="str">
        <f ca="1"/>
        <v/>
      </c>
      <c r="AB33" s="62" t="str">
        <f t="shared" ca="1" si="12"/>
        <v/>
      </c>
      <c r="AC33" s="62" t="e">
        <f t="shared" ca="1" si="13"/>
        <v>#N/A</v>
      </c>
      <c r="AD33" s="62" t="e">
        <f t="shared" ca="1" si="14"/>
        <v>#N/A</v>
      </c>
      <c r="AE33" s="62" t="e">
        <f t="shared" ca="1" si="15"/>
        <v>#N/A</v>
      </c>
    </row>
    <row r="34" spans="1:31" s="62" customFormat="1" ht="15.75" thickBot="1" x14ac:dyDescent="0.3">
      <c r="A34" s="92" t="str">
        <f ca="1"/>
        <v/>
      </c>
      <c r="B34" s="62">
        <f t="shared" ca="1" si="16"/>
        <v>0</v>
      </c>
      <c r="C34" s="88"/>
      <c r="D34" s="91"/>
      <c r="E34" s="68"/>
      <c r="F34" s="83" t="str">
        <f t="shared" ca="1" si="17"/>
        <v/>
      </c>
      <c r="G34" s="85" t="str">
        <f ca="1">IFERROR(VLOOKUP(F34,'Model Interface'!$P$6:$U$495,6,FALSE),"")</f>
        <v/>
      </c>
      <c r="H34" s="62" t="str">
        <f t="shared" ca="1" si="18"/>
        <v/>
      </c>
      <c r="I34" s="121"/>
      <c r="J34" s="121"/>
      <c r="K34" s="121"/>
      <c r="L34" s="121"/>
      <c r="M34" s="121"/>
      <c r="N34" s="121"/>
      <c r="O34" s="121"/>
      <c r="P34" s="121"/>
      <c r="R34" s="92" t="str">
        <f ca="1"/>
        <v/>
      </c>
      <c r="S34" s="62" t="str">
        <f t="shared" ca="1" si="9"/>
        <v/>
      </c>
      <c r="T34" s="62" t="e">
        <f t="shared" ca="1" si="0"/>
        <v>#N/A</v>
      </c>
      <c r="U34" s="62" t="e">
        <f t="shared" ca="1" si="1"/>
        <v>#N/A</v>
      </c>
      <c r="V34" s="62" t="e">
        <f t="shared" ca="1" si="2"/>
        <v>#N/A</v>
      </c>
      <c r="W34" s="60" t="e">
        <f t="shared" ca="1" si="3"/>
        <v>#N/A</v>
      </c>
      <c r="X34" s="60" t="e">
        <f t="shared" ca="1" si="10"/>
        <v>#N/A</v>
      </c>
      <c r="Y34" s="60" t="e">
        <f t="shared" ca="1" si="4"/>
        <v>#N/A</v>
      </c>
      <c r="Z34" s="60" t="e">
        <f t="shared" ca="1" si="5"/>
        <v>#N/A</v>
      </c>
      <c r="AA34" s="92" t="str">
        <f ca="1"/>
        <v/>
      </c>
      <c r="AB34" s="62" t="str">
        <f t="shared" ca="1" si="12"/>
        <v/>
      </c>
      <c r="AC34" s="62" t="e">
        <f t="shared" ca="1" si="13"/>
        <v>#N/A</v>
      </c>
      <c r="AD34" s="62" t="e">
        <f t="shared" ca="1" si="14"/>
        <v>#N/A</v>
      </c>
      <c r="AE34" s="62" t="e">
        <f t="shared" ca="1" si="15"/>
        <v>#N/A</v>
      </c>
    </row>
    <row r="35" spans="1:31" s="62" customFormat="1" ht="15.75" thickBot="1" x14ac:dyDescent="0.3">
      <c r="A35" s="92" t="str">
        <f ca="1"/>
        <v/>
      </c>
      <c r="B35" s="62">
        <f t="shared" ca="1" si="16"/>
        <v>0</v>
      </c>
      <c r="F35" s="83" t="str">
        <f t="shared" ca="1" si="17"/>
        <v/>
      </c>
      <c r="G35" s="85" t="str">
        <f ca="1">IFERROR(VLOOKUP(F35,'Model Interface'!$P$6:$U$495,6,FALSE),"")</f>
        <v/>
      </c>
      <c r="H35" s="62" t="str">
        <f t="shared" ca="1" si="18"/>
        <v/>
      </c>
      <c r="I35" s="121"/>
      <c r="J35" s="121"/>
      <c r="K35" s="121"/>
      <c r="L35" s="121"/>
      <c r="M35" s="121"/>
      <c r="N35" s="121"/>
      <c r="O35" s="121"/>
      <c r="P35" s="121"/>
      <c r="R35" s="92" t="str">
        <f ca="1"/>
        <v/>
      </c>
      <c r="S35" s="62" t="str">
        <f t="shared" ca="1" si="9"/>
        <v/>
      </c>
      <c r="T35" s="62" t="e">
        <f t="shared" ca="1" si="0"/>
        <v>#N/A</v>
      </c>
      <c r="U35" s="62" t="e">
        <f t="shared" ca="1" si="1"/>
        <v>#N/A</v>
      </c>
      <c r="V35" s="62" t="e">
        <f t="shared" ca="1" si="2"/>
        <v>#N/A</v>
      </c>
      <c r="W35" s="60" t="e">
        <f t="shared" ca="1" si="3"/>
        <v>#N/A</v>
      </c>
      <c r="X35" s="60" t="e">
        <f t="shared" ca="1" si="10"/>
        <v>#N/A</v>
      </c>
      <c r="Y35" s="60" t="e">
        <f t="shared" ca="1" si="4"/>
        <v>#N/A</v>
      </c>
      <c r="Z35" s="60" t="e">
        <f t="shared" ca="1" si="5"/>
        <v>#N/A</v>
      </c>
      <c r="AA35" s="92" t="str">
        <f ca="1"/>
        <v/>
      </c>
      <c r="AB35" s="62" t="str">
        <f t="shared" ca="1" si="12"/>
        <v/>
      </c>
      <c r="AC35" s="62" t="e">
        <f t="shared" ca="1" si="13"/>
        <v>#N/A</v>
      </c>
      <c r="AD35" s="62" t="e">
        <f t="shared" ca="1" si="14"/>
        <v>#N/A</v>
      </c>
      <c r="AE35" s="62" t="e">
        <f t="shared" ca="1" si="15"/>
        <v>#N/A</v>
      </c>
    </row>
    <row r="36" spans="1:31" s="62" customFormat="1" ht="15.75" thickBot="1" x14ac:dyDescent="0.3">
      <c r="A36" s="92" t="str">
        <f ca="1"/>
        <v/>
      </c>
      <c r="B36" s="62">
        <f t="shared" ca="1" si="16"/>
        <v>0</v>
      </c>
      <c r="C36" s="139" t="s">
        <v>146</v>
      </c>
      <c r="D36" s="140"/>
      <c r="F36" s="83" t="str">
        <f t="shared" ca="1" si="17"/>
        <v/>
      </c>
      <c r="G36" s="85" t="str">
        <f ca="1">IFERROR(VLOOKUP(F36,'Model Interface'!$P$6:$U$495,6,FALSE),"")</f>
        <v/>
      </c>
      <c r="H36" s="62" t="str">
        <f t="shared" ca="1" si="18"/>
        <v/>
      </c>
      <c r="I36" s="121"/>
      <c r="J36" s="121"/>
      <c r="K36" s="121"/>
      <c r="L36" s="121"/>
      <c r="M36" s="121"/>
      <c r="N36" s="121"/>
      <c r="O36" s="121"/>
      <c r="P36" s="121"/>
      <c r="R36" s="92" t="str">
        <f ca="1"/>
        <v/>
      </c>
      <c r="S36" s="62" t="str">
        <f t="shared" ca="1" si="9"/>
        <v/>
      </c>
      <c r="T36" s="62" t="e">
        <f t="shared" ca="1" si="0"/>
        <v>#N/A</v>
      </c>
      <c r="U36" s="62" t="e">
        <f t="shared" ca="1" si="1"/>
        <v>#N/A</v>
      </c>
      <c r="V36" s="62" t="e">
        <f t="shared" ca="1" si="2"/>
        <v>#N/A</v>
      </c>
      <c r="W36" s="60" t="e">
        <f t="shared" ca="1" si="3"/>
        <v>#N/A</v>
      </c>
      <c r="X36" s="60" t="e">
        <f t="shared" ca="1" si="10"/>
        <v>#N/A</v>
      </c>
      <c r="Y36" s="60" t="e">
        <f t="shared" ca="1" si="4"/>
        <v>#N/A</v>
      </c>
      <c r="Z36" s="60" t="e">
        <f t="shared" ca="1" si="5"/>
        <v>#N/A</v>
      </c>
      <c r="AA36" s="92" t="str">
        <f ca="1"/>
        <v/>
      </c>
      <c r="AB36" s="62" t="str">
        <f t="shared" ca="1" si="12"/>
        <v/>
      </c>
      <c r="AC36" s="62" t="e">
        <f t="shared" ca="1" si="13"/>
        <v>#N/A</v>
      </c>
      <c r="AD36" s="62" t="e">
        <f t="shared" ca="1" si="14"/>
        <v>#N/A</v>
      </c>
      <c r="AE36" s="62" t="e">
        <f t="shared" ca="1" si="15"/>
        <v>#N/A</v>
      </c>
    </row>
    <row r="37" spans="1:31" s="62" customFormat="1" ht="15.75" thickBot="1" x14ac:dyDescent="0.3">
      <c r="A37" s="92" t="str">
        <f ca="1"/>
        <v/>
      </c>
      <c r="B37" s="62">
        <f t="shared" ca="1" si="16"/>
        <v>0</v>
      </c>
      <c r="C37" s="125" t="s">
        <v>14</v>
      </c>
      <c r="D37" s="126" t="s">
        <v>19</v>
      </c>
      <c r="F37" s="83" t="str">
        <f t="shared" ca="1" si="17"/>
        <v/>
      </c>
      <c r="G37" s="85" t="str">
        <f ca="1">IFERROR(VLOOKUP(F37,'Model Interface'!$P$6:$U$495,6,FALSE),"")</f>
        <v/>
      </c>
      <c r="H37" s="62" t="str">
        <f t="shared" ca="1" si="18"/>
        <v/>
      </c>
      <c r="I37" s="121"/>
      <c r="J37" s="121"/>
      <c r="K37" s="121"/>
      <c r="L37" s="121"/>
      <c r="M37" s="121"/>
      <c r="N37" s="121"/>
      <c r="O37" s="121"/>
      <c r="P37" s="121"/>
      <c r="R37" s="92" t="str">
        <f ca="1"/>
        <v/>
      </c>
      <c r="S37" s="62" t="str">
        <f t="shared" ca="1" si="9"/>
        <v/>
      </c>
      <c r="T37" s="62" t="e">
        <f t="shared" ca="1" si="0"/>
        <v>#N/A</v>
      </c>
      <c r="U37" s="62" t="e">
        <f t="shared" ca="1" si="1"/>
        <v>#N/A</v>
      </c>
      <c r="V37" s="62" t="e">
        <f t="shared" ca="1" si="2"/>
        <v>#N/A</v>
      </c>
      <c r="W37" s="60" t="e">
        <f t="shared" ca="1" si="3"/>
        <v>#N/A</v>
      </c>
      <c r="X37" s="60" t="e">
        <f t="shared" ca="1" si="10"/>
        <v>#N/A</v>
      </c>
      <c r="Y37" s="60" t="e">
        <f t="shared" ca="1" si="4"/>
        <v>#N/A</v>
      </c>
      <c r="Z37" s="60" t="e">
        <f t="shared" ca="1" si="5"/>
        <v>#N/A</v>
      </c>
      <c r="AA37" s="92" t="str">
        <f ca="1"/>
        <v/>
      </c>
      <c r="AB37" s="62" t="str">
        <f t="shared" ca="1" si="12"/>
        <v/>
      </c>
      <c r="AC37" s="62" t="e">
        <f t="shared" ca="1" si="13"/>
        <v>#N/A</v>
      </c>
      <c r="AD37" s="62" t="e">
        <f t="shared" ca="1" si="14"/>
        <v>#N/A</v>
      </c>
      <c r="AE37" s="62" t="e">
        <f t="shared" ca="1" si="15"/>
        <v>#N/A</v>
      </c>
    </row>
    <row r="38" spans="1:31" s="62" customFormat="1" x14ac:dyDescent="0.25">
      <c r="A38" s="92" t="str">
        <f ca="1"/>
        <v/>
      </c>
      <c r="B38" s="62">
        <f t="shared" ca="1" si="16"/>
        <v>0</v>
      </c>
      <c r="C38" s="155"/>
      <c r="D38" s="90"/>
      <c r="F38" s="83" t="str">
        <f t="shared" ca="1" si="17"/>
        <v/>
      </c>
      <c r="G38" s="85" t="str">
        <f ca="1">IFERROR(VLOOKUP(F38,'Model Interface'!$P$6:$U$495,6,FALSE),"")</f>
        <v/>
      </c>
      <c r="H38" s="62" t="str">
        <f t="shared" ca="1" si="18"/>
        <v/>
      </c>
      <c r="I38" s="121"/>
      <c r="J38" s="121"/>
      <c r="K38" s="121"/>
      <c r="L38" s="121"/>
      <c r="M38" s="121"/>
      <c r="N38" s="121"/>
      <c r="O38" s="121"/>
      <c r="P38" s="121"/>
      <c r="R38" s="92" t="str">
        <f ca="1"/>
        <v/>
      </c>
      <c r="S38" s="62" t="str">
        <f t="shared" ca="1" si="9"/>
        <v/>
      </c>
      <c r="T38" s="62" t="e">
        <f t="shared" ca="1" si="0"/>
        <v>#N/A</v>
      </c>
      <c r="U38" s="62" t="e">
        <f t="shared" ca="1" si="1"/>
        <v>#N/A</v>
      </c>
      <c r="V38" s="62" t="e">
        <f t="shared" ca="1" si="2"/>
        <v>#N/A</v>
      </c>
      <c r="W38" s="60" t="e">
        <f t="shared" ca="1" si="3"/>
        <v>#N/A</v>
      </c>
      <c r="X38" s="60" t="e">
        <f t="shared" ca="1" si="10"/>
        <v>#N/A</v>
      </c>
      <c r="Y38" s="60" t="e">
        <f t="shared" ca="1" si="4"/>
        <v>#N/A</v>
      </c>
      <c r="Z38" s="60" t="e">
        <f t="shared" ca="1" si="5"/>
        <v>#N/A</v>
      </c>
      <c r="AA38" s="92" t="str">
        <f ca="1"/>
        <v/>
      </c>
      <c r="AB38" s="62" t="str">
        <f t="shared" ca="1" si="12"/>
        <v/>
      </c>
      <c r="AC38" s="62" t="e">
        <f t="shared" ca="1" si="13"/>
        <v>#N/A</v>
      </c>
      <c r="AD38" s="62" t="e">
        <f t="shared" ca="1" si="14"/>
        <v>#N/A</v>
      </c>
      <c r="AE38" s="62" t="e">
        <f t="shared" ca="1" si="15"/>
        <v>#N/A</v>
      </c>
    </row>
    <row r="39" spans="1:31" s="62" customFormat="1" x14ac:dyDescent="0.25">
      <c r="A39" s="92" t="str">
        <f ca="1"/>
        <v/>
      </c>
      <c r="B39" s="62">
        <f t="shared" ca="1" si="16"/>
        <v>0</v>
      </c>
      <c r="C39" s="87"/>
      <c r="D39" s="90"/>
      <c r="F39" s="83" t="str">
        <f t="shared" ca="1" si="17"/>
        <v/>
      </c>
      <c r="G39" s="85" t="str">
        <f ca="1">IFERROR(VLOOKUP(F39,'Model Interface'!$P$6:$U$495,6,FALSE),"")</f>
        <v/>
      </c>
      <c r="H39" s="62" t="str">
        <f t="shared" ca="1" si="18"/>
        <v/>
      </c>
      <c r="I39" s="121"/>
      <c r="J39" s="121"/>
      <c r="K39" s="121"/>
      <c r="L39" s="121"/>
      <c r="M39" s="121"/>
      <c r="N39" s="121"/>
      <c r="O39" s="121"/>
      <c r="P39" s="121"/>
      <c r="R39" s="92" t="str">
        <f ca="1"/>
        <v/>
      </c>
      <c r="S39" s="62" t="str">
        <f t="shared" ca="1" si="9"/>
        <v/>
      </c>
      <c r="T39" s="62" t="e">
        <f t="shared" ca="1" si="0"/>
        <v>#N/A</v>
      </c>
      <c r="U39" s="62" t="e">
        <f t="shared" ca="1" si="1"/>
        <v>#N/A</v>
      </c>
      <c r="V39" s="62" t="e">
        <f t="shared" ca="1" si="2"/>
        <v>#N/A</v>
      </c>
      <c r="W39" s="60" t="e">
        <f t="shared" ca="1" si="3"/>
        <v>#N/A</v>
      </c>
      <c r="X39" s="60" t="e">
        <f t="shared" ca="1" si="10"/>
        <v>#N/A</v>
      </c>
      <c r="Y39" s="60" t="e">
        <f t="shared" ca="1" si="4"/>
        <v>#N/A</v>
      </c>
      <c r="Z39" s="60" t="e">
        <f t="shared" ca="1" si="5"/>
        <v>#N/A</v>
      </c>
      <c r="AA39" s="92" t="str">
        <f ca="1"/>
        <v/>
      </c>
      <c r="AB39" s="62" t="str">
        <f t="shared" ca="1" si="12"/>
        <v/>
      </c>
      <c r="AC39" s="62" t="e">
        <f t="shared" ca="1" si="13"/>
        <v>#N/A</v>
      </c>
      <c r="AD39" s="62" t="e">
        <f t="shared" ca="1" si="14"/>
        <v>#N/A</v>
      </c>
      <c r="AE39" s="62" t="e">
        <f t="shared" ca="1" si="15"/>
        <v>#N/A</v>
      </c>
    </row>
    <row r="40" spans="1:31" s="62" customFormat="1" ht="6.75" customHeight="1" x14ac:dyDescent="0.25">
      <c r="A40" s="92" t="str">
        <f ca="1"/>
        <v/>
      </c>
      <c r="B40" s="62">
        <f t="shared" ca="1" si="16"/>
        <v>0</v>
      </c>
      <c r="C40" s="87"/>
      <c r="D40" s="90"/>
      <c r="F40" s="83" t="str">
        <f t="shared" ca="1" si="17"/>
        <v/>
      </c>
      <c r="G40" s="85" t="str">
        <f ca="1">IFERROR(VLOOKUP(F40,'Model Interface'!$P$6:$U$495,6,FALSE),"")</f>
        <v/>
      </c>
      <c r="H40" s="62" t="str">
        <f t="shared" ca="1" si="18"/>
        <v/>
      </c>
      <c r="I40" s="121"/>
      <c r="J40" s="121"/>
      <c r="K40" s="121"/>
      <c r="L40" s="121"/>
      <c r="M40" s="121"/>
      <c r="N40" s="121"/>
      <c r="O40" s="121"/>
      <c r="P40" s="121"/>
      <c r="R40" s="92" t="str">
        <f ca="1"/>
        <v/>
      </c>
      <c r="S40" s="62" t="str">
        <f t="shared" ca="1" si="9"/>
        <v/>
      </c>
      <c r="T40" s="62" t="e">
        <f t="shared" ca="1" si="0"/>
        <v>#N/A</v>
      </c>
      <c r="U40" s="62" t="e">
        <f t="shared" ca="1" si="1"/>
        <v>#N/A</v>
      </c>
      <c r="V40" s="62" t="e">
        <f t="shared" ca="1" si="2"/>
        <v>#N/A</v>
      </c>
      <c r="W40" s="60" t="e">
        <f t="shared" ca="1" si="3"/>
        <v>#N/A</v>
      </c>
      <c r="X40" s="60" t="e">
        <f t="shared" ca="1" si="10"/>
        <v>#N/A</v>
      </c>
      <c r="Y40" s="60" t="e">
        <f t="shared" ca="1" si="4"/>
        <v>#N/A</v>
      </c>
      <c r="Z40" s="60" t="e">
        <f t="shared" ca="1" si="5"/>
        <v>#N/A</v>
      </c>
      <c r="AA40" s="92" t="str">
        <f ca="1"/>
        <v/>
      </c>
      <c r="AB40" s="62" t="str">
        <f t="shared" ca="1" si="12"/>
        <v/>
      </c>
      <c r="AC40" s="62" t="e">
        <f t="shared" ca="1" si="13"/>
        <v>#N/A</v>
      </c>
      <c r="AD40" s="62" t="e">
        <f t="shared" ca="1" si="14"/>
        <v>#N/A</v>
      </c>
      <c r="AE40" s="62" t="e">
        <f t="shared" ca="1" si="15"/>
        <v>#N/A</v>
      </c>
    </row>
    <row r="41" spans="1:31" s="62" customFormat="1" x14ac:dyDescent="0.25">
      <c r="A41" s="92" t="str">
        <f ca="1"/>
        <v/>
      </c>
      <c r="B41" s="62">
        <f t="shared" ca="1" si="16"/>
        <v>0</v>
      </c>
      <c r="C41" s="87"/>
      <c r="D41" s="90"/>
      <c r="F41" s="83" t="str">
        <f t="shared" ca="1" si="17"/>
        <v/>
      </c>
      <c r="G41" s="85" t="str">
        <f ca="1">IFERROR(VLOOKUP(F41,'Model Interface'!$P$6:$U$495,6,FALSE),"")</f>
        <v/>
      </c>
      <c r="H41" s="62" t="str">
        <f t="shared" ca="1" si="18"/>
        <v/>
      </c>
      <c r="I41" s="121"/>
      <c r="J41" s="121"/>
      <c r="K41" s="121"/>
      <c r="L41" s="121"/>
      <c r="M41" s="121"/>
      <c r="N41" s="121"/>
      <c r="O41" s="121"/>
      <c r="P41" s="121"/>
      <c r="R41" s="92" t="str">
        <f ca="1"/>
        <v/>
      </c>
      <c r="S41" s="62" t="str">
        <f t="shared" ca="1" si="9"/>
        <v/>
      </c>
      <c r="T41" s="62" t="e">
        <f t="shared" ca="1" si="0"/>
        <v>#N/A</v>
      </c>
      <c r="U41" s="62" t="e">
        <f t="shared" ca="1" si="1"/>
        <v>#N/A</v>
      </c>
      <c r="V41" s="62" t="e">
        <f t="shared" ca="1" si="2"/>
        <v>#N/A</v>
      </c>
      <c r="W41" s="60" t="e">
        <f t="shared" ca="1" si="3"/>
        <v>#N/A</v>
      </c>
      <c r="X41" s="60" t="e">
        <f t="shared" ca="1" si="10"/>
        <v>#N/A</v>
      </c>
      <c r="Y41" s="60" t="e">
        <f t="shared" ca="1" si="4"/>
        <v>#N/A</v>
      </c>
      <c r="Z41" s="60" t="e">
        <f t="shared" ca="1" si="5"/>
        <v>#N/A</v>
      </c>
      <c r="AA41" s="92" t="str">
        <f ca="1"/>
        <v/>
      </c>
      <c r="AB41" s="62" t="str">
        <f t="shared" ca="1" si="12"/>
        <v/>
      </c>
      <c r="AC41" s="62" t="e">
        <f t="shared" ca="1" si="13"/>
        <v>#N/A</v>
      </c>
      <c r="AD41" s="62" t="e">
        <f t="shared" ca="1" si="14"/>
        <v>#N/A</v>
      </c>
      <c r="AE41" s="62" t="e">
        <f t="shared" ca="1" si="15"/>
        <v>#N/A</v>
      </c>
    </row>
    <row r="42" spans="1:31" s="62" customFormat="1" x14ac:dyDescent="0.25">
      <c r="A42" s="92" t="str">
        <f ca="1"/>
        <v/>
      </c>
      <c r="B42" s="62">
        <f t="shared" ca="1" si="16"/>
        <v>0</v>
      </c>
      <c r="C42" s="87"/>
      <c r="D42" s="90"/>
      <c r="F42" s="83" t="str">
        <f t="shared" ca="1" si="17"/>
        <v/>
      </c>
      <c r="G42" s="85" t="str">
        <f ca="1">IFERROR(VLOOKUP(F42,'Model Interface'!$P$6:$U$495,6,FALSE),"")</f>
        <v/>
      </c>
      <c r="H42" s="62" t="str">
        <f t="shared" ca="1" si="18"/>
        <v/>
      </c>
      <c r="I42" s="121"/>
      <c r="J42" s="121"/>
      <c r="K42" s="121"/>
      <c r="L42" s="121"/>
      <c r="M42" s="121"/>
      <c r="N42" s="121"/>
      <c r="O42" s="121"/>
      <c r="P42" s="121"/>
      <c r="R42" s="92" t="str">
        <f ca="1"/>
        <v/>
      </c>
      <c r="S42" s="62" t="str">
        <f t="shared" ca="1" si="9"/>
        <v/>
      </c>
      <c r="T42" s="62" t="e">
        <f t="shared" ca="1" si="0"/>
        <v>#N/A</v>
      </c>
      <c r="U42" s="62" t="e">
        <f t="shared" ca="1" si="1"/>
        <v>#N/A</v>
      </c>
      <c r="V42" s="62" t="e">
        <f t="shared" ca="1" si="2"/>
        <v>#N/A</v>
      </c>
      <c r="W42" s="60" t="e">
        <f t="shared" ca="1" si="3"/>
        <v>#N/A</v>
      </c>
      <c r="X42" s="60" t="e">
        <f t="shared" ca="1" si="10"/>
        <v>#N/A</v>
      </c>
      <c r="Y42" s="60" t="e">
        <f t="shared" ca="1" si="4"/>
        <v>#N/A</v>
      </c>
      <c r="Z42" s="60" t="e">
        <f t="shared" ca="1" si="5"/>
        <v>#N/A</v>
      </c>
      <c r="AA42" s="92" t="str">
        <f ca="1"/>
        <v/>
      </c>
      <c r="AB42" s="62" t="str">
        <f t="shared" ca="1" si="12"/>
        <v/>
      </c>
      <c r="AC42" s="62" t="e">
        <f t="shared" ca="1" si="13"/>
        <v>#N/A</v>
      </c>
      <c r="AD42" s="62" t="e">
        <f t="shared" ca="1" si="14"/>
        <v>#N/A</v>
      </c>
      <c r="AE42" s="62" t="e">
        <f t="shared" ca="1" si="15"/>
        <v>#N/A</v>
      </c>
    </row>
    <row r="43" spans="1:31" s="62" customFormat="1" ht="15.75" thickBot="1" x14ac:dyDescent="0.3">
      <c r="A43" s="92" t="str">
        <f ca="1"/>
        <v/>
      </c>
      <c r="B43" s="62">
        <f t="shared" ca="1" si="16"/>
        <v>0</v>
      </c>
      <c r="C43" s="88"/>
      <c r="D43" s="91"/>
      <c r="F43" s="84" t="str">
        <f t="shared" ca="1" si="17"/>
        <v/>
      </c>
      <c r="G43" s="86" t="str">
        <f ca="1">IFERROR(VLOOKUP(F43,'Model Interface'!$P$6:$U$495,6,FALSE),"")</f>
        <v/>
      </c>
      <c r="H43" s="62" t="str">
        <f t="shared" ca="1" si="18"/>
        <v/>
      </c>
      <c r="I43" s="121"/>
      <c r="J43" s="121"/>
      <c r="K43" s="121"/>
      <c r="L43" s="121"/>
      <c r="M43" s="121"/>
      <c r="N43" s="121"/>
      <c r="O43" s="121"/>
      <c r="P43" s="121"/>
      <c r="R43" s="92" t="str">
        <f ca="1"/>
        <v/>
      </c>
      <c r="S43" s="62" t="str">
        <f t="shared" ca="1" si="9"/>
        <v/>
      </c>
      <c r="T43" s="62" t="e">
        <f t="shared" ca="1" si="0"/>
        <v>#N/A</v>
      </c>
      <c r="U43" s="62" t="e">
        <f t="shared" ca="1" si="1"/>
        <v>#N/A</v>
      </c>
      <c r="V43" s="62" t="e">
        <f t="shared" ca="1" si="2"/>
        <v>#N/A</v>
      </c>
      <c r="W43" s="60" t="e">
        <f t="shared" ca="1" si="3"/>
        <v>#N/A</v>
      </c>
      <c r="X43" s="60" t="e">
        <f t="shared" ca="1" si="10"/>
        <v>#N/A</v>
      </c>
      <c r="Y43" s="60" t="e">
        <f t="shared" ca="1" si="4"/>
        <v>#N/A</v>
      </c>
      <c r="Z43" s="60" t="e">
        <f t="shared" ca="1" si="5"/>
        <v>#N/A</v>
      </c>
      <c r="AA43" s="92" t="str">
        <f ca="1"/>
        <v/>
      </c>
      <c r="AB43" s="62" t="str">
        <f t="shared" ca="1" si="12"/>
        <v/>
      </c>
      <c r="AC43" s="62" t="e">
        <f t="shared" ca="1" si="13"/>
        <v>#N/A</v>
      </c>
      <c r="AD43" s="62" t="e">
        <f t="shared" ca="1" si="14"/>
        <v>#N/A</v>
      </c>
      <c r="AE43" s="62" t="e">
        <f t="shared" ca="1" si="15"/>
        <v>#N/A</v>
      </c>
    </row>
    <row r="44" spans="1:31" s="61" customFormat="1" x14ac:dyDescent="0.25">
      <c r="A44" s="62"/>
      <c r="B44" s="62">
        <f ca="1">IF(C38="",CurrentEstablishDate,IF(AND(C38&gt;CurrentEstablishDate,(C38-CurrentEstablishDate)&lt;10),C38,CurrentEstablishDate))</f>
        <v>44992</v>
      </c>
      <c r="C44" s="109" t="s">
        <v>157</v>
      </c>
      <c r="D44" s="111">
        <f ca="1">MAX(CurrentEstablishDate,C38:C43,MAX(C29:C34)+1)</f>
        <v>44992</v>
      </c>
      <c r="E44" s="62"/>
      <c r="F44" s="62"/>
      <c r="G44" s="62"/>
      <c r="H44" s="62"/>
      <c r="I44" s="121"/>
      <c r="J44" s="121"/>
      <c r="K44" s="121"/>
      <c r="L44" s="121"/>
      <c r="M44" s="121"/>
      <c r="N44" s="121"/>
      <c r="O44" s="121"/>
      <c r="P44" s="121"/>
      <c r="Q44" s="62"/>
      <c r="R44" s="92" t="str">
        <f ca="1"/>
        <v/>
      </c>
      <c r="S44" s="62" t="str">
        <f t="shared" ca="1" si="9"/>
        <v/>
      </c>
      <c r="T44" s="62" t="e">
        <f t="shared" ca="1" si="0"/>
        <v>#N/A</v>
      </c>
      <c r="U44" s="62" t="e">
        <f t="shared" ca="1" si="1"/>
        <v>#N/A</v>
      </c>
      <c r="V44" s="62" t="e">
        <f t="shared" ca="1" si="2"/>
        <v>#N/A</v>
      </c>
      <c r="W44" s="60" t="e">
        <f t="shared" ca="1" si="3"/>
        <v>#N/A</v>
      </c>
      <c r="X44" s="60" t="e">
        <f t="shared" ca="1" si="10"/>
        <v>#N/A</v>
      </c>
      <c r="Y44" s="60" t="e">
        <f t="shared" ca="1" si="4"/>
        <v>#N/A</v>
      </c>
      <c r="Z44" s="60" t="e">
        <f t="shared" ca="1" si="5"/>
        <v>#N/A</v>
      </c>
      <c r="AA44" s="92" t="str">
        <f ca="1"/>
        <v/>
      </c>
      <c r="AB44" s="62" t="str">
        <f t="shared" ca="1" si="12"/>
        <v/>
      </c>
      <c r="AC44" s="62" t="e">
        <f t="shared" ca="1" si="13"/>
        <v>#N/A</v>
      </c>
      <c r="AD44" s="62" t="e">
        <f t="shared" ca="1" si="14"/>
        <v>#N/A</v>
      </c>
      <c r="AE44" s="62" t="e">
        <f t="shared" ca="1" si="15"/>
        <v>#N/A</v>
      </c>
    </row>
    <row r="45" spans="1:31" s="62" customFormat="1" x14ac:dyDescent="0.25">
      <c r="I45" s="121"/>
      <c r="J45" s="121"/>
      <c r="K45" s="121"/>
      <c r="L45" s="121"/>
      <c r="M45" s="121"/>
      <c r="N45" s="121"/>
      <c r="O45" s="121"/>
      <c r="P45" s="121"/>
      <c r="R45" s="92" t="str">
        <f ca="1"/>
        <v/>
      </c>
      <c r="S45" s="62" t="str">
        <f t="shared" ca="1" si="9"/>
        <v/>
      </c>
      <c r="T45" s="62" t="e">
        <f t="shared" ca="1" si="0"/>
        <v>#N/A</v>
      </c>
      <c r="U45" s="62" t="e">
        <f t="shared" ca="1" si="1"/>
        <v>#N/A</v>
      </c>
      <c r="V45" s="62" t="e">
        <f t="shared" ca="1" si="2"/>
        <v>#N/A</v>
      </c>
      <c r="W45" s="60" t="e">
        <f t="shared" ca="1" si="3"/>
        <v>#N/A</v>
      </c>
      <c r="X45" s="60" t="e">
        <f t="shared" ca="1" si="10"/>
        <v>#N/A</v>
      </c>
      <c r="Y45" s="60" t="e">
        <f t="shared" ca="1" si="4"/>
        <v>#N/A</v>
      </c>
      <c r="Z45" s="60" t="e">
        <f t="shared" ca="1" si="5"/>
        <v>#N/A</v>
      </c>
      <c r="AA45" s="92" t="str">
        <f ca="1"/>
        <v/>
      </c>
      <c r="AB45" s="62" t="str">
        <f t="shared" ca="1" si="12"/>
        <v/>
      </c>
      <c r="AC45" s="62" t="e">
        <f t="shared" ca="1" si="13"/>
        <v>#N/A</v>
      </c>
      <c r="AD45" s="62" t="e">
        <f t="shared" ca="1" si="14"/>
        <v>#N/A</v>
      </c>
      <c r="AE45" s="62" t="e">
        <f t="shared" ca="1" si="15"/>
        <v>#N/A</v>
      </c>
    </row>
    <row r="46" spans="1:31" s="62" customFormat="1" ht="15.75" thickBot="1" x14ac:dyDescent="0.3">
      <c r="C46" s="138" t="s">
        <v>164</v>
      </c>
      <c r="D46" s="138"/>
      <c r="E46" s="138"/>
      <c r="F46" s="138"/>
      <c r="G46" s="138"/>
      <c r="H46" s="138"/>
      <c r="I46" s="121"/>
      <c r="J46" s="121"/>
      <c r="K46" s="121"/>
      <c r="L46" s="121"/>
      <c r="M46" s="121"/>
      <c r="N46" s="121"/>
      <c r="O46" s="121"/>
      <c r="P46" s="121"/>
      <c r="R46" s="92" t="str">
        <f ca="1"/>
        <v/>
      </c>
      <c r="S46" s="62" t="str">
        <f t="shared" ca="1" si="9"/>
        <v/>
      </c>
      <c r="T46" s="62" t="e">
        <f t="shared" ca="1" si="0"/>
        <v>#N/A</v>
      </c>
      <c r="U46" s="62" t="e">
        <f t="shared" ca="1" si="1"/>
        <v>#N/A</v>
      </c>
      <c r="V46" s="62" t="e">
        <f t="shared" ca="1" si="2"/>
        <v>#N/A</v>
      </c>
      <c r="W46" s="60" t="e">
        <f t="shared" ca="1" si="3"/>
        <v>#N/A</v>
      </c>
      <c r="X46" s="60" t="e">
        <f t="shared" ca="1" si="10"/>
        <v>#N/A</v>
      </c>
      <c r="Y46" s="60" t="e">
        <f t="shared" ca="1" si="4"/>
        <v>#N/A</v>
      </c>
      <c r="Z46" s="60" t="e">
        <f t="shared" ca="1" si="5"/>
        <v>#N/A</v>
      </c>
      <c r="AA46" s="92" t="str">
        <f ca="1"/>
        <v/>
      </c>
      <c r="AB46" s="62" t="str">
        <f t="shared" ca="1" si="12"/>
        <v/>
      </c>
      <c r="AC46" s="62" t="e">
        <f t="shared" ca="1" si="13"/>
        <v>#N/A</v>
      </c>
      <c r="AD46" s="62" t="e">
        <f t="shared" ca="1" si="14"/>
        <v>#N/A</v>
      </c>
      <c r="AE46" s="62" t="e">
        <f t="shared" ca="1" si="15"/>
        <v>#N/A</v>
      </c>
    </row>
    <row r="47" spans="1:31" s="62" customFormat="1" x14ac:dyDescent="0.25">
      <c r="C47" s="69" t="s">
        <v>30</v>
      </c>
      <c r="D47" s="97" t="str">
        <f>IF(E47="","Fodder",E47)</f>
        <v>Fodder</v>
      </c>
      <c r="E47" s="96"/>
      <c r="F47" s="69" t="s">
        <v>141</v>
      </c>
      <c r="G47" s="97">
        <f>IF(H47="",VLOOKUP(PriorCropNameFull,CropCoefficients,23,FALSE),H47)</f>
        <v>0</v>
      </c>
      <c r="H47" s="98"/>
      <c r="I47" s="121"/>
      <c r="J47" s="121"/>
      <c r="K47" s="121"/>
      <c r="L47" s="121"/>
      <c r="M47" s="121"/>
      <c r="N47" s="121"/>
      <c r="O47" s="121"/>
      <c r="P47" s="121"/>
      <c r="R47" s="92" t="str">
        <f ca="1"/>
        <v/>
      </c>
      <c r="S47" s="62" t="str">
        <f t="shared" ca="1" si="9"/>
        <v/>
      </c>
      <c r="T47" s="62" t="e">
        <f t="shared" ca="1" si="0"/>
        <v>#N/A</v>
      </c>
      <c r="U47" s="62" t="e">
        <f t="shared" ca="1" si="1"/>
        <v>#N/A</v>
      </c>
      <c r="V47" s="62" t="e">
        <f t="shared" ca="1" si="2"/>
        <v>#N/A</v>
      </c>
      <c r="W47" s="60" t="e">
        <f t="shared" ca="1" si="3"/>
        <v>#N/A</v>
      </c>
      <c r="X47" s="60" t="e">
        <f t="shared" ca="1" si="10"/>
        <v>#N/A</v>
      </c>
      <c r="Y47" s="60" t="e">
        <f t="shared" ca="1" si="4"/>
        <v>#N/A</v>
      </c>
      <c r="Z47" s="60" t="e">
        <f t="shared" ca="1" si="5"/>
        <v>#N/A</v>
      </c>
      <c r="AA47" s="92" t="str">
        <f ca="1"/>
        <v/>
      </c>
      <c r="AB47" s="62" t="str">
        <f t="shared" ca="1" si="12"/>
        <v/>
      </c>
      <c r="AC47" s="62" t="e">
        <f t="shared" ca="1" si="13"/>
        <v>#N/A</v>
      </c>
      <c r="AD47" s="62" t="e">
        <f t="shared" ca="1" si="14"/>
        <v>#N/A</v>
      </c>
      <c r="AE47" s="62" t="e">
        <f t="shared" ca="1" si="15"/>
        <v>#N/A</v>
      </c>
    </row>
    <row r="48" spans="1:31" s="62" customFormat="1" x14ac:dyDescent="0.25">
      <c r="C48" s="69" t="s">
        <v>99</v>
      </c>
      <c r="D48" s="93" t="str">
        <f>IF(E48="","Barley",E48)</f>
        <v>Barley</v>
      </c>
      <c r="E48" s="75"/>
      <c r="F48" s="69" t="s">
        <v>143</v>
      </c>
      <c r="G48" s="93">
        <f>IF(H48="",VLOOKUP(PriorCropNameFull,CropCoefficients,22,FALSE),H48)</f>
        <v>0</v>
      </c>
      <c r="H48" s="81"/>
      <c r="I48" s="121"/>
      <c r="J48" s="121"/>
      <c r="K48" s="121"/>
      <c r="L48" s="121"/>
      <c r="M48" s="121"/>
      <c r="N48" s="121"/>
      <c r="O48" s="121"/>
      <c r="P48" s="121"/>
      <c r="R48" s="92" t="str">
        <f ca="1"/>
        <v/>
      </c>
      <c r="S48" s="62" t="str">
        <f t="shared" ca="1" si="9"/>
        <v/>
      </c>
      <c r="T48" s="62" t="e">
        <f t="shared" ca="1" si="0"/>
        <v>#N/A</v>
      </c>
      <c r="U48" s="62" t="e">
        <f t="shared" ca="1" si="1"/>
        <v>#N/A</v>
      </c>
      <c r="V48" s="62" t="e">
        <f t="shared" ca="1" si="2"/>
        <v>#N/A</v>
      </c>
      <c r="W48" s="60" t="e">
        <f t="shared" ca="1" si="3"/>
        <v>#N/A</v>
      </c>
      <c r="X48" s="60" t="e">
        <f t="shared" ca="1" si="10"/>
        <v>#N/A</v>
      </c>
      <c r="Y48" s="60" t="e">
        <f t="shared" ca="1" si="4"/>
        <v>#N/A</v>
      </c>
      <c r="Z48" s="60" t="e">
        <f t="shared" ca="1" si="5"/>
        <v>#N/A</v>
      </c>
      <c r="AA48" s="92" t="str">
        <f ca="1"/>
        <v/>
      </c>
      <c r="AB48" s="62" t="str">
        <f t="shared" ca="1" si="12"/>
        <v/>
      </c>
      <c r="AC48" s="62" t="e">
        <f t="shared" ca="1" si="13"/>
        <v>#N/A</v>
      </c>
      <c r="AD48" s="62" t="e">
        <f t="shared" ca="1" si="14"/>
        <v>#N/A</v>
      </c>
      <c r="AE48" s="62" t="e">
        <f t="shared" ca="1" si="15"/>
        <v>#N/A</v>
      </c>
    </row>
    <row r="49" spans="2:31" s="62" customFormat="1" x14ac:dyDescent="0.25">
      <c r="C49" s="69" t="s">
        <v>100</v>
      </c>
      <c r="D49" s="93" t="str">
        <f>IF(E49="","General",E49)</f>
        <v>General</v>
      </c>
      <c r="E49" s="75"/>
      <c r="F49" s="69" t="s">
        <v>142</v>
      </c>
      <c r="G49" s="93">
        <f>IF(H49="",VLOOKUP(PriorCropNameFull,CropCoefficients,26,FALSE),H49)</f>
        <v>0</v>
      </c>
      <c r="H49" s="81"/>
      <c r="I49" s="121"/>
      <c r="J49" s="121"/>
      <c r="K49" s="121"/>
      <c r="L49" s="121"/>
      <c r="M49" s="121"/>
      <c r="N49" s="121"/>
      <c r="O49" s="121"/>
      <c r="P49" s="121"/>
      <c r="R49" s="92" t="str">
        <f ca="1"/>
        <v/>
      </c>
      <c r="S49" s="62" t="str">
        <f t="shared" ca="1" si="9"/>
        <v/>
      </c>
      <c r="T49" s="62" t="e">
        <f t="shared" ca="1" si="0"/>
        <v>#N/A</v>
      </c>
      <c r="U49" s="62" t="e">
        <f t="shared" ca="1" si="1"/>
        <v>#N/A</v>
      </c>
      <c r="V49" s="62" t="e">
        <f t="shared" ca="1" si="2"/>
        <v>#N/A</v>
      </c>
      <c r="W49" s="60" t="e">
        <f t="shared" ca="1" si="3"/>
        <v>#N/A</v>
      </c>
      <c r="X49" s="60" t="e">
        <f t="shared" ca="1" si="10"/>
        <v>#N/A</v>
      </c>
      <c r="Y49" s="60" t="e">
        <f t="shared" ca="1" si="4"/>
        <v>#N/A</v>
      </c>
      <c r="Z49" s="60" t="e">
        <f t="shared" ca="1" si="5"/>
        <v>#N/A</v>
      </c>
      <c r="AA49" s="92" t="str">
        <f ca="1"/>
        <v/>
      </c>
      <c r="AB49" s="62" t="str">
        <f t="shared" ca="1" si="12"/>
        <v/>
      </c>
      <c r="AC49" s="62" t="e">
        <f t="shared" ca="1" si="13"/>
        <v>#N/A</v>
      </c>
      <c r="AD49" s="62" t="e">
        <f t="shared" ca="1" si="14"/>
        <v>#N/A</v>
      </c>
      <c r="AE49" s="62" t="e">
        <f t="shared" ca="1" si="15"/>
        <v>#N/A</v>
      </c>
    </row>
    <row r="50" spans="2:31" s="62" customFormat="1" x14ac:dyDescent="0.25">
      <c r="B50" s="99">
        <f>IF(PriorUnits="kg/head",PriorYield*PriorPopulation,IF(PriorUnits="kg/ha",PriorYield/1000,PriorYield))</f>
        <v>8</v>
      </c>
      <c r="C50" s="73" t="s">
        <v>158</v>
      </c>
      <c r="D50" s="74" t="str">
        <f>PriorCropName&amp;" "&amp;PriorCropType&amp;" "&amp;PriorCropVariety</f>
        <v>Barley Fodder General</v>
      </c>
      <c r="F50" s="63"/>
      <c r="I50" s="121"/>
      <c r="J50" s="121"/>
      <c r="K50" s="121"/>
      <c r="L50" s="121"/>
      <c r="M50" s="121"/>
      <c r="N50" s="121"/>
      <c r="O50" s="121"/>
      <c r="P50" s="121"/>
      <c r="R50" s="92" t="str">
        <f ca="1"/>
        <v/>
      </c>
      <c r="S50" s="62" t="str">
        <f t="shared" ca="1" si="9"/>
        <v/>
      </c>
      <c r="T50" s="62" t="e">
        <f t="shared" ca="1" si="0"/>
        <v>#N/A</v>
      </c>
      <c r="U50" s="62" t="e">
        <f t="shared" ca="1" si="1"/>
        <v>#N/A</v>
      </c>
      <c r="V50" s="62" t="e">
        <f t="shared" ca="1" si="2"/>
        <v>#N/A</v>
      </c>
      <c r="W50" s="60" t="e">
        <f t="shared" ca="1" si="3"/>
        <v>#N/A</v>
      </c>
      <c r="X50" s="60" t="e">
        <f t="shared" ca="1" si="10"/>
        <v>#N/A</v>
      </c>
      <c r="Y50" s="60" t="e">
        <f t="shared" ca="1" si="4"/>
        <v>#N/A</v>
      </c>
      <c r="Z50" s="60" t="e">
        <f t="shared" ca="1" si="5"/>
        <v>#N/A</v>
      </c>
      <c r="AA50" s="92" t="str">
        <f ca="1"/>
        <v/>
      </c>
      <c r="AB50" s="62" t="str">
        <f t="shared" ca="1" si="12"/>
        <v/>
      </c>
      <c r="AC50" s="62" t="e">
        <f t="shared" ca="1" si="13"/>
        <v>#N/A</v>
      </c>
      <c r="AD50" s="62" t="e">
        <f t="shared" ca="1" si="14"/>
        <v>#N/A</v>
      </c>
      <c r="AE50" s="62" t="e">
        <f t="shared" ca="1" si="15"/>
        <v>#N/A</v>
      </c>
    </row>
    <row r="51" spans="2:31" s="62" customFormat="1" x14ac:dyDescent="0.25">
      <c r="C51" s="69" t="s">
        <v>4</v>
      </c>
      <c r="D51" s="77">
        <f ca="1">IF(E51="",CurrentEstablishDate-60,E51)</f>
        <v>44932</v>
      </c>
      <c r="E51" s="76"/>
      <c r="F51" s="69" t="s">
        <v>153</v>
      </c>
      <c r="G51" s="93" t="str">
        <f>IF(H51="",VLOOKUP(PriorCropNameFull,CropCoefficients,13,FALSE),H51)</f>
        <v>Seed</v>
      </c>
      <c r="H51" s="81"/>
      <c r="I51" s="121"/>
      <c r="J51" s="121"/>
      <c r="K51" s="121"/>
      <c r="L51" s="121"/>
      <c r="M51" s="121"/>
      <c r="N51" s="121"/>
      <c r="O51" s="121"/>
      <c r="P51" s="121"/>
      <c r="R51" s="92" t="str">
        <f ca="1"/>
        <v/>
      </c>
      <c r="S51" s="62" t="str">
        <f t="shared" ca="1" si="9"/>
        <v/>
      </c>
      <c r="T51" s="62" t="e">
        <f t="shared" ca="1" si="0"/>
        <v>#N/A</v>
      </c>
      <c r="U51" s="62" t="e">
        <f t="shared" ca="1" si="1"/>
        <v>#N/A</v>
      </c>
      <c r="V51" s="62" t="e">
        <f t="shared" ca="1" si="2"/>
        <v>#N/A</v>
      </c>
      <c r="W51" s="60" t="e">
        <f t="shared" ca="1" si="3"/>
        <v>#N/A</v>
      </c>
      <c r="X51" s="60" t="e">
        <f t="shared" ca="1" si="10"/>
        <v>#N/A</v>
      </c>
      <c r="Y51" s="60" t="e">
        <f t="shared" ca="1" si="4"/>
        <v>#N/A</v>
      </c>
      <c r="Z51" s="60" t="e">
        <f t="shared" ca="1" si="5"/>
        <v>#N/A</v>
      </c>
      <c r="AA51" s="92" t="str">
        <f ca="1"/>
        <v/>
      </c>
      <c r="AB51" s="62" t="str">
        <f t="shared" ca="1" si="12"/>
        <v/>
      </c>
      <c r="AC51" s="62" t="e">
        <f t="shared" ca="1" si="13"/>
        <v>#N/A</v>
      </c>
      <c r="AD51" s="62" t="e">
        <f t="shared" ca="1" si="14"/>
        <v>#N/A</v>
      </c>
      <c r="AE51" s="62" t="e">
        <f t="shared" ca="1" si="15"/>
        <v>#N/A</v>
      </c>
    </row>
    <row r="52" spans="2:31" s="62" customFormat="1" x14ac:dyDescent="0.25">
      <c r="C52" s="69" t="s">
        <v>5</v>
      </c>
      <c r="D52" s="77">
        <f ca="1">IF(E52="",CurrentEstablishDate-15,E52)</f>
        <v>44977</v>
      </c>
      <c r="E52" s="76"/>
      <c r="F52" s="69" t="s">
        <v>154</v>
      </c>
      <c r="G52" s="93" t="str">
        <f>IF(H52="",VLOOKUP(PriorCropNameFull,CropCoefficients,15,FALSE),H52)</f>
        <v>EarlyReproductive</v>
      </c>
      <c r="H52" s="81"/>
      <c r="I52" s="121"/>
      <c r="J52" s="121"/>
      <c r="K52" s="121"/>
      <c r="L52" s="121"/>
      <c r="M52" s="121"/>
      <c r="N52" s="121"/>
      <c r="O52" s="121"/>
      <c r="P52" s="121"/>
      <c r="R52" s="92" t="str">
        <f ca="1"/>
        <v/>
      </c>
      <c r="S52" s="62" t="str">
        <f t="shared" ca="1" si="9"/>
        <v/>
      </c>
      <c r="T52" s="62" t="e">
        <f t="shared" ca="1" si="0"/>
        <v>#N/A</v>
      </c>
      <c r="U52" s="62" t="e">
        <f t="shared" ca="1" si="1"/>
        <v>#N/A</v>
      </c>
      <c r="V52" s="62" t="e">
        <f t="shared" ca="1" si="2"/>
        <v>#N/A</v>
      </c>
      <c r="W52" s="60" t="e">
        <f t="shared" ca="1" si="3"/>
        <v>#N/A</v>
      </c>
      <c r="X52" s="60" t="e">
        <f t="shared" ca="1" si="10"/>
        <v>#N/A</v>
      </c>
      <c r="Y52" s="60" t="e">
        <f t="shared" ca="1" si="4"/>
        <v>#N/A</v>
      </c>
      <c r="Z52" s="60" t="e">
        <f t="shared" ca="1" si="5"/>
        <v>#N/A</v>
      </c>
      <c r="AA52" s="92" t="str">
        <f ca="1"/>
        <v/>
      </c>
      <c r="AB52" s="62" t="str">
        <f t="shared" ca="1" si="12"/>
        <v/>
      </c>
      <c r="AC52" s="62" t="e">
        <f t="shared" ca="1" si="13"/>
        <v>#N/A</v>
      </c>
      <c r="AD52" s="62" t="e">
        <f t="shared" ca="1" si="14"/>
        <v>#N/A</v>
      </c>
      <c r="AE52" s="62" t="e">
        <f t="shared" ca="1" si="15"/>
        <v>#N/A</v>
      </c>
    </row>
    <row r="53" spans="2:31" s="62" customFormat="1" x14ac:dyDescent="0.25">
      <c r="C53" s="69" t="s">
        <v>144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1"/>
      <c r="J53" s="121"/>
      <c r="K53" s="121"/>
      <c r="L53" s="121"/>
      <c r="M53" s="121"/>
      <c r="N53" s="121"/>
      <c r="O53" s="121"/>
      <c r="P53" s="121"/>
      <c r="R53" s="92" t="str">
        <f ca="1"/>
        <v/>
      </c>
      <c r="S53" s="62" t="str">
        <f t="shared" ca="1" si="9"/>
        <v/>
      </c>
      <c r="T53" s="62" t="e">
        <f t="shared" ca="1" si="0"/>
        <v>#N/A</v>
      </c>
      <c r="U53" s="62" t="e">
        <f t="shared" ca="1" si="1"/>
        <v>#N/A</v>
      </c>
      <c r="V53" s="62" t="e">
        <f t="shared" ca="1" si="2"/>
        <v>#N/A</v>
      </c>
      <c r="W53" s="60" t="e">
        <f t="shared" ca="1" si="3"/>
        <v>#N/A</v>
      </c>
      <c r="X53" s="60" t="e">
        <f t="shared" ca="1" si="10"/>
        <v>#N/A</v>
      </c>
      <c r="Y53" s="60" t="e">
        <f t="shared" ca="1" si="4"/>
        <v>#N/A</v>
      </c>
      <c r="Z53" s="60" t="e">
        <f t="shared" ca="1" si="5"/>
        <v>#N/A</v>
      </c>
      <c r="AA53" s="92" t="str">
        <f ca="1"/>
        <v/>
      </c>
      <c r="AB53" s="62" t="str">
        <f t="shared" ca="1" si="12"/>
        <v/>
      </c>
      <c r="AC53" s="62" t="e">
        <f t="shared" ca="1" si="13"/>
        <v>#N/A</v>
      </c>
      <c r="AD53" s="62" t="e">
        <f t="shared" ca="1" si="14"/>
        <v>#N/A</v>
      </c>
      <c r="AE53" s="62" t="e">
        <f t="shared" ca="1" si="15"/>
        <v>#N/A</v>
      </c>
    </row>
    <row r="54" spans="2:31" s="61" customFormat="1" x14ac:dyDescent="0.25">
      <c r="B54" s="62"/>
      <c r="C54" s="69" t="s">
        <v>105</v>
      </c>
      <c r="D54" s="79">
        <f>IF(E54="",VLOOKUP(PriorCropNameFull,CropCoefficients,17,FALSE),E54)</f>
        <v>8</v>
      </c>
      <c r="E54" s="78"/>
      <c r="F54" s="69" t="s">
        <v>156</v>
      </c>
      <c r="G54" s="94" t="str">
        <f>IF(H54="","None removed",H54)</f>
        <v>None removed</v>
      </c>
      <c r="H54" s="81"/>
      <c r="I54" s="121"/>
      <c r="J54" s="121"/>
      <c r="K54" s="121"/>
      <c r="L54" s="121"/>
      <c r="M54" s="121"/>
      <c r="N54" s="121"/>
      <c r="O54" s="121"/>
      <c r="P54" s="121"/>
      <c r="Q54" s="62"/>
      <c r="R54" s="92" t="str">
        <f ca="1"/>
        <v/>
      </c>
      <c r="S54" s="62" t="str">
        <f t="shared" ca="1" si="9"/>
        <v/>
      </c>
      <c r="T54" s="62" t="e">
        <f t="shared" ca="1" si="0"/>
        <v>#N/A</v>
      </c>
      <c r="U54" s="62" t="e">
        <f t="shared" ca="1" si="1"/>
        <v>#N/A</v>
      </c>
      <c r="V54" s="62" t="e">
        <f t="shared" ca="1" si="2"/>
        <v>#N/A</v>
      </c>
      <c r="W54" s="60" t="e">
        <f t="shared" ca="1" si="3"/>
        <v>#N/A</v>
      </c>
      <c r="X54" s="60" t="e">
        <f t="shared" ca="1" si="10"/>
        <v>#N/A</v>
      </c>
      <c r="Y54" s="60" t="e">
        <f t="shared" ca="1" si="4"/>
        <v>#N/A</v>
      </c>
      <c r="Z54" s="60" t="e">
        <f t="shared" ca="1" si="5"/>
        <v>#N/A</v>
      </c>
      <c r="AA54" s="92" t="str">
        <f ca="1"/>
        <v/>
      </c>
      <c r="AB54" s="62" t="str">
        <f t="shared" ca="1" si="12"/>
        <v/>
      </c>
      <c r="AC54" s="62" t="e">
        <f t="shared" ca="1" si="13"/>
        <v>#N/A</v>
      </c>
      <c r="AD54" s="62" t="e">
        <f t="shared" ca="1" si="14"/>
        <v>#N/A</v>
      </c>
      <c r="AE54" s="62" t="e">
        <f t="shared" ca="1" si="15"/>
        <v>#N/A</v>
      </c>
    </row>
    <row r="55" spans="2:31" s="62" customFormat="1" x14ac:dyDescent="0.25">
      <c r="C55" s="69" t="s">
        <v>15</v>
      </c>
      <c r="D55" s="93" t="str">
        <f>IF(E55="",VLOOKUP(PriorCropNameFull,CropCoefficients,18,FALSE),E55)</f>
        <v>t/ha</v>
      </c>
      <c r="E55" s="80"/>
      <c r="F55" s="65" t="s">
        <v>169</v>
      </c>
      <c r="G55" s="94" t="str">
        <f>IF(H55="","Full (Plough)",H55)</f>
        <v>Full (Plough)</v>
      </c>
      <c r="H55" s="81"/>
      <c r="I55" s="121"/>
      <c r="J55" s="121"/>
      <c r="K55" s="121"/>
      <c r="L55" s="121"/>
      <c r="M55" s="121"/>
      <c r="N55" s="121"/>
      <c r="O55" s="121"/>
      <c r="P55" s="121"/>
      <c r="R55" s="92" t="str">
        <f ca="1"/>
        <v/>
      </c>
      <c r="S55" s="62" t="str">
        <f t="shared" ca="1" si="9"/>
        <v/>
      </c>
      <c r="T55" s="62" t="e">
        <f t="shared" ca="1" si="0"/>
        <v>#N/A</v>
      </c>
      <c r="U55" s="62" t="e">
        <f t="shared" ca="1" si="1"/>
        <v>#N/A</v>
      </c>
      <c r="V55" s="62" t="e">
        <f t="shared" ca="1" si="2"/>
        <v>#N/A</v>
      </c>
      <c r="W55" s="60" t="e">
        <f t="shared" ca="1" si="3"/>
        <v>#N/A</v>
      </c>
      <c r="X55" s="60" t="e">
        <f t="shared" ca="1" si="10"/>
        <v>#N/A</v>
      </c>
      <c r="Y55" s="60" t="e">
        <f t="shared" ca="1" si="4"/>
        <v>#N/A</v>
      </c>
      <c r="Z55" s="60" t="e">
        <f t="shared" ca="1" si="5"/>
        <v>#N/A</v>
      </c>
      <c r="AA55" s="92" t="str">
        <f ca="1"/>
        <v/>
      </c>
      <c r="AB55" s="62" t="str">
        <f t="shared" ca="1" si="12"/>
        <v/>
      </c>
      <c r="AC55" s="62" t="e">
        <f t="shared" ca="1" si="13"/>
        <v>#N/A</v>
      </c>
      <c r="AD55" s="62" t="e">
        <f t="shared" ca="1" si="14"/>
        <v>#N/A</v>
      </c>
      <c r="AE55" s="62" t="e">
        <f t="shared" ca="1" si="15"/>
        <v>#N/A</v>
      </c>
    </row>
    <row r="56" spans="2:31" s="62" customFormat="1" x14ac:dyDescent="0.25">
      <c r="C56" s="73" t="str">
        <f>"Yield "&amp;ROUND(PriorYield_tperHa,0)&amp;" (t/ha)"</f>
        <v>Yield 8 (t/ha)</v>
      </c>
      <c r="D56" s="99" t="e">
        <f ca="1">"Previous crop residues are providing "&amp;ROUND('Model Interface'!S4,0)&amp;" kg N/ha to the current crop"</f>
        <v>#N/A</v>
      </c>
      <c r="I56" s="121"/>
      <c r="J56" s="121"/>
      <c r="K56" s="121"/>
      <c r="L56" s="121"/>
      <c r="M56" s="121"/>
      <c r="N56" s="121"/>
      <c r="O56" s="121"/>
      <c r="P56" s="121"/>
      <c r="R56" s="92" t="str">
        <f ca="1"/>
        <v/>
      </c>
      <c r="S56" s="62" t="str">
        <f t="shared" ca="1" si="9"/>
        <v/>
      </c>
      <c r="T56" s="62" t="e">
        <f t="shared" ca="1" si="0"/>
        <v>#N/A</v>
      </c>
      <c r="U56" s="62" t="e">
        <f t="shared" ca="1" si="1"/>
        <v>#N/A</v>
      </c>
      <c r="V56" s="62" t="e">
        <f t="shared" ca="1" si="2"/>
        <v>#N/A</v>
      </c>
      <c r="W56" s="60" t="e">
        <f t="shared" ca="1" si="3"/>
        <v>#N/A</v>
      </c>
      <c r="X56" s="60" t="e">
        <f t="shared" ca="1" si="10"/>
        <v>#N/A</v>
      </c>
      <c r="Y56" s="60" t="e">
        <f t="shared" ca="1" si="4"/>
        <v>#N/A</v>
      </c>
      <c r="Z56" s="60" t="e">
        <f t="shared" ca="1" si="5"/>
        <v>#N/A</v>
      </c>
      <c r="AA56" s="92" t="str">
        <f ca="1"/>
        <v/>
      </c>
      <c r="AB56" s="62" t="str">
        <f t="shared" ca="1" si="12"/>
        <v/>
      </c>
      <c r="AC56" s="62" t="e">
        <f t="shared" ca="1" si="13"/>
        <v>#N/A</v>
      </c>
      <c r="AD56" s="62" t="e">
        <f t="shared" ca="1" si="14"/>
        <v>#N/A</v>
      </c>
      <c r="AE56" s="62" t="e">
        <f t="shared" ca="1" si="15"/>
        <v>#N/A</v>
      </c>
    </row>
    <row r="57" spans="2:31" s="62" customFormat="1" ht="15.75" thickBot="1" x14ac:dyDescent="0.3">
      <c r="C57" s="138" t="s">
        <v>165</v>
      </c>
      <c r="D57" s="138"/>
      <c r="E57" s="138"/>
      <c r="F57" s="138"/>
      <c r="G57" s="138"/>
      <c r="H57" s="138"/>
      <c r="I57" s="121"/>
      <c r="J57" s="121"/>
      <c r="K57" s="121"/>
      <c r="L57" s="121"/>
      <c r="M57" s="121"/>
      <c r="N57" s="121"/>
      <c r="O57" s="121"/>
      <c r="P57" s="121"/>
      <c r="R57" s="92" t="str">
        <f ca="1"/>
        <v/>
      </c>
      <c r="S57" s="62" t="str">
        <f t="shared" ca="1" si="9"/>
        <v/>
      </c>
      <c r="T57" s="62" t="e">
        <f t="shared" ca="1" si="0"/>
        <v>#N/A</v>
      </c>
      <c r="U57" s="62" t="e">
        <f t="shared" ca="1" si="1"/>
        <v>#N/A</v>
      </c>
      <c r="V57" s="62" t="e">
        <f t="shared" ca="1" si="2"/>
        <v>#N/A</v>
      </c>
      <c r="W57" s="60" t="e">
        <f t="shared" ca="1" si="3"/>
        <v>#N/A</v>
      </c>
      <c r="X57" s="60" t="e">
        <f t="shared" ca="1" si="10"/>
        <v>#N/A</v>
      </c>
      <c r="Y57" s="60" t="e">
        <f t="shared" ca="1" si="4"/>
        <v>#N/A</v>
      </c>
      <c r="Z57" s="60" t="e">
        <f t="shared" ca="1" si="5"/>
        <v>#N/A</v>
      </c>
      <c r="AA57" s="92" t="str">
        <f ca="1"/>
        <v/>
      </c>
      <c r="AB57" s="62" t="str">
        <f t="shared" ca="1" si="12"/>
        <v/>
      </c>
      <c r="AC57" s="62" t="e">
        <f t="shared" ca="1" si="13"/>
        <v>#N/A</v>
      </c>
      <c r="AD57" s="62" t="e">
        <f t="shared" ca="1" si="14"/>
        <v>#N/A</v>
      </c>
      <c r="AE57" s="62" t="e">
        <f t="shared" ca="1" si="15"/>
        <v>#N/A</v>
      </c>
    </row>
    <row r="58" spans="2:31" s="62" customFormat="1" x14ac:dyDescent="0.25">
      <c r="C58" s="69" t="s">
        <v>30</v>
      </c>
      <c r="D58" s="97" t="str">
        <f>IF(E58="","Fodder",E58)</f>
        <v>Fodder</v>
      </c>
      <c r="E58" s="96"/>
      <c r="F58" s="69" t="s">
        <v>141</v>
      </c>
      <c r="G58" s="97">
        <f>IF(H58="",VLOOKUP(FollowingCropFullName,CropCoefficients,23,FALSE),H58)</f>
        <v>0</v>
      </c>
      <c r="H58" s="98"/>
      <c r="I58" s="121"/>
      <c r="J58" s="121"/>
      <c r="K58" s="121"/>
      <c r="L58" s="121"/>
      <c r="M58" s="121"/>
      <c r="N58" s="121"/>
      <c r="O58" s="121"/>
      <c r="P58" s="121"/>
      <c r="R58" s="92" t="str">
        <f ca="1"/>
        <v/>
      </c>
      <c r="S58" s="62" t="str">
        <f t="shared" ca="1" si="9"/>
        <v/>
      </c>
      <c r="T58" s="62" t="e">
        <f t="shared" ca="1" si="0"/>
        <v>#N/A</v>
      </c>
      <c r="U58" s="62" t="e">
        <f t="shared" ca="1" si="1"/>
        <v>#N/A</v>
      </c>
      <c r="V58" s="62" t="e">
        <f t="shared" ca="1" si="2"/>
        <v>#N/A</v>
      </c>
      <c r="W58" s="60" t="e">
        <f t="shared" ca="1" si="3"/>
        <v>#N/A</v>
      </c>
      <c r="X58" s="60" t="e">
        <f t="shared" ca="1" si="10"/>
        <v>#N/A</v>
      </c>
      <c r="Y58" s="60" t="e">
        <f t="shared" ca="1" si="4"/>
        <v>#N/A</v>
      </c>
      <c r="Z58" s="60" t="e">
        <f t="shared" ca="1" si="5"/>
        <v>#N/A</v>
      </c>
      <c r="AA58" s="92" t="str">
        <f ca="1"/>
        <v/>
      </c>
      <c r="AB58" s="62" t="str">
        <f t="shared" ca="1" si="12"/>
        <v/>
      </c>
      <c r="AC58" s="62" t="e">
        <f t="shared" ca="1" si="13"/>
        <v>#N/A</v>
      </c>
      <c r="AD58" s="62" t="e">
        <f t="shared" ca="1" si="14"/>
        <v>#N/A</v>
      </c>
      <c r="AE58" s="62" t="e">
        <f t="shared" ca="1" si="15"/>
        <v>#N/A</v>
      </c>
    </row>
    <row r="59" spans="2:31" s="62" customFormat="1" x14ac:dyDescent="0.25">
      <c r="C59" s="69" t="s">
        <v>99</v>
      </c>
      <c r="D59" s="93" t="str">
        <f>IF(E59="","Oat",E59)</f>
        <v>Oat</v>
      </c>
      <c r="E59" s="75"/>
      <c r="F59" s="69" t="s">
        <v>143</v>
      </c>
      <c r="G59" s="93">
        <f>IF(H59="",VLOOKUP(FollowingCropFullName,CropCoefficients,22,FALSE),H59)</f>
        <v>0</v>
      </c>
      <c r="H59" s="81"/>
      <c r="I59" s="121"/>
      <c r="J59" s="121"/>
      <c r="K59" s="121"/>
      <c r="L59" s="121"/>
      <c r="M59" s="121"/>
      <c r="N59" s="121"/>
      <c r="O59" s="121"/>
      <c r="P59" s="121"/>
      <c r="R59" s="92" t="str">
        <f ca="1"/>
        <v/>
      </c>
      <c r="S59" s="62" t="str">
        <f t="shared" ca="1" si="9"/>
        <v/>
      </c>
      <c r="T59" s="62" t="e">
        <f t="shared" ca="1" si="0"/>
        <v>#N/A</v>
      </c>
      <c r="U59" s="62" t="e">
        <f t="shared" ca="1" si="1"/>
        <v>#N/A</v>
      </c>
      <c r="V59" s="62" t="e">
        <f t="shared" ca="1" si="2"/>
        <v>#N/A</v>
      </c>
      <c r="W59" s="60" t="e">
        <f t="shared" ca="1" si="3"/>
        <v>#N/A</v>
      </c>
      <c r="X59" s="60" t="e">
        <f t="shared" ca="1" si="10"/>
        <v>#N/A</v>
      </c>
      <c r="Y59" s="60" t="e">
        <f t="shared" ca="1" si="4"/>
        <v>#N/A</v>
      </c>
      <c r="Z59" s="60" t="e">
        <f t="shared" ca="1" si="5"/>
        <v>#N/A</v>
      </c>
      <c r="AA59" s="92" t="str">
        <f ca="1"/>
        <v/>
      </c>
      <c r="AB59" s="62" t="str">
        <f t="shared" ca="1" si="12"/>
        <v/>
      </c>
      <c r="AC59" s="62" t="e">
        <f t="shared" ca="1" si="13"/>
        <v>#N/A</v>
      </c>
      <c r="AD59" s="62" t="e">
        <f t="shared" ca="1" si="14"/>
        <v>#N/A</v>
      </c>
      <c r="AE59" s="62" t="e">
        <f t="shared" ca="1" si="15"/>
        <v>#N/A</v>
      </c>
    </row>
    <row r="60" spans="2:31" s="62" customFormat="1" x14ac:dyDescent="0.25">
      <c r="C60" s="69" t="s">
        <v>100</v>
      </c>
      <c r="D60" s="93" t="str">
        <f>IF(E60="","General",E60)</f>
        <v>General</v>
      </c>
      <c r="E60" s="75"/>
      <c r="F60" s="69" t="s">
        <v>142</v>
      </c>
      <c r="G60" s="93">
        <f>IF(H60="",VLOOKUP(FollowingCropFullName,CropCoefficients,26,FALSE),H60)</f>
        <v>0</v>
      </c>
      <c r="H60" s="81"/>
      <c r="I60" s="121"/>
      <c r="J60" s="121"/>
      <c r="K60" s="121"/>
      <c r="L60" s="121"/>
      <c r="M60" s="121"/>
      <c r="N60" s="121"/>
      <c r="O60" s="121"/>
      <c r="P60" s="121"/>
      <c r="R60" s="92" t="str">
        <f ca="1"/>
        <v/>
      </c>
      <c r="S60" s="62" t="str">
        <f t="shared" ca="1" si="9"/>
        <v/>
      </c>
      <c r="T60" s="62" t="e">
        <f t="shared" ca="1" si="0"/>
        <v>#N/A</v>
      </c>
      <c r="U60" s="62" t="e">
        <f t="shared" ca="1" si="1"/>
        <v>#N/A</v>
      </c>
      <c r="V60" s="62" t="e">
        <f t="shared" ca="1" si="2"/>
        <v>#N/A</v>
      </c>
      <c r="W60" s="60" t="e">
        <f t="shared" ca="1" si="3"/>
        <v>#N/A</v>
      </c>
      <c r="X60" s="60" t="e">
        <f t="shared" ca="1" si="10"/>
        <v>#N/A</v>
      </c>
      <c r="Y60" s="60" t="e">
        <f t="shared" ca="1" si="4"/>
        <v>#N/A</v>
      </c>
      <c r="Z60" s="60" t="e">
        <f t="shared" ca="1" si="5"/>
        <v>#N/A</v>
      </c>
      <c r="AA60" s="92" t="str">
        <f ca="1"/>
        <v/>
      </c>
      <c r="AB60" s="62" t="str">
        <f t="shared" ca="1" si="12"/>
        <v/>
      </c>
      <c r="AC60" s="62" t="e">
        <f t="shared" ca="1" si="13"/>
        <v>#N/A</v>
      </c>
      <c r="AD60" s="62" t="e">
        <f t="shared" ca="1" si="14"/>
        <v>#N/A</v>
      </c>
      <c r="AE60" s="62" t="e">
        <f t="shared" ca="1" si="15"/>
        <v>#N/A</v>
      </c>
    </row>
    <row r="61" spans="2:31" s="62" customFormat="1" x14ac:dyDescent="0.25">
      <c r="B61" s="99">
        <f>IF(FollowingUnits="kg/head",FollowingYIeld*FollowingPopulation,IF(FollowingUnits="kg/ha",FollowingYIeld/1000,FollowingYIeld))</f>
        <v>10</v>
      </c>
      <c r="C61" s="73" t="s">
        <v>158</v>
      </c>
      <c r="D61" s="74" t="str">
        <f>FollowingCropName&amp;" "&amp;FollowingCropType&amp;" "&amp;FollowingCropVariety</f>
        <v>Oat Fodder General</v>
      </c>
      <c r="F61" s="63"/>
      <c r="I61" s="121"/>
      <c r="J61" s="121"/>
      <c r="K61" s="121"/>
      <c r="L61" s="121"/>
      <c r="M61" s="121"/>
      <c r="N61" s="121"/>
      <c r="O61" s="121"/>
      <c r="P61" s="121"/>
      <c r="R61" s="92" t="str">
        <f ca="1"/>
        <v/>
      </c>
      <c r="S61" s="62" t="str">
        <f t="shared" ca="1" si="9"/>
        <v/>
      </c>
      <c r="T61" s="62" t="e">
        <f t="shared" ca="1" si="0"/>
        <v>#N/A</v>
      </c>
      <c r="U61" s="62" t="e">
        <f t="shared" ca="1" si="1"/>
        <v>#N/A</v>
      </c>
      <c r="V61" s="62" t="e">
        <f t="shared" ca="1" si="2"/>
        <v>#N/A</v>
      </c>
      <c r="W61" s="60" t="e">
        <f t="shared" ca="1" si="3"/>
        <v>#N/A</v>
      </c>
      <c r="X61" s="60" t="e">
        <f t="shared" ca="1" si="10"/>
        <v>#N/A</v>
      </c>
      <c r="Y61" s="60" t="e">
        <f t="shared" ca="1" si="4"/>
        <v>#N/A</v>
      </c>
      <c r="Z61" s="60" t="e">
        <f t="shared" ca="1" si="5"/>
        <v>#N/A</v>
      </c>
      <c r="AA61" s="92" t="str">
        <f ca="1"/>
        <v/>
      </c>
      <c r="AB61" s="62" t="str">
        <f t="shared" ca="1" si="12"/>
        <v/>
      </c>
      <c r="AC61" s="62" t="e">
        <f t="shared" ca="1" si="13"/>
        <v>#N/A</v>
      </c>
      <c r="AD61" s="62" t="e">
        <f t="shared" ca="1" si="14"/>
        <v>#N/A</v>
      </c>
      <c r="AE61" s="62" t="e">
        <f t="shared" ca="1" si="15"/>
        <v>#N/A</v>
      </c>
    </row>
    <row r="62" spans="2:31" s="62" customFormat="1" x14ac:dyDescent="0.25">
      <c r="C62" s="69" t="s">
        <v>4</v>
      </c>
      <c r="D62" s="77">
        <f ca="1">IF(E62="",CurrentHarvestDate+15,E62)</f>
        <v>45132</v>
      </c>
      <c r="E62" s="76"/>
      <c r="F62" s="69" t="s">
        <v>153</v>
      </c>
      <c r="G62" s="93" t="str">
        <f>IF(H62="",VLOOKUP(FollowingCropFullName,CropCoefficients,13,FALSE),H62)</f>
        <v>Seed</v>
      </c>
      <c r="H62" s="81"/>
      <c r="I62" s="121"/>
      <c r="J62" s="121"/>
      <c r="K62" s="121"/>
      <c r="L62" s="121"/>
      <c r="M62" s="121"/>
      <c r="N62" s="121"/>
      <c r="O62" s="121"/>
      <c r="P62" s="121"/>
      <c r="R62" s="92" t="str">
        <f ca="1"/>
        <v/>
      </c>
      <c r="S62" s="62" t="str">
        <f t="shared" ca="1" si="9"/>
        <v/>
      </c>
      <c r="T62" s="62" t="e">
        <f t="shared" ca="1" si="0"/>
        <v>#N/A</v>
      </c>
      <c r="U62" s="62" t="e">
        <f t="shared" ca="1" si="1"/>
        <v>#N/A</v>
      </c>
      <c r="V62" s="62" t="e">
        <f t="shared" ca="1" si="2"/>
        <v>#N/A</v>
      </c>
      <c r="W62" s="60" t="e">
        <f t="shared" ca="1" si="3"/>
        <v>#N/A</v>
      </c>
      <c r="X62" s="60" t="e">
        <f t="shared" ca="1" si="10"/>
        <v>#N/A</v>
      </c>
      <c r="Y62" s="60" t="e">
        <f t="shared" ca="1" si="4"/>
        <v>#N/A</v>
      </c>
      <c r="Z62" s="60" t="e">
        <f t="shared" ca="1" si="5"/>
        <v>#N/A</v>
      </c>
      <c r="AA62" s="92" t="str">
        <f ca="1"/>
        <v/>
      </c>
      <c r="AB62" s="62" t="str">
        <f t="shared" ca="1" si="12"/>
        <v/>
      </c>
      <c r="AC62" s="62" t="e">
        <f t="shared" ca="1" si="13"/>
        <v>#N/A</v>
      </c>
      <c r="AD62" s="62" t="e">
        <f t="shared" ca="1" si="14"/>
        <v>#N/A</v>
      </c>
      <c r="AE62" s="62" t="e">
        <f t="shared" ca="1" si="15"/>
        <v>#N/A</v>
      </c>
    </row>
    <row r="63" spans="2:31" s="62" customFormat="1" x14ac:dyDescent="0.25">
      <c r="C63" s="69" t="s">
        <v>5</v>
      </c>
      <c r="D63" s="77">
        <f ca="1">IF(E63="",FollowingEstablishDate+120,E63)</f>
        <v>45252</v>
      </c>
      <c r="E63" s="76"/>
      <c r="F63" s="69" t="s">
        <v>154</v>
      </c>
      <c r="G63" s="93" t="str">
        <f>IF(H63="",VLOOKUP(FollowingCropFullName,CropCoefficients,15,FALSE),H63)</f>
        <v>EarlyReproductive</v>
      </c>
      <c r="H63" s="81"/>
      <c r="I63" s="121"/>
      <c r="J63" s="121"/>
      <c r="K63" s="121"/>
      <c r="L63" s="121"/>
      <c r="M63" s="121"/>
      <c r="N63" s="121"/>
      <c r="O63" s="121"/>
      <c r="P63" s="121"/>
      <c r="R63" s="92" t="str">
        <f ca="1"/>
        <v/>
      </c>
      <c r="S63" s="62" t="str">
        <f t="shared" ca="1" si="9"/>
        <v/>
      </c>
      <c r="T63" s="62" t="e">
        <f t="shared" ca="1" si="0"/>
        <v>#N/A</v>
      </c>
      <c r="U63" s="62" t="e">
        <f t="shared" ca="1" si="1"/>
        <v>#N/A</v>
      </c>
      <c r="V63" s="62" t="e">
        <f t="shared" ca="1" si="2"/>
        <v>#N/A</v>
      </c>
      <c r="W63" s="60" t="e">
        <f t="shared" ca="1" si="3"/>
        <v>#N/A</v>
      </c>
      <c r="X63" s="60" t="e">
        <f t="shared" ca="1" si="10"/>
        <v>#N/A</v>
      </c>
      <c r="Y63" s="60" t="e">
        <f t="shared" ca="1" si="4"/>
        <v>#N/A</v>
      </c>
      <c r="Z63" s="60" t="e">
        <f t="shared" ca="1" si="5"/>
        <v>#N/A</v>
      </c>
      <c r="AA63" s="92" t="str">
        <f ca="1"/>
        <v/>
      </c>
      <c r="AB63" s="62" t="str">
        <f t="shared" ca="1" si="12"/>
        <v/>
      </c>
      <c r="AC63" s="62" t="e">
        <f t="shared" ca="1" si="13"/>
        <v>#N/A</v>
      </c>
      <c r="AD63" s="62" t="e">
        <f t="shared" ca="1" si="14"/>
        <v>#N/A</v>
      </c>
      <c r="AE63" s="62" t="e">
        <f t="shared" ca="1" si="15"/>
        <v>#N/A</v>
      </c>
    </row>
    <row r="64" spans="2:31" s="61" customFormat="1" x14ac:dyDescent="0.25">
      <c r="B64" s="62"/>
      <c r="C64" s="69" t="s">
        <v>144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1"/>
      <c r="J64" s="121"/>
      <c r="K64" s="121"/>
      <c r="L64" s="121"/>
      <c r="M64" s="121"/>
      <c r="N64" s="121"/>
      <c r="O64" s="121"/>
      <c r="P64" s="121"/>
      <c r="Q64" s="62"/>
      <c r="R64" s="92" t="str">
        <f ca="1"/>
        <v/>
      </c>
      <c r="S64" s="62" t="str">
        <f t="shared" ca="1" si="9"/>
        <v/>
      </c>
      <c r="T64" s="62" t="e">
        <f t="shared" ca="1" si="0"/>
        <v>#N/A</v>
      </c>
      <c r="U64" s="62" t="e">
        <f t="shared" ca="1" si="1"/>
        <v>#N/A</v>
      </c>
      <c r="V64" s="62" t="e">
        <f t="shared" ca="1" si="2"/>
        <v>#N/A</v>
      </c>
      <c r="W64" s="60" t="e">
        <f t="shared" ca="1" si="3"/>
        <v>#N/A</v>
      </c>
      <c r="X64" s="60" t="e">
        <f t="shared" ca="1" si="10"/>
        <v>#N/A</v>
      </c>
      <c r="Y64" s="60" t="e">
        <f t="shared" ca="1" si="4"/>
        <v>#N/A</v>
      </c>
      <c r="Z64" s="60" t="e">
        <f t="shared" ca="1" si="5"/>
        <v>#N/A</v>
      </c>
      <c r="AA64" s="92" t="str">
        <f ca="1"/>
        <v/>
      </c>
      <c r="AB64" s="62" t="str">
        <f t="shared" ca="1" si="12"/>
        <v/>
      </c>
      <c r="AC64" s="62" t="e">
        <f t="shared" ca="1" si="13"/>
        <v>#N/A</v>
      </c>
      <c r="AD64" s="62" t="e">
        <f t="shared" ca="1" si="14"/>
        <v>#N/A</v>
      </c>
      <c r="AE64" s="62" t="e">
        <f t="shared" ca="1" si="15"/>
        <v>#N/A</v>
      </c>
    </row>
    <row r="65" spans="2:31" s="62" customFormat="1" x14ac:dyDescent="0.25">
      <c r="C65" s="69" t="s">
        <v>105</v>
      </c>
      <c r="D65" s="79">
        <f>IF(E65="",VLOOKUP(FollowingCropFullName,CropCoefficients,17,FALSE),E65)</f>
        <v>10</v>
      </c>
      <c r="E65" s="78"/>
      <c r="F65" s="69" t="s">
        <v>156</v>
      </c>
      <c r="G65" s="94" t="str">
        <f>IF(H65="","None removed",H65)</f>
        <v>None removed</v>
      </c>
      <c r="H65" s="81"/>
      <c r="I65" s="121"/>
      <c r="J65" s="121"/>
      <c r="K65" s="121"/>
      <c r="L65" s="121"/>
      <c r="M65" s="121"/>
      <c r="N65" s="121"/>
      <c r="O65" s="121"/>
      <c r="P65" s="121"/>
      <c r="R65" s="92" t="str">
        <f ca="1"/>
        <v/>
      </c>
      <c r="S65" s="62" t="str">
        <f t="shared" ca="1" si="9"/>
        <v/>
      </c>
      <c r="T65" s="62" t="e">
        <f t="shared" ca="1" si="0"/>
        <v>#N/A</v>
      </c>
      <c r="U65" s="62" t="e">
        <f t="shared" ca="1" si="1"/>
        <v>#N/A</v>
      </c>
      <c r="V65" s="62" t="e">
        <f t="shared" ca="1" si="2"/>
        <v>#N/A</v>
      </c>
      <c r="W65" s="60" t="e">
        <f t="shared" ca="1" si="3"/>
        <v>#N/A</v>
      </c>
      <c r="X65" s="60" t="e">
        <f t="shared" ca="1" si="10"/>
        <v>#N/A</v>
      </c>
      <c r="Y65" s="60" t="e">
        <f t="shared" ca="1" si="4"/>
        <v>#N/A</v>
      </c>
      <c r="Z65" s="60" t="e">
        <f t="shared" ca="1" si="5"/>
        <v>#N/A</v>
      </c>
      <c r="AA65" s="92" t="str">
        <f ca="1"/>
        <v/>
      </c>
      <c r="AB65" s="62" t="str">
        <f t="shared" ca="1" si="12"/>
        <v/>
      </c>
      <c r="AC65" s="62" t="e">
        <f t="shared" ca="1" si="13"/>
        <v>#N/A</v>
      </c>
      <c r="AD65" s="62" t="e">
        <f t="shared" ca="1" si="14"/>
        <v>#N/A</v>
      </c>
      <c r="AE65" s="62" t="e">
        <f t="shared" ca="1" si="15"/>
        <v>#N/A</v>
      </c>
    </row>
    <row r="66" spans="2:31" s="62" customFormat="1" x14ac:dyDescent="0.25">
      <c r="C66" s="69" t="s">
        <v>15</v>
      </c>
      <c r="D66" s="93" t="str">
        <f>IF(E66="",VLOOKUP(FollowingCropFullName,CropCoefficients,18,FALSE),E66)</f>
        <v>t/ha</v>
      </c>
      <c r="E66" s="80"/>
      <c r="F66" s="64" t="s">
        <v>169</v>
      </c>
      <c r="G66" s="94" t="str">
        <f>IF(H66="","Full (Plough)",H66)</f>
        <v>Full (Plough)</v>
      </c>
      <c r="H66" s="81"/>
      <c r="I66" s="121"/>
      <c r="J66" s="121"/>
      <c r="K66" s="121"/>
      <c r="L66" s="121"/>
      <c r="M66" s="121"/>
      <c r="N66" s="121"/>
      <c r="O66" s="121"/>
      <c r="P66" s="121"/>
      <c r="R66" s="92" t="str">
        <f ca="1"/>
        <v/>
      </c>
      <c r="S66" s="62" t="str">
        <f t="shared" ca="1" si="9"/>
        <v/>
      </c>
      <c r="T66" s="62" t="e">
        <f t="shared" ca="1" si="0"/>
        <v>#N/A</v>
      </c>
      <c r="U66" s="62" t="e">
        <f t="shared" ca="1" si="1"/>
        <v>#N/A</v>
      </c>
      <c r="V66" s="62" t="e">
        <f t="shared" ca="1" si="2"/>
        <v>#N/A</v>
      </c>
      <c r="W66" s="60" t="e">
        <f t="shared" ca="1" si="3"/>
        <v>#N/A</v>
      </c>
      <c r="X66" s="60" t="e">
        <f t="shared" ca="1" si="10"/>
        <v>#N/A</v>
      </c>
      <c r="Y66" s="60" t="e">
        <f t="shared" ca="1" si="4"/>
        <v>#N/A</v>
      </c>
      <c r="Z66" s="60" t="e">
        <f t="shared" ca="1" si="5"/>
        <v>#N/A</v>
      </c>
      <c r="AA66" s="92" t="str">
        <f ca="1"/>
        <v/>
      </c>
      <c r="AB66" s="62" t="str">
        <f t="shared" ca="1" si="12"/>
        <v/>
      </c>
      <c r="AC66" s="62" t="e">
        <f t="shared" ca="1" si="13"/>
        <v>#N/A</v>
      </c>
      <c r="AD66" s="62" t="e">
        <f t="shared" ca="1" si="14"/>
        <v>#N/A</v>
      </c>
      <c r="AE66" s="62" t="e">
        <f t="shared" ca="1" si="15"/>
        <v>#N/A</v>
      </c>
    </row>
    <row r="67" spans="2:31" x14ac:dyDescent="0.25">
      <c r="B67" s="62"/>
      <c r="C67" s="73" t="str">
        <f>"Yield "&amp;ROUND(FollowingYield_tperHa,0)&amp;" (t/ha)"</f>
        <v>Yield 10 (t/ha)</v>
      </c>
      <c r="D67" s="117" t="str">
        <f ca="1">"Following crop will take up "&amp;ROUND('Model Interface'!R4,0)&amp;" kg N/ha"</f>
        <v>Following crop will take up 0 kg N/ha</v>
      </c>
      <c r="R67" s="92" t="str">
        <f ca="1"/>
        <v/>
      </c>
      <c r="S67" s="62" t="str">
        <f t="shared" ca="1" si="9"/>
        <v/>
      </c>
      <c r="T67" s="62" t="e">
        <f t="shared" ca="1" si="0"/>
        <v>#N/A</v>
      </c>
      <c r="U67" s="62" t="e">
        <f t="shared" ca="1" si="1"/>
        <v>#N/A</v>
      </c>
      <c r="V67" s="62" t="e">
        <f t="shared" ca="1" si="2"/>
        <v>#N/A</v>
      </c>
      <c r="W67" s="60" t="e">
        <f t="shared" ca="1" si="3"/>
        <v>#N/A</v>
      </c>
      <c r="X67" s="60" t="e">
        <f t="shared" ca="1" si="10"/>
        <v>#N/A</v>
      </c>
      <c r="Y67" s="60" t="e">
        <f t="shared" ca="1" si="4"/>
        <v>#N/A</v>
      </c>
      <c r="Z67" s="60" t="e">
        <f t="shared" ca="1" si="5"/>
        <v>#N/A</v>
      </c>
      <c r="AA67" s="92" t="str">
        <f ca="1"/>
        <v/>
      </c>
      <c r="AB67" s="62" t="str">
        <f t="shared" ca="1" si="12"/>
        <v/>
      </c>
      <c r="AC67" s="62" t="e">
        <f t="shared" ca="1" si="13"/>
        <v>#N/A</v>
      </c>
      <c r="AD67" s="62" t="e">
        <f t="shared" ca="1" si="14"/>
        <v>#N/A</v>
      </c>
      <c r="AE67" s="62" t="e">
        <f t="shared" ca="1" si="15"/>
        <v>#N/A</v>
      </c>
    </row>
    <row r="68" spans="2:31" ht="15.75" thickBot="1" x14ac:dyDescent="0.3">
      <c r="C68" s="137" t="s">
        <v>196</v>
      </c>
      <c r="D68" s="137"/>
      <c r="E68" s="137"/>
      <c r="F68" s="137"/>
      <c r="G68" s="137"/>
      <c r="H68" s="137"/>
      <c r="R68" s="92" t="str">
        <f ca="1"/>
        <v/>
      </c>
      <c r="S68" s="62" t="str">
        <f t="shared" ca="1" si="9"/>
        <v/>
      </c>
      <c r="T68" s="62" t="e">
        <f t="shared" ca="1" si="0"/>
        <v>#N/A</v>
      </c>
      <c r="U68" s="62" t="e">
        <f t="shared" ca="1" si="1"/>
        <v>#N/A</v>
      </c>
      <c r="V68" s="62" t="e">
        <f t="shared" ca="1" si="2"/>
        <v>#N/A</v>
      </c>
      <c r="W68" s="60" t="e">
        <f t="shared" ca="1" si="3"/>
        <v>#N/A</v>
      </c>
      <c r="X68" s="60" t="e">
        <f t="shared" ca="1" si="10"/>
        <v>#N/A</v>
      </c>
      <c r="Y68" s="60" t="e">
        <f t="shared" ca="1" si="4"/>
        <v>#N/A</v>
      </c>
      <c r="Z68" s="60" t="e">
        <f t="shared" ca="1" si="5"/>
        <v>#N/A</v>
      </c>
      <c r="AA68" s="92" t="str">
        <f ca="1"/>
        <v/>
      </c>
      <c r="AB68" s="62" t="str">
        <f t="shared" ca="1" si="12"/>
        <v/>
      </c>
      <c r="AC68" s="62" t="e">
        <f t="shared" ca="1" si="13"/>
        <v>#N/A</v>
      </c>
      <c r="AD68" s="62" t="e">
        <f t="shared" ca="1" si="14"/>
        <v>#N/A</v>
      </c>
      <c r="AE68" s="62" t="e">
        <f t="shared" ca="1" si="15"/>
        <v>#N/A</v>
      </c>
    </row>
    <row r="69" spans="2:31" x14ac:dyDescent="0.25">
      <c r="C69" s="69" t="s">
        <v>159</v>
      </c>
      <c r="D69" s="97">
        <v>50</v>
      </c>
      <c r="E69" s="114"/>
      <c r="R69" s="92" t="str">
        <f ca="1"/>
        <v/>
      </c>
      <c r="S69" s="62" t="str">
        <f t="shared" ca="1" si="9"/>
        <v/>
      </c>
      <c r="T69" s="62" t="e">
        <f t="shared" ca="1" si="0"/>
        <v>#N/A</v>
      </c>
      <c r="U69" s="62" t="e">
        <f t="shared" ca="1" si="1"/>
        <v>#N/A</v>
      </c>
      <c r="V69" s="62" t="e">
        <f t="shared" ca="1" si="2"/>
        <v>#N/A</v>
      </c>
      <c r="W69" s="60" t="e">
        <f t="shared" ca="1" si="3"/>
        <v>#N/A</v>
      </c>
      <c r="X69" s="60" t="e">
        <f t="shared" ca="1" si="10"/>
        <v>#N/A</v>
      </c>
      <c r="Y69" s="60" t="e">
        <f t="shared" ca="1" si="4"/>
        <v>#N/A</v>
      </c>
      <c r="Z69" s="60" t="e">
        <f t="shared" ca="1" si="5"/>
        <v>#N/A</v>
      </c>
      <c r="AA69" s="92" t="str">
        <f ca="1"/>
        <v/>
      </c>
      <c r="AB69" s="62" t="str">
        <f t="shared" ca="1" si="12"/>
        <v/>
      </c>
      <c r="AC69" s="62" t="e">
        <f t="shared" ca="1" si="13"/>
        <v>#N/A</v>
      </c>
      <c r="AD69" s="62" t="e">
        <f t="shared" ca="1" si="14"/>
        <v>#N/A</v>
      </c>
      <c r="AE69" s="62" t="e">
        <f t="shared" ca="1" si="15"/>
        <v>#N/A</v>
      </c>
    </row>
    <row r="70" spans="2:31" x14ac:dyDescent="0.25">
      <c r="C70" s="69" t="s">
        <v>160</v>
      </c>
      <c r="D70" s="93">
        <f>IF(E70="",30,E70)</f>
        <v>30</v>
      </c>
      <c r="E70" s="78"/>
      <c r="R70" s="92" t="str">
        <f ca="1"/>
        <v/>
      </c>
      <c r="S70" s="62" t="str">
        <f t="shared" ca="1" si="9"/>
        <v/>
      </c>
      <c r="T70" s="62" t="e">
        <f t="shared" ca="1" si="0"/>
        <v>#N/A</v>
      </c>
      <c r="U70" s="62" t="e">
        <f t="shared" ca="1" si="1"/>
        <v>#N/A</v>
      </c>
      <c r="V70" s="62" t="e">
        <f t="shared" ca="1" si="2"/>
        <v>#N/A</v>
      </c>
      <c r="W70" s="60" t="e">
        <f t="shared" ca="1" si="3"/>
        <v>#N/A</v>
      </c>
      <c r="X70" s="60" t="e">
        <f t="shared" ca="1" si="10"/>
        <v>#N/A</v>
      </c>
      <c r="Y70" s="60" t="e">
        <f t="shared" ca="1" si="4"/>
        <v>#N/A</v>
      </c>
      <c r="Z70" s="60" t="e">
        <f t="shared" ca="1" si="5"/>
        <v>#N/A</v>
      </c>
      <c r="AA70" s="92" t="str">
        <f ca="1"/>
        <v/>
      </c>
      <c r="AB70" s="62" t="str">
        <f t="shared" ca="1" si="12"/>
        <v/>
      </c>
      <c r="AC70" s="62" t="e">
        <f t="shared" ca="1" si="13"/>
        <v>#N/A</v>
      </c>
      <c r="AD70" s="62" t="e">
        <f t="shared" ca="1" si="14"/>
        <v>#N/A</v>
      </c>
      <c r="AE70" s="62" t="e">
        <f t="shared" ca="1" si="15"/>
        <v>#N/A</v>
      </c>
    </row>
    <row r="71" spans="2:31" x14ac:dyDescent="0.25">
      <c r="C71" s="69" t="s">
        <v>161</v>
      </c>
      <c r="D71" s="93">
        <f>IF(E71="",80,E71)</f>
        <v>80</v>
      </c>
      <c r="E71" s="78"/>
      <c r="R71" s="92" t="str">
        <f ca="1"/>
        <v/>
      </c>
      <c r="S71" s="62" t="str">
        <f t="shared" ca="1" si="9"/>
        <v/>
      </c>
      <c r="T71" s="62" t="e">
        <f t="shared" ca="1" si="0"/>
        <v>#N/A</v>
      </c>
      <c r="U71" s="62" t="e">
        <f t="shared" ca="1" si="1"/>
        <v>#N/A</v>
      </c>
      <c r="V71" s="62" t="e">
        <f t="shared" ca="1" si="2"/>
        <v>#N/A</v>
      </c>
      <c r="W71" s="60" t="e">
        <f t="shared" ca="1" si="3"/>
        <v>#N/A</v>
      </c>
      <c r="X71" s="60" t="e">
        <f t="shared" ca="1" si="10"/>
        <v>#N/A</v>
      </c>
      <c r="Y71" s="60" t="e">
        <f t="shared" ca="1" si="4"/>
        <v>#N/A</v>
      </c>
      <c r="Z71" s="60" t="e">
        <f t="shared" ca="1" si="5"/>
        <v>#N/A</v>
      </c>
      <c r="AA71" s="92" t="str">
        <f ca="1"/>
        <v/>
      </c>
      <c r="AB71" s="62" t="str">
        <f t="shared" ca="1" si="12"/>
        <v/>
      </c>
      <c r="AC71" s="62" t="e">
        <f t="shared" ca="1" si="13"/>
        <v>#N/A</v>
      </c>
      <c r="AD71" s="62" t="e">
        <f t="shared" ca="1" si="14"/>
        <v>#N/A</v>
      </c>
      <c r="AE71" s="62" t="e">
        <f t="shared" ca="1" si="15"/>
        <v>#N/A</v>
      </c>
    </row>
    <row r="72" spans="2:31" x14ac:dyDescent="0.25">
      <c r="C72" s="69" t="s">
        <v>213</v>
      </c>
      <c r="D72" s="93">
        <f>IF(E72="",120,E72)</f>
        <v>120</v>
      </c>
      <c r="E72" s="78"/>
      <c r="R72" s="92" t="str">
        <f ca="1"/>
        <v/>
      </c>
      <c r="S72" s="62" t="str">
        <f t="shared" ca="1" si="9"/>
        <v/>
      </c>
      <c r="T72" s="62" t="e">
        <f t="shared" ca="1" si="0"/>
        <v>#N/A</v>
      </c>
      <c r="U72" s="62" t="e">
        <f t="shared" ca="1" si="1"/>
        <v>#N/A</v>
      </c>
      <c r="V72" s="62" t="e">
        <f t="shared" ca="1" si="2"/>
        <v>#N/A</v>
      </c>
      <c r="W72" s="60" t="e">
        <f t="shared" ca="1" si="3"/>
        <v>#N/A</v>
      </c>
      <c r="X72" s="60" t="e">
        <f t="shared" ca="1" si="10"/>
        <v>#N/A</v>
      </c>
      <c r="Y72" s="60" t="e">
        <f t="shared" ca="1" si="4"/>
        <v>#N/A</v>
      </c>
      <c r="Z72" s="60" t="e">
        <f t="shared" ca="1" si="5"/>
        <v>#N/A</v>
      </c>
      <c r="AA72" s="92" t="str">
        <f ca="1"/>
        <v/>
      </c>
      <c r="AB72" s="62" t="str">
        <f t="shared" ca="1" si="12"/>
        <v/>
      </c>
      <c r="AC72" s="62" t="e">
        <f t="shared" ca="1" si="13"/>
        <v>#N/A</v>
      </c>
      <c r="AD72" s="62" t="e">
        <f t="shared" ca="1" si="14"/>
        <v>#N/A</v>
      </c>
      <c r="AE72" s="62" t="e">
        <f t="shared" ca="1" si="15"/>
        <v>#N/A</v>
      </c>
    </row>
    <row r="73" spans="2:31" x14ac:dyDescent="0.25">
      <c r="R73" s="92" t="str">
        <f ca="1"/>
        <v/>
      </c>
      <c r="S73" s="62" t="str">
        <f t="shared" ca="1" si="9"/>
        <v/>
      </c>
      <c r="T73" s="62" t="e">
        <f t="shared" ca="1" si="0"/>
        <v>#N/A</v>
      </c>
      <c r="U73" s="62" t="e">
        <f t="shared" ca="1" si="1"/>
        <v>#N/A</v>
      </c>
      <c r="V73" s="62" t="e">
        <f t="shared" ca="1" si="2"/>
        <v>#N/A</v>
      </c>
      <c r="W73" s="60" t="e">
        <f t="shared" ca="1" si="3"/>
        <v>#N/A</v>
      </c>
      <c r="X73" s="60" t="e">
        <f t="shared" ca="1" si="10"/>
        <v>#N/A</v>
      </c>
      <c r="Y73" s="60" t="e">
        <f t="shared" ca="1" si="4"/>
        <v>#N/A</v>
      </c>
      <c r="Z73" s="60" t="e">
        <f t="shared" ca="1" si="5"/>
        <v>#N/A</v>
      </c>
      <c r="AA73" s="92" t="str">
        <f ca="1"/>
        <v/>
      </c>
      <c r="AB73" s="62" t="str">
        <f t="shared" ca="1" si="12"/>
        <v/>
      </c>
      <c r="AC73" s="62" t="e">
        <f t="shared" ca="1" si="13"/>
        <v>#N/A</v>
      </c>
      <c r="AD73" s="62" t="e">
        <f t="shared" ca="1" si="14"/>
        <v>#N/A</v>
      </c>
      <c r="AE73" s="62" t="e">
        <f t="shared" ca="1" si="15"/>
        <v>#N/A</v>
      </c>
    </row>
    <row r="74" spans="2:31" x14ac:dyDescent="0.25">
      <c r="R74" s="92" t="str">
        <f ca="1"/>
        <v/>
      </c>
      <c r="S74" s="62" t="str">
        <f t="shared" ca="1" si="9"/>
        <v/>
      </c>
      <c r="T74" s="62" t="e">
        <f t="shared" ca="1" si="0"/>
        <v>#N/A</v>
      </c>
      <c r="U74" s="62" t="e">
        <f t="shared" ca="1" si="1"/>
        <v>#N/A</v>
      </c>
      <c r="V74" s="62" t="e">
        <f t="shared" ca="1" si="2"/>
        <v>#N/A</v>
      </c>
      <c r="W74" s="60" t="e">
        <f t="shared" ca="1" si="3"/>
        <v>#N/A</v>
      </c>
      <c r="X74" s="60" t="e">
        <f t="shared" ca="1" si="10"/>
        <v>#N/A</v>
      </c>
      <c r="Y74" s="60" t="e">
        <f t="shared" ca="1" si="4"/>
        <v>#N/A</v>
      </c>
      <c r="Z74" s="60" t="e">
        <f t="shared" ca="1" si="5"/>
        <v>#N/A</v>
      </c>
      <c r="AA74" s="92" t="str">
        <f ca="1"/>
        <v/>
      </c>
      <c r="AB74" s="62" t="str">
        <f t="shared" ca="1" si="12"/>
        <v/>
      </c>
      <c r="AC74" s="62" t="e">
        <f t="shared" ca="1" si="13"/>
        <v>#N/A</v>
      </c>
      <c r="AD74" s="62" t="e">
        <f t="shared" ca="1" si="14"/>
        <v>#N/A</v>
      </c>
      <c r="AE74" s="62" t="e">
        <f t="shared" ca="1" si="15"/>
        <v>#N/A</v>
      </c>
    </row>
    <row r="75" spans="2:31" x14ac:dyDescent="0.25">
      <c r="R75" s="92" t="str">
        <f ca="1"/>
        <v/>
      </c>
      <c r="S75" s="62" t="str">
        <f t="shared" ca="1" si="9"/>
        <v/>
      </c>
      <c r="T75" s="62" t="e">
        <f t="shared" ca="1" si="0"/>
        <v>#N/A</v>
      </c>
      <c r="U75" s="62" t="e">
        <f t="shared" ca="1" si="1"/>
        <v>#N/A</v>
      </c>
      <c r="V75" s="62" t="e">
        <f t="shared" ca="1" si="2"/>
        <v>#N/A</v>
      </c>
      <c r="W75" s="60" t="e">
        <f t="shared" ca="1" si="3"/>
        <v>#N/A</v>
      </c>
      <c r="X75" s="60" t="e">
        <f t="shared" ca="1" si="10"/>
        <v>#N/A</v>
      </c>
      <c r="Y75" s="60" t="e">
        <f t="shared" ca="1" si="4"/>
        <v>#N/A</v>
      </c>
      <c r="Z75" s="60" t="e">
        <f t="shared" ca="1" si="5"/>
        <v>#N/A</v>
      </c>
      <c r="AA75" s="92" t="str">
        <f ca="1"/>
        <v/>
      </c>
      <c r="AB75" s="62" t="str">
        <f t="shared" ca="1" si="12"/>
        <v/>
      </c>
      <c r="AC75" s="62" t="e">
        <f t="shared" ca="1" si="13"/>
        <v>#N/A</v>
      </c>
      <c r="AD75" s="62" t="e">
        <f t="shared" ca="1" si="14"/>
        <v>#N/A</v>
      </c>
      <c r="AE75" s="62" t="e">
        <f t="shared" ca="1" si="15"/>
        <v>#N/A</v>
      </c>
    </row>
    <row r="76" spans="2:31" x14ac:dyDescent="0.25">
      <c r="R76" s="92" t="str">
        <f ca="1"/>
        <v/>
      </c>
      <c r="S76" s="62" t="str">
        <f t="shared" ca="1" si="9"/>
        <v/>
      </c>
      <c r="T76" s="62" t="e">
        <f t="shared" ca="1" si="0"/>
        <v>#N/A</v>
      </c>
      <c r="U76" s="62" t="e">
        <f t="shared" ca="1" si="1"/>
        <v>#N/A</v>
      </c>
      <c r="V76" s="62" t="e">
        <f t="shared" ca="1" si="2"/>
        <v>#N/A</v>
      </c>
      <c r="W76" s="60" t="e">
        <f t="shared" ca="1" si="3"/>
        <v>#N/A</v>
      </c>
      <c r="X76" s="60" t="e">
        <f t="shared" ca="1" si="10"/>
        <v>#N/A</v>
      </c>
      <c r="Y76" s="60" t="e">
        <f t="shared" ca="1" si="4"/>
        <v>#N/A</v>
      </c>
      <c r="Z76" s="60" t="e">
        <f t="shared" ca="1" si="5"/>
        <v>#N/A</v>
      </c>
      <c r="AA76" s="92" t="str">
        <f ca="1"/>
        <v/>
      </c>
      <c r="AB76" s="62" t="str">
        <f t="shared" ca="1" si="12"/>
        <v/>
      </c>
      <c r="AC76" s="62" t="e">
        <f t="shared" ca="1" si="13"/>
        <v>#N/A</v>
      </c>
      <c r="AD76" s="62" t="e">
        <f t="shared" ca="1" si="14"/>
        <v>#N/A</v>
      </c>
      <c r="AE76" s="62" t="e">
        <f t="shared" ca="1" si="15"/>
        <v>#N/A</v>
      </c>
    </row>
    <row r="77" spans="2:31" x14ac:dyDescent="0.25">
      <c r="R77" s="92" t="str">
        <f ca="1"/>
        <v/>
      </c>
      <c r="S77" s="62" t="str">
        <f t="shared" ca="1" si="9"/>
        <v/>
      </c>
      <c r="T77" s="62" t="e">
        <f t="shared" ca="1" si="0"/>
        <v>#N/A</v>
      </c>
      <c r="U77" s="62" t="e">
        <f t="shared" ca="1" si="1"/>
        <v>#N/A</v>
      </c>
      <c r="V77" s="62" t="e">
        <f t="shared" ca="1" si="2"/>
        <v>#N/A</v>
      </c>
      <c r="W77" s="60" t="e">
        <f t="shared" ca="1" si="3"/>
        <v>#N/A</v>
      </c>
      <c r="X77" s="60" t="e">
        <f t="shared" ca="1" si="10"/>
        <v>#N/A</v>
      </c>
      <c r="Y77" s="60" t="e">
        <f t="shared" ca="1" si="4"/>
        <v>#N/A</v>
      </c>
      <c r="Z77" s="60" t="e">
        <f t="shared" ca="1" si="5"/>
        <v>#N/A</v>
      </c>
      <c r="AA77" s="92" t="str">
        <f ca="1"/>
        <v/>
      </c>
      <c r="AB77" s="62" t="str">
        <f t="shared" ca="1" si="12"/>
        <v/>
      </c>
      <c r="AC77" s="62" t="e">
        <f t="shared" ca="1" si="13"/>
        <v>#N/A</v>
      </c>
      <c r="AD77" s="62" t="e">
        <f t="shared" ca="1" si="14"/>
        <v>#N/A</v>
      </c>
      <c r="AE77" s="62" t="e">
        <f t="shared" ca="1" si="15"/>
        <v>#N/A</v>
      </c>
    </row>
    <row r="78" spans="2:31" x14ac:dyDescent="0.25">
      <c r="R78" s="92" t="str">
        <f ca="1"/>
        <v/>
      </c>
      <c r="S78" s="62" t="str">
        <f t="shared" ca="1" si="9"/>
        <v/>
      </c>
      <c r="T78" s="62" t="e">
        <f t="shared" ca="1" si="0"/>
        <v>#N/A</v>
      </c>
      <c r="U78" s="62" t="e">
        <f t="shared" ca="1" si="1"/>
        <v>#N/A</v>
      </c>
      <c r="V78" s="62" t="e">
        <f t="shared" ca="1" si="2"/>
        <v>#N/A</v>
      </c>
      <c r="W78" s="60" t="e">
        <f t="shared" ca="1" si="3"/>
        <v>#N/A</v>
      </c>
      <c r="X78" s="60" t="e">
        <f t="shared" ca="1" si="10"/>
        <v>#N/A</v>
      </c>
      <c r="Y78" s="60" t="e">
        <f t="shared" ca="1" si="4"/>
        <v>#N/A</v>
      </c>
      <c r="Z78" s="60" t="e">
        <f t="shared" ca="1" si="5"/>
        <v>#N/A</v>
      </c>
      <c r="AA78" s="92" t="str">
        <f ca="1"/>
        <v/>
      </c>
      <c r="AB78" s="62" t="str">
        <f t="shared" ca="1" si="12"/>
        <v/>
      </c>
      <c r="AC78" s="62" t="e">
        <f t="shared" ca="1" si="13"/>
        <v>#N/A</v>
      </c>
      <c r="AD78" s="62" t="e">
        <f t="shared" ca="1" si="14"/>
        <v>#N/A</v>
      </c>
      <c r="AE78" s="62" t="e">
        <f t="shared" ca="1" si="15"/>
        <v>#N/A</v>
      </c>
    </row>
    <row r="79" spans="2:31" x14ac:dyDescent="0.25">
      <c r="R79" s="92" t="str">
        <f ca="1"/>
        <v/>
      </c>
      <c r="S79" s="62" t="str">
        <f t="shared" ca="1" si="9"/>
        <v/>
      </c>
      <c r="T79" s="62" t="e">
        <f t="shared" ca="1" si="0"/>
        <v>#N/A</v>
      </c>
      <c r="U79" s="62" t="e">
        <f t="shared" ca="1" si="1"/>
        <v>#N/A</v>
      </c>
      <c r="V79" s="62" t="e">
        <f t="shared" ca="1" si="2"/>
        <v>#N/A</v>
      </c>
      <c r="W79" s="60" t="e">
        <f t="shared" ca="1" si="3"/>
        <v>#N/A</v>
      </c>
      <c r="X79" s="60" t="e">
        <f t="shared" ca="1" si="10"/>
        <v>#N/A</v>
      </c>
      <c r="Y79" s="60" t="e">
        <f t="shared" ca="1" si="4"/>
        <v>#N/A</v>
      </c>
      <c r="Z79" s="60" t="e">
        <f t="shared" ca="1" si="5"/>
        <v>#N/A</v>
      </c>
      <c r="AA79" s="92" t="str">
        <f ca="1"/>
        <v/>
      </c>
      <c r="AB79" s="62" t="str">
        <f t="shared" ca="1" si="12"/>
        <v/>
      </c>
      <c r="AC79" s="62" t="e">
        <f t="shared" ca="1" si="13"/>
        <v>#N/A</v>
      </c>
      <c r="AD79" s="62" t="e">
        <f t="shared" ca="1" si="14"/>
        <v>#N/A</v>
      </c>
      <c r="AE79" s="62" t="e">
        <f t="shared" ca="1" si="15"/>
        <v>#N/A</v>
      </c>
    </row>
    <row r="80" spans="2:31" x14ac:dyDescent="0.25">
      <c r="R80" s="92" t="str">
        <f ca="1"/>
        <v/>
      </c>
      <c r="S80" s="62" t="str">
        <f t="shared" ca="1" si="9"/>
        <v/>
      </c>
      <c r="T80" s="62" t="e">
        <f t="shared" ca="1" si="0"/>
        <v>#N/A</v>
      </c>
      <c r="U80" s="62" t="e">
        <f t="shared" ca="1" si="1"/>
        <v>#N/A</v>
      </c>
      <c r="V80" s="62" t="e">
        <f t="shared" ca="1" si="2"/>
        <v>#N/A</v>
      </c>
      <c r="W80" s="60" t="e">
        <f t="shared" ca="1" si="3"/>
        <v>#N/A</v>
      </c>
      <c r="X80" s="60" t="e">
        <f t="shared" ca="1" si="10"/>
        <v>#N/A</v>
      </c>
      <c r="Y80" s="60" t="e">
        <f t="shared" ca="1" si="4"/>
        <v>#N/A</v>
      </c>
      <c r="Z80" s="60" t="e">
        <f t="shared" ca="1" si="5"/>
        <v>#N/A</v>
      </c>
      <c r="AA80" s="92" t="str">
        <f ca="1"/>
        <v/>
      </c>
      <c r="AB80" s="62" t="str">
        <f t="shared" ca="1" si="12"/>
        <v/>
      </c>
      <c r="AC80" s="62" t="e">
        <f t="shared" ca="1" si="13"/>
        <v>#N/A</v>
      </c>
      <c r="AD80" s="62" t="e">
        <f t="shared" ca="1" si="14"/>
        <v>#N/A</v>
      </c>
      <c r="AE80" s="62" t="e">
        <f t="shared" ca="1" si="15"/>
        <v>#N/A</v>
      </c>
    </row>
    <row r="81" spans="18:31" x14ac:dyDescent="0.25">
      <c r="R81" s="92" t="str">
        <f ca="1"/>
        <v/>
      </c>
      <c r="S81" s="62" t="str">
        <f t="shared" ca="1" si="9"/>
        <v/>
      </c>
      <c r="T81" s="62" t="e">
        <f t="shared" ca="1" si="0"/>
        <v>#N/A</v>
      </c>
      <c r="U81" s="62" t="e">
        <f t="shared" ca="1" si="1"/>
        <v>#N/A</v>
      </c>
      <c r="V81" s="62" t="e">
        <f t="shared" ca="1" si="2"/>
        <v>#N/A</v>
      </c>
      <c r="W81" s="60" t="e">
        <f t="shared" ca="1" si="3"/>
        <v>#N/A</v>
      </c>
      <c r="X81" s="60" t="e">
        <f t="shared" ca="1" si="10"/>
        <v>#N/A</v>
      </c>
      <c r="Y81" s="60" t="e">
        <f t="shared" ca="1" si="4"/>
        <v>#N/A</v>
      </c>
      <c r="Z81" s="60" t="e">
        <f t="shared" ca="1" si="5"/>
        <v>#N/A</v>
      </c>
      <c r="AA81" s="92" t="str">
        <f ca="1"/>
        <v/>
      </c>
      <c r="AB81" s="62" t="str">
        <f t="shared" ca="1" si="12"/>
        <v/>
      </c>
      <c r="AC81" s="62" t="e">
        <f t="shared" ca="1" si="13"/>
        <v>#N/A</v>
      </c>
      <c r="AD81" s="62" t="e">
        <f t="shared" ca="1" si="14"/>
        <v>#N/A</v>
      </c>
      <c r="AE81" s="62" t="e">
        <f t="shared" ca="1" si="15"/>
        <v>#N/A</v>
      </c>
    </row>
    <row r="82" spans="18:31" x14ac:dyDescent="0.25">
      <c r="R82" s="92" t="str">
        <f ca="1"/>
        <v/>
      </c>
      <c r="S82" s="62" t="str">
        <f t="shared" ca="1" si="9"/>
        <v/>
      </c>
      <c r="T82" s="62" t="e">
        <f t="shared" ref="T82:T145" ca="1" si="19">VLOOKUP(S82,ModelOutputs,2,FALSE)</f>
        <v>#N/A</v>
      </c>
      <c r="U82" s="62" t="e">
        <f t="shared" ref="U82:U145" ca="1" si="20">VLOOKUP(S82,ModelOutputs,7,FALSE)</f>
        <v>#N/A</v>
      </c>
      <c r="V82" s="62" t="e">
        <f t="shared" ref="V82:V145" ca="1" si="21">VLOOKUP(S82,ModelOutputs,6,FALSE)</f>
        <v>#N/A</v>
      </c>
      <c r="W82" s="60" t="e">
        <f t="shared" ref="W82:W145" ca="1" si="22">VLOOKUP(S82,ModelOutputs,10,FALSE)*AWC</f>
        <v>#N/A</v>
      </c>
      <c r="X82" s="60" t="e">
        <f t="shared" ca="1" si="10"/>
        <v>#N/A</v>
      </c>
      <c r="Y82" s="60" t="e">
        <f t="shared" ref="Y82:Y145" ca="1" si="23">VLOOKUP(S82,ModelOutputs,12,FALSE)</f>
        <v>#N/A</v>
      </c>
      <c r="Z82" s="60" t="e">
        <f t="shared" ref="Z82:Z145" ca="1" si="24">VLOOKUP(S82,ModelOutputs,13,FALSE)</f>
        <v>#N/A</v>
      </c>
      <c r="AA82" s="92" t="str">
        <f ca="1"/>
        <v/>
      </c>
      <c r="AB82" s="62" t="str">
        <f t="shared" ca="1" si="12"/>
        <v/>
      </c>
      <c r="AC82" s="62" t="e">
        <f t="shared" ca="1" si="13"/>
        <v>#N/A</v>
      </c>
      <c r="AD82" s="62" t="e">
        <f t="shared" ca="1" si="14"/>
        <v>#N/A</v>
      </c>
      <c r="AE82" s="62" t="e">
        <f t="shared" ca="1" si="15"/>
        <v>#N/A</v>
      </c>
    </row>
    <row r="83" spans="18:31" x14ac:dyDescent="0.25">
      <c r="R83" s="92" t="str">
        <f ca="1"/>
        <v/>
      </c>
      <c r="S83" s="62" t="str">
        <f t="shared" ref="S83:S146" ca="1" si="25">IF(R83&gt;1,R83,"")</f>
        <v/>
      </c>
      <c r="T83" s="62" t="e">
        <f t="shared" ca="1" si="19"/>
        <v>#N/A</v>
      </c>
      <c r="U83" s="62" t="e">
        <f t="shared" ca="1" si="20"/>
        <v>#N/A</v>
      </c>
      <c r="V83" s="62" t="e">
        <f t="shared" ca="1" si="21"/>
        <v>#N/A</v>
      </c>
      <c r="W83" s="60" t="e">
        <f t="shared" ca="1" si="22"/>
        <v>#N/A</v>
      </c>
      <c r="X83" s="60" t="e">
        <f t="shared" ref="X83:X146" ca="1" si="26">VLOOKUP(S83,ModelOutputs,11,FALSE)+X82</f>
        <v>#N/A</v>
      </c>
      <c r="Y83" s="60" t="e">
        <f t="shared" ca="1" si="23"/>
        <v>#N/A</v>
      </c>
      <c r="Z83" s="60" t="e">
        <f t="shared" ca="1" si="24"/>
        <v>#N/A</v>
      </c>
      <c r="AA83" s="92" t="str">
        <f ca="1"/>
        <v/>
      </c>
      <c r="AB83" s="62" t="str">
        <f t="shared" ca="1" si="12"/>
        <v/>
      </c>
      <c r="AC83" s="62" t="e">
        <f t="shared" ca="1" si="13"/>
        <v>#N/A</v>
      </c>
      <c r="AD83" s="62" t="e">
        <f t="shared" ca="1" si="14"/>
        <v>#N/A</v>
      </c>
      <c r="AE83" s="62" t="e">
        <f t="shared" ca="1" si="15"/>
        <v>#N/A</v>
      </c>
    </row>
    <row r="84" spans="18:31" x14ac:dyDescent="0.25">
      <c r="R84" s="92" t="str">
        <f ca="1"/>
        <v/>
      </c>
      <c r="S84" s="62" t="str">
        <f t="shared" ca="1" si="25"/>
        <v/>
      </c>
      <c r="T84" s="62" t="e">
        <f t="shared" ca="1" si="19"/>
        <v>#N/A</v>
      </c>
      <c r="U84" s="62" t="e">
        <f t="shared" ca="1" si="20"/>
        <v>#N/A</v>
      </c>
      <c r="V84" s="62" t="e">
        <f t="shared" ca="1" si="21"/>
        <v>#N/A</v>
      </c>
      <c r="W84" s="60" t="e">
        <f t="shared" ca="1" si="22"/>
        <v>#N/A</v>
      </c>
      <c r="X84" s="60" t="e">
        <f t="shared" ca="1" si="26"/>
        <v>#N/A</v>
      </c>
      <c r="Y84" s="60" t="e">
        <f t="shared" ca="1" si="23"/>
        <v>#N/A</v>
      </c>
      <c r="Z84" s="60" t="e">
        <f t="shared" ca="1" si="24"/>
        <v>#N/A</v>
      </c>
      <c r="AA84" s="92" t="str">
        <f ca="1"/>
        <v/>
      </c>
      <c r="AB84" s="62" t="str">
        <f t="shared" ca="1" si="12"/>
        <v/>
      </c>
      <c r="AC84" s="62" t="e">
        <f t="shared" ca="1" si="13"/>
        <v>#N/A</v>
      </c>
      <c r="AD84" s="62" t="e">
        <f t="shared" ca="1" si="14"/>
        <v>#N/A</v>
      </c>
      <c r="AE84" s="62" t="e">
        <f t="shared" ca="1" si="15"/>
        <v>#N/A</v>
      </c>
    </row>
    <row r="85" spans="18:31" x14ac:dyDescent="0.25">
      <c r="R85" s="92" t="str">
        <f ca="1"/>
        <v/>
      </c>
      <c r="S85" s="62" t="str">
        <f t="shared" ca="1" si="25"/>
        <v/>
      </c>
      <c r="T85" s="62" t="e">
        <f t="shared" ca="1" si="19"/>
        <v>#N/A</v>
      </c>
      <c r="U85" s="62" t="e">
        <f t="shared" ca="1" si="20"/>
        <v>#N/A</v>
      </c>
      <c r="V85" s="62" t="e">
        <f t="shared" ca="1" si="21"/>
        <v>#N/A</v>
      </c>
      <c r="W85" s="60" t="e">
        <f t="shared" ca="1" si="22"/>
        <v>#N/A</v>
      </c>
      <c r="X85" s="60" t="e">
        <f t="shared" ca="1" si="26"/>
        <v>#N/A</v>
      </c>
      <c r="Y85" s="60" t="e">
        <f t="shared" ca="1" si="23"/>
        <v>#N/A</v>
      </c>
      <c r="Z85" s="60" t="e">
        <f t="shared" ca="1" si="24"/>
        <v>#N/A</v>
      </c>
      <c r="AA85" s="92" t="str">
        <f ca="1"/>
        <v/>
      </c>
      <c r="AB85" s="62" t="str">
        <f t="shared" ref="AB85:AB148" ca="1" si="27">IF(AA85&gt;1,AA85,"")</f>
        <v/>
      </c>
      <c r="AC85" s="62" t="e">
        <f t="shared" ref="AC85:AC148" ca="1" si="28">VLOOKUP(AB85,ModelOutputs,2,FALSE)</f>
        <v>#N/A</v>
      </c>
      <c r="AD85" s="62" t="e">
        <f t="shared" ref="AD85:AD148" ca="1" si="29">VLOOKUP(AB85,ModelOutputs,7,FALSE)</f>
        <v>#N/A</v>
      </c>
      <c r="AE85" s="62" t="e">
        <f t="shared" ref="AE85:AE148" ca="1" si="30">VLOOKUP(AB85,ModelOutputs,6,FALSE)</f>
        <v>#N/A</v>
      </c>
    </row>
    <row r="86" spans="18:31" x14ac:dyDescent="0.25">
      <c r="R86" s="92" t="str">
        <f ca="1"/>
        <v/>
      </c>
      <c r="S86" s="62" t="str">
        <f t="shared" ca="1" si="25"/>
        <v/>
      </c>
      <c r="T86" s="62" t="e">
        <f t="shared" ca="1" si="19"/>
        <v>#N/A</v>
      </c>
      <c r="U86" s="62" t="e">
        <f t="shared" ca="1" si="20"/>
        <v>#N/A</v>
      </c>
      <c r="V86" s="62" t="e">
        <f t="shared" ca="1" si="21"/>
        <v>#N/A</v>
      </c>
      <c r="W86" s="60" t="e">
        <f t="shared" ca="1" si="22"/>
        <v>#N/A</v>
      </c>
      <c r="X86" s="60" t="e">
        <f t="shared" ca="1" si="26"/>
        <v>#N/A</v>
      </c>
      <c r="Y86" s="60" t="e">
        <f t="shared" ca="1" si="23"/>
        <v>#N/A</v>
      </c>
      <c r="Z86" s="60" t="e">
        <f t="shared" ca="1" si="24"/>
        <v>#N/A</v>
      </c>
      <c r="AA86" s="92" t="str">
        <f ca="1"/>
        <v/>
      </c>
      <c r="AB86" s="62" t="str">
        <f t="shared" ca="1" si="27"/>
        <v/>
      </c>
      <c r="AC86" s="62" t="e">
        <f t="shared" ca="1" si="28"/>
        <v>#N/A</v>
      </c>
      <c r="AD86" s="62" t="e">
        <f t="shared" ca="1" si="29"/>
        <v>#N/A</v>
      </c>
      <c r="AE86" s="62" t="e">
        <f t="shared" ca="1" si="30"/>
        <v>#N/A</v>
      </c>
    </row>
    <row r="87" spans="18:31" x14ac:dyDescent="0.25">
      <c r="R87" s="92" t="str">
        <f ca="1"/>
        <v/>
      </c>
      <c r="S87" s="62" t="str">
        <f t="shared" ca="1" si="25"/>
        <v/>
      </c>
      <c r="T87" s="62" t="e">
        <f t="shared" ca="1" si="19"/>
        <v>#N/A</v>
      </c>
      <c r="U87" s="62" t="e">
        <f t="shared" ca="1" si="20"/>
        <v>#N/A</v>
      </c>
      <c r="V87" s="62" t="e">
        <f t="shared" ca="1" si="21"/>
        <v>#N/A</v>
      </c>
      <c r="W87" s="60" t="e">
        <f t="shared" ca="1" si="22"/>
        <v>#N/A</v>
      </c>
      <c r="X87" s="60" t="e">
        <f t="shared" ca="1" si="26"/>
        <v>#N/A</v>
      </c>
      <c r="Y87" s="60" t="e">
        <f t="shared" ca="1" si="23"/>
        <v>#N/A</v>
      </c>
      <c r="Z87" s="60" t="e">
        <f t="shared" ca="1" si="24"/>
        <v>#N/A</v>
      </c>
      <c r="AA87" s="92" t="str">
        <f ca="1"/>
        <v/>
      </c>
      <c r="AB87" s="62" t="str">
        <f t="shared" ca="1" si="27"/>
        <v/>
      </c>
      <c r="AC87" s="62" t="e">
        <f t="shared" ca="1" si="28"/>
        <v>#N/A</v>
      </c>
      <c r="AD87" s="62" t="e">
        <f t="shared" ca="1" si="29"/>
        <v>#N/A</v>
      </c>
      <c r="AE87" s="62" t="e">
        <f t="shared" ca="1" si="30"/>
        <v>#N/A</v>
      </c>
    </row>
    <row r="88" spans="18:31" x14ac:dyDescent="0.25">
      <c r="R88" s="92" t="str">
        <f ca="1"/>
        <v/>
      </c>
      <c r="S88" s="62" t="str">
        <f t="shared" ca="1" si="25"/>
        <v/>
      </c>
      <c r="T88" s="62" t="e">
        <f t="shared" ca="1" si="19"/>
        <v>#N/A</v>
      </c>
      <c r="U88" s="62" t="e">
        <f t="shared" ca="1" si="20"/>
        <v>#N/A</v>
      </c>
      <c r="V88" s="62" t="e">
        <f t="shared" ca="1" si="21"/>
        <v>#N/A</v>
      </c>
      <c r="W88" s="60" t="e">
        <f t="shared" ca="1" si="22"/>
        <v>#N/A</v>
      </c>
      <c r="X88" s="60" t="e">
        <f t="shared" ca="1" si="26"/>
        <v>#N/A</v>
      </c>
      <c r="Y88" s="60" t="e">
        <f t="shared" ca="1" si="23"/>
        <v>#N/A</v>
      </c>
      <c r="Z88" s="60" t="e">
        <f t="shared" ca="1" si="24"/>
        <v>#N/A</v>
      </c>
      <c r="AA88" s="92" t="str">
        <f ca="1"/>
        <v/>
      </c>
      <c r="AB88" s="62" t="str">
        <f t="shared" ca="1" si="27"/>
        <v/>
      </c>
      <c r="AC88" s="62" t="e">
        <f t="shared" ca="1" si="28"/>
        <v>#N/A</v>
      </c>
      <c r="AD88" s="62" t="e">
        <f t="shared" ca="1" si="29"/>
        <v>#N/A</v>
      </c>
      <c r="AE88" s="62" t="e">
        <f t="shared" ca="1" si="30"/>
        <v>#N/A</v>
      </c>
    </row>
    <row r="89" spans="18:31" x14ac:dyDescent="0.25">
      <c r="R89" s="92" t="str">
        <f ca="1"/>
        <v/>
      </c>
      <c r="S89" s="62" t="str">
        <f t="shared" ca="1" si="25"/>
        <v/>
      </c>
      <c r="T89" s="62" t="e">
        <f t="shared" ca="1" si="19"/>
        <v>#N/A</v>
      </c>
      <c r="U89" s="62" t="e">
        <f t="shared" ca="1" si="20"/>
        <v>#N/A</v>
      </c>
      <c r="V89" s="62" t="e">
        <f t="shared" ca="1" si="21"/>
        <v>#N/A</v>
      </c>
      <c r="W89" s="60" t="e">
        <f t="shared" ca="1" si="22"/>
        <v>#N/A</v>
      </c>
      <c r="X89" s="60" t="e">
        <f t="shared" ca="1" si="26"/>
        <v>#N/A</v>
      </c>
      <c r="Y89" s="60" t="e">
        <f t="shared" ca="1" si="23"/>
        <v>#N/A</v>
      </c>
      <c r="Z89" s="60" t="e">
        <f t="shared" ca="1" si="24"/>
        <v>#N/A</v>
      </c>
      <c r="AA89" s="92" t="str">
        <f ca="1"/>
        <v/>
      </c>
      <c r="AB89" s="62" t="str">
        <f t="shared" ca="1" si="27"/>
        <v/>
      </c>
      <c r="AC89" s="62" t="e">
        <f t="shared" ca="1" si="28"/>
        <v>#N/A</v>
      </c>
      <c r="AD89" s="62" t="e">
        <f t="shared" ca="1" si="29"/>
        <v>#N/A</v>
      </c>
      <c r="AE89" s="62" t="e">
        <f t="shared" ca="1" si="30"/>
        <v>#N/A</v>
      </c>
    </row>
    <row r="90" spans="18:31" x14ac:dyDescent="0.25">
      <c r="R90" s="92" t="str">
        <f ca="1"/>
        <v/>
      </c>
      <c r="S90" s="62" t="str">
        <f t="shared" ca="1" si="25"/>
        <v/>
      </c>
      <c r="T90" s="62" t="e">
        <f t="shared" ca="1" si="19"/>
        <v>#N/A</v>
      </c>
      <c r="U90" s="62" t="e">
        <f t="shared" ca="1" si="20"/>
        <v>#N/A</v>
      </c>
      <c r="V90" s="62" t="e">
        <f t="shared" ca="1" si="21"/>
        <v>#N/A</v>
      </c>
      <c r="W90" s="60" t="e">
        <f t="shared" ca="1" si="22"/>
        <v>#N/A</v>
      </c>
      <c r="X90" s="60" t="e">
        <f t="shared" ca="1" si="26"/>
        <v>#N/A</v>
      </c>
      <c r="Y90" s="60" t="e">
        <f t="shared" ca="1" si="23"/>
        <v>#N/A</v>
      </c>
      <c r="Z90" s="60" t="e">
        <f t="shared" ca="1" si="24"/>
        <v>#N/A</v>
      </c>
      <c r="AA90" s="92" t="str">
        <f ca="1"/>
        <v/>
      </c>
      <c r="AB90" s="62" t="str">
        <f t="shared" ca="1" si="27"/>
        <v/>
      </c>
      <c r="AC90" s="62" t="e">
        <f t="shared" ca="1" si="28"/>
        <v>#N/A</v>
      </c>
      <c r="AD90" s="62" t="e">
        <f t="shared" ca="1" si="29"/>
        <v>#N/A</v>
      </c>
      <c r="AE90" s="62" t="e">
        <f t="shared" ca="1" si="30"/>
        <v>#N/A</v>
      </c>
    </row>
    <row r="91" spans="18:31" x14ac:dyDescent="0.25">
      <c r="R91" s="92" t="str">
        <f ca="1"/>
        <v/>
      </c>
      <c r="S91" s="62" t="str">
        <f t="shared" ca="1" si="25"/>
        <v/>
      </c>
      <c r="T91" s="62" t="e">
        <f t="shared" ca="1" si="19"/>
        <v>#N/A</v>
      </c>
      <c r="U91" s="62" t="e">
        <f t="shared" ca="1" si="20"/>
        <v>#N/A</v>
      </c>
      <c r="V91" s="62" t="e">
        <f t="shared" ca="1" si="21"/>
        <v>#N/A</v>
      </c>
      <c r="W91" s="60" t="e">
        <f t="shared" ca="1" si="22"/>
        <v>#N/A</v>
      </c>
      <c r="X91" s="60" t="e">
        <f t="shared" ca="1" si="26"/>
        <v>#N/A</v>
      </c>
      <c r="Y91" s="60" t="e">
        <f t="shared" ca="1" si="23"/>
        <v>#N/A</v>
      </c>
      <c r="Z91" s="60" t="e">
        <f t="shared" ca="1" si="24"/>
        <v>#N/A</v>
      </c>
      <c r="AA91" s="92" t="str">
        <f ca="1"/>
        <v/>
      </c>
      <c r="AB91" s="62" t="str">
        <f t="shared" ca="1" si="27"/>
        <v/>
      </c>
      <c r="AC91" s="62" t="e">
        <f t="shared" ca="1" si="28"/>
        <v>#N/A</v>
      </c>
      <c r="AD91" s="62" t="e">
        <f t="shared" ca="1" si="29"/>
        <v>#N/A</v>
      </c>
      <c r="AE91" s="62" t="e">
        <f t="shared" ca="1" si="30"/>
        <v>#N/A</v>
      </c>
    </row>
    <row r="92" spans="18:31" x14ac:dyDescent="0.25">
      <c r="R92" s="92" t="str">
        <f ca="1"/>
        <v/>
      </c>
      <c r="S92" s="62" t="str">
        <f t="shared" ca="1" si="25"/>
        <v/>
      </c>
      <c r="T92" s="62" t="e">
        <f t="shared" ca="1" si="19"/>
        <v>#N/A</v>
      </c>
      <c r="U92" s="62" t="e">
        <f t="shared" ca="1" si="20"/>
        <v>#N/A</v>
      </c>
      <c r="V92" s="62" t="e">
        <f t="shared" ca="1" si="21"/>
        <v>#N/A</v>
      </c>
      <c r="W92" s="60" t="e">
        <f t="shared" ca="1" si="22"/>
        <v>#N/A</v>
      </c>
      <c r="X92" s="60" t="e">
        <f t="shared" ca="1" si="26"/>
        <v>#N/A</v>
      </c>
      <c r="Y92" s="60" t="e">
        <f t="shared" ca="1" si="23"/>
        <v>#N/A</v>
      </c>
      <c r="Z92" s="60" t="e">
        <f t="shared" ca="1" si="24"/>
        <v>#N/A</v>
      </c>
      <c r="AA92" s="92" t="str">
        <f ca="1"/>
        <v/>
      </c>
      <c r="AB92" s="62" t="str">
        <f t="shared" ca="1" si="27"/>
        <v/>
      </c>
      <c r="AC92" s="62" t="e">
        <f t="shared" ca="1" si="28"/>
        <v>#N/A</v>
      </c>
      <c r="AD92" s="62" t="e">
        <f t="shared" ca="1" si="29"/>
        <v>#N/A</v>
      </c>
      <c r="AE92" s="62" t="e">
        <f t="shared" ca="1" si="30"/>
        <v>#N/A</v>
      </c>
    </row>
    <row r="93" spans="18:31" x14ac:dyDescent="0.25">
      <c r="R93" s="92" t="str">
        <f ca="1"/>
        <v/>
      </c>
      <c r="S93" s="62" t="str">
        <f t="shared" ca="1" si="25"/>
        <v/>
      </c>
      <c r="T93" s="62" t="e">
        <f t="shared" ca="1" si="19"/>
        <v>#N/A</v>
      </c>
      <c r="U93" s="62" t="e">
        <f t="shared" ca="1" si="20"/>
        <v>#N/A</v>
      </c>
      <c r="V93" s="62" t="e">
        <f t="shared" ca="1" si="21"/>
        <v>#N/A</v>
      </c>
      <c r="W93" s="60" t="e">
        <f t="shared" ca="1" si="22"/>
        <v>#N/A</v>
      </c>
      <c r="X93" s="60" t="e">
        <f t="shared" ca="1" si="26"/>
        <v>#N/A</v>
      </c>
      <c r="Y93" s="60" t="e">
        <f t="shared" ca="1" si="23"/>
        <v>#N/A</v>
      </c>
      <c r="Z93" s="60" t="e">
        <f t="shared" ca="1" si="24"/>
        <v>#N/A</v>
      </c>
      <c r="AA93" s="92" t="str">
        <f ca="1"/>
        <v/>
      </c>
      <c r="AB93" s="62" t="str">
        <f t="shared" ca="1" si="27"/>
        <v/>
      </c>
      <c r="AC93" s="62" t="e">
        <f t="shared" ca="1" si="28"/>
        <v>#N/A</v>
      </c>
      <c r="AD93" s="62" t="e">
        <f t="shared" ca="1" si="29"/>
        <v>#N/A</v>
      </c>
      <c r="AE93" s="62" t="e">
        <f t="shared" ca="1" si="30"/>
        <v>#N/A</v>
      </c>
    </row>
    <row r="94" spans="18:31" x14ac:dyDescent="0.25">
      <c r="R94" s="92" t="str">
        <f ca="1"/>
        <v/>
      </c>
      <c r="S94" s="62" t="str">
        <f t="shared" ca="1" si="25"/>
        <v/>
      </c>
      <c r="T94" s="62" t="e">
        <f t="shared" ca="1" si="19"/>
        <v>#N/A</v>
      </c>
      <c r="U94" s="62" t="e">
        <f t="shared" ca="1" si="20"/>
        <v>#N/A</v>
      </c>
      <c r="V94" s="62" t="e">
        <f t="shared" ca="1" si="21"/>
        <v>#N/A</v>
      </c>
      <c r="W94" s="60" t="e">
        <f t="shared" ca="1" si="22"/>
        <v>#N/A</v>
      </c>
      <c r="X94" s="60" t="e">
        <f t="shared" ca="1" si="26"/>
        <v>#N/A</v>
      </c>
      <c r="Y94" s="60" t="e">
        <f t="shared" ca="1" si="23"/>
        <v>#N/A</v>
      </c>
      <c r="Z94" s="60" t="e">
        <f t="shared" ca="1" si="24"/>
        <v>#N/A</v>
      </c>
      <c r="AA94" s="92" t="str">
        <f ca="1"/>
        <v/>
      </c>
      <c r="AB94" s="62" t="str">
        <f t="shared" ca="1" si="27"/>
        <v/>
      </c>
      <c r="AC94" s="62" t="e">
        <f t="shared" ca="1" si="28"/>
        <v>#N/A</v>
      </c>
      <c r="AD94" s="62" t="e">
        <f t="shared" ca="1" si="29"/>
        <v>#N/A</v>
      </c>
      <c r="AE94" s="62" t="e">
        <f t="shared" ca="1" si="30"/>
        <v>#N/A</v>
      </c>
    </row>
    <row r="95" spans="18:31" x14ac:dyDescent="0.25">
      <c r="R95" s="92" t="str">
        <f ca="1"/>
        <v/>
      </c>
      <c r="S95" s="62" t="str">
        <f t="shared" ca="1" si="25"/>
        <v/>
      </c>
      <c r="T95" s="62" t="e">
        <f t="shared" ca="1" si="19"/>
        <v>#N/A</v>
      </c>
      <c r="U95" s="62" t="e">
        <f t="shared" ca="1" si="20"/>
        <v>#N/A</v>
      </c>
      <c r="V95" s="62" t="e">
        <f t="shared" ca="1" si="21"/>
        <v>#N/A</v>
      </c>
      <c r="W95" s="60" t="e">
        <f t="shared" ca="1" si="22"/>
        <v>#N/A</v>
      </c>
      <c r="X95" s="60" t="e">
        <f t="shared" ca="1" si="26"/>
        <v>#N/A</v>
      </c>
      <c r="Y95" s="60" t="e">
        <f t="shared" ca="1" si="23"/>
        <v>#N/A</v>
      </c>
      <c r="Z95" s="60" t="e">
        <f t="shared" ca="1" si="24"/>
        <v>#N/A</v>
      </c>
      <c r="AA95" s="92" t="str">
        <f ca="1"/>
        <v/>
      </c>
      <c r="AB95" s="62" t="str">
        <f t="shared" ca="1" si="27"/>
        <v/>
      </c>
      <c r="AC95" s="62" t="e">
        <f t="shared" ca="1" si="28"/>
        <v>#N/A</v>
      </c>
      <c r="AD95" s="62" t="e">
        <f t="shared" ca="1" si="29"/>
        <v>#N/A</v>
      </c>
      <c r="AE95" s="62" t="e">
        <f t="shared" ca="1" si="30"/>
        <v>#N/A</v>
      </c>
    </row>
    <row r="96" spans="18:31" x14ac:dyDescent="0.25">
      <c r="R96" s="92" t="str">
        <f ca="1"/>
        <v/>
      </c>
      <c r="S96" s="62" t="str">
        <f t="shared" ca="1" si="25"/>
        <v/>
      </c>
      <c r="T96" s="62" t="e">
        <f t="shared" ca="1" si="19"/>
        <v>#N/A</v>
      </c>
      <c r="U96" s="62" t="e">
        <f t="shared" ca="1" si="20"/>
        <v>#N/A</v>
      </c>
      <c r="V96" s="62" t="e">
        <f t="shared" ca="1" si="21"/>
        <v>#N/A</v>
      </c>
      <c r="W96" s="60" t="e">
        <f t="shared" ca="1" si="22"/>
        <v>#N/A</v>
      </c>
      <c r="X96" s="60" t="e">
        <f t="shared" ca="1" si="26"/>
        <v>#N/A</v>
      </c>
      <c r="Y96" s="60" t="e">
        <f t="shared" ca="1" si="23"/>
        <v>#N/A</v>
      </c>
      <c r="Z96" s="60" t="e">
        <f t="shared" ca="1" si="24"/>
        <v>#N/A</v>
      </c>
      <c r="AA96" s="92" t="str">
        <f ca="1"/>
        <v/>
      </c>
      <c r="AB96" s="62" t="str">
        <f t="shared" ca="1" si="27"/>
        <v/>
      </c>
      <c r="AC96" s="62" t="e">
        <f t="shared" ca="1" si="28"/>
        <v>#N/A</v>
      </c>
      <c r="AD96" s="62" t="e">
        <f t="shared" ca="1" si="29"/>
        <v>#N/A</v>
      </c>
      <c r="AE96" s="62" t="e">
        <f t="shared" ca="1" si="30"/>
        <v>#N/A</v>
      </c>
    </row>
    <row r="97" spans="18:31" x14ac:dyDescent="0.25">
      <c r="R97" s="92" t="str">
        <f ca="1"/>
        <v/>
      </c>
      <c r="S97" s="62" t="str">
        <f t="shared" ca="1" si="25"/>
        <v/>
      </c>
      <c r="T97" s="62" t="e">
        <f t="shared" ca="1" si="19"/>
        <v>#N/A</v>
      </c>
      <c r="U97" s="62" t="e">
        <f t="shared" ca="1" si="20"/>
        <v>#N/A</v>
      </c>
      <c r="V97" s="62" t="e">
        <f t="shared" ca="1" si="21"/>
        <v>#N/A</v>
      </c>
      <c r="W97" s="60" t="e">
        <f t="shared" ca="1" si="22"/>
        <v>#N/A</v>
      </c>
      <c r="X97" s="60" t="e">
        <f t="shared" ca="1" si="26"/>
        <v>#N/A</v>
      </c>
      <c r="Y97" s="60" t="e">
        <f t="shared" ca="1" si="23"/>
        <v>#N/A</v>
      </c>
      <c r="Z97" s="60" t="e">
        <f t="shared" ca="1" si="24"/>
        <v>#N/A</v>
      </c>
      <c r="AA97" s="92" t="str">
        <f ca="1"/>
        <v/>
      </c>
      <c r="AB97" s="62" t="str">
        <f t="shared" ca="1" si="27"/>
        <v/>
      </c>
      <c r="AC97" s="62" t="e">
        <f t="shared" ca="1" si="28"/>
        <v>#N/A</v>
      </c>
      <c r="AD97" s="62" t="e">
        <f t="shared" ca="1" si="29"/>
        <v>#N/A</v>
      </c>
      <c r="AE97" s="62" t="e">
        <f t="shared" ca="1" si="30"/>
        <v>#N/A</v>
      </c>
    </row>
    <row r="98" spans="18:31" x14ac:dyDescent="0.25">
      <c r="R98" s="92" t="str">
        <f ca="1"/>
        <v/>
      </c>
      <c r="S98" s="62" t="str">
        <f t="shared" ca="1" si="25"/>
        <v/>
      </c>
      <c r="T98" s="62" t="e">
        <f t="shared" ca="1" si="19"/>
        <v>#N/A</v>
      </c>
      <c r="U98" s="62" t="e">
        <f t="shared" ca="1" si="20"/>
        <v>#N/A</v>
      </c>
      <c r="V98" s="62" t="e">
        <f t="shared" ca="1" si="21"/>
        <v>#N/A</v>
      </c>
      <c r="W98" s="60" t="e">
        <f t="shared" ca="1" si="22"/>
        <v>#N/A</v>
      </c>
      <c r="X98" s="60" t="e">
        <f t="shared" ca="1" si="26"/>
        <v>#N/A</v>
      </c>
      <c r="Y98" s="60" t="e">
        <f t="shared" ca="1" si="23"/>
        <v>#N/A</v>
      </c>
      <c r="Z98" s="60" t="e">
        <f t="shared" ca="1" si="24"/>
        <v>#N/A</v>
      </c>
      <c r="AA98" s="92" t="str">
        <f ca="1"/>
        <v/>
      </c>
      <c r="AB98" s="62" t="str">
        <f t="shared" ca="1" si="27"/>
        <v/>
      </c>
      <c r="AC98" s="62" t="e">
        <f t="shared" ca="1" si="28"/>
        <v>#N/A</v>
      </c>
      <c r="AD98" s="62" t="e">
        <f t="shared" ca="1" si="29"/>
        <v>#N/A</v>
      </c>
      <c r="AE98" s="62" t="e">
        <f t="shared" ca="1" si="30"/>
        <v>#N/A</v>
      </c>
    </row>
    <row r="99" spans="18:31" x14ac:dyDescent="0.25">
      <c r="R99" s="92" t="str">
        <f ca="1"/>
        <v/>
      </c>
      <c r="S99" s="62" t="str">
        <f t="shared" ca="1" si="25"/>
        <v/>
      </c>
      <c r="T99" s="62" t="e">
        <f t="shared" ca="1" si="19"/>
        <v>#N/A</v>
      </c>
      <c r="U99" s="62" t="e">
        <f t="shared" ca="1" si="20"/>
        <v>#N/A</v>
      </c>
      <c r="V99" s="62" t="e">
        <f t="shared" ca="1" si="21"/>
        <v>#N/A</v>
      </c>
      <c r="W99" s="60" t="e">
        <f t="shared" ca="1" si="22"/>
        <v>#N/A</v>
      </c>
      <c r="X99" s="60" t="e">
        <f t="shared" ca="1" si="26"/>
        <v>#N/A</v>
      </c>
      <c r="Y99" s="60" t="e">
        <f t="shared" ca="1" si="23"/>
        <v>#N/A</v>
      </c>
      <c r="Z99" s="60" t="e">
        <f t="shared" ca="1" si="24"/>
        <v>#N/A</v>
      </c>
      <c r="AA99" s="92" t="str">
        <f ca="1"/>
        <v/>
      </c>
      <c r="AB99" s="62" t="str">
        <f t="shared" ca="1" si="27"/>
        <v/>
      </c>
      <c r="AC99" s="62" t="e">
        <f t="shared" ca="1" si="28"/>
        <v>#N/A</v>
      </c>
      <c r="AD99" s="62" t="e">
        <f t="shared" ca="1" si="29"/>
        <v>#N/A</v>
      </c>
      <c r="AE99" s="62" t="e">
        <f t="shared" ca="1" si="30"/>
        <v>#N/A</v>
      </c>
    </row>
    <row r="100" spans="18:31" x14ac:dyDescent="0.25">
      <c r="R100" s="92" t="str">
        <f ca="1"/>
        <v/>
      </c>
      <c r="S100" s="62" t="str">
        <f t="shared" ca="1" si="25"/>
        <v/>
      </c>
      <c r="T100" s="62" t="e">
        <f t="shared" ca="1" si="19"/>
        <v>#N/A</v>
      </c>
      <c r="U100" s="62" t="e">
        <f t="shared" ca="1" si="20"/>
        <v>#N/A</v>
      </c>
      <c r="V100" s="62" t="e">
        <f t="shared" ca="1" si="21"/>
        <v>#N/A</v>
      </c>
      <c r="W100" s="60" t="e">
        <f t="shared" ca="1" si="22"/>
        <v>#N/A</v>
      </c>
      <c r="X100" s="60" t="e">
        <f t="shared" ca="1" si="26"/>
        <v>#N/A</v>
      </c>
      <c r="Y100" s="60" t="e">
        <f t="shared" ca="1" si="23"/>
        <v>#N/A</v>
      </c>
      <c r="Z100" s="60" t="e">
        <f t="shared" ca="1" si="24"/>
        <v>#N/A</v>
      </c>
      <c r="AA100" s="92" t="str">
        <f ca="1"/>
        <v/>
      </c>
      <c r="AB100" s="62" t="str">
        <f t="shared" ca="1" si="27"/>
        <v/>
      </c>
      <c r="AC100" s="62" t="e">
        <f t="shared" ca="1" si="28"/>
        <v>#N/A</v>
      </c>
      <c r="AD100" s="62" t="e">
        <f t="shared" ca="1" si="29"/>
        <v>#N/A</v>
      </c>
      <c r="AE100" s="62" t="e">
        <f t="shared" ca="1" si="30"/>
        <v>#N/A</v>
      </c>
    </row>
    <row r="101" spans="18:31" x14ac:dyDescent="0.25">
      <c r="R101" s="92" t="str">
        <f ca="1"/>
        <v/>
      </c>
      <c r="S101" s="62" t="str">
        <f t="shared" ca="1" si="25"/>
        <v/>
      </c>
      <c r="T101" s="62" t="e">
        <f t="shared" ca="1" si="19"/>
        <v>#N/A</v>
      </c>
      <c r="U101" s="62" t="e">
        <f t="shared" ca="1" si="20"/>
        <v>#N/A</v>
      </c>
      <c r="V101" s="62" t="e">
        <f t="shared" ca="1" si="21"/>
        <v>#N/A</v>
      </c>
      <c r="W101" s="60" t="e">
        <f t="shared" ca="1" si="22"/>
        <v>#N/A</v>
      </c>
      <c r="X101" s="60" t="e">
        <f t="shared" ca="1" si="26"/>
        <v>#N/A</v>
      </c>
      <c r="Y101" s="60" t="e">
        <f t="shared" ca="1" si="23"/>
        <v>#N/A</v>
      </c>
      <c r="Z101" s="60" t="e">
        <f t="shared" ca="1" si="24"/>
        <v>#N/A</v>
      </c>
      <c r="AA101" s="92" t="str">
        <f ca="1"/>
        <v/>
      </c>
      <c r="AB101" s="62" t="str">
        <f t="shared" ca="1" si="27"/>
        <v/>
      </c>
      <c r="AC101" s="62" t="e">
        <f t="shared" ca="1" si="28"/>
        <v>#N/A</v>
      </c>
      <c r="AD101" s="62" t="e">
        <f t="shared" ca="1" si="29"/>
        <v>#N/A</v>
      </c>
      <c r="AE101" s="62" t="e">
        <f t="shared" ca="1" si="30"/>
        <v>#N/A</v>
      </c>
    </row>
    <row r="102" spans="18:31" x14ac:dyDescent="0.25">
      <c r="R102" s="92" t="str">
        <f ca="1"/>
        <v/>
      </c>
      <c r="S102" s="62" t="str">
        <f t="shared" ca="1" si="25"/>
        <v/>
      </c>
      <c r="T102" s="62" t="e">
        <f t="shared" ca="1" si="19"/>
        <v>#N/A</v>
      </c>
      <c r="U102" s="62" t="e">
        <f t="shared" ca="1" si="20"/>
        <v>#N/A</v>
      </c>
      <c r="V102" s="62" t="e">
        <f t="shared" ca="1" si="21"/>
        <v>#N/A</v>
      </c>
      <c r="W102" s="60" t="e">
        <f t="shared" ca="1" si="22"/>
        <v>#N/A</v>
      </c>
      <c r="X102" s="60" t="e">
        <f t="shared" ca="1" si="26"/>
        <v>#N/A</v>
      </c>
      <c r="Y102" s="60" t="e">
        <f t="shared" ca="1" si="23"/>
        <v>#N/A</v>
      </c>
      <c r="Z102" s="60" t="e">
        <f t="shared" ca="1" si="24"/>
        <v>#N/A</v>
      </c>
      <c r="AA102" s="92" t="str">
        <f ca="1"/>
        <v/>
      </c>
      <c r="AB102" s="62" t="str">
        <f t="shared" ca="1" si="27"/>
        <v/>
      </c>
      <c r="AC102" s="62" t="e">
        <f t="shared" ca="1" si="28"/>
        <v>#N/A</v>
      </c>
      <c r="AD102" s="62" t="e">
        <f t="shared" ca="1" si="29"/>
        <v>#N/A</v>
      </c>
      <c r="AE102" s="62" t="e">
        <f t="shared" ca="1" si="30"/>
        <v>#N/A</v>
      </c>
    </row>
    <row r="103" spans="18:31" x14ac:dyDescent="0.25">
      <c r="R103" s="92" t="str">
        <f ca="1"/>
        <v/>
      </c>
      <c r="S103" s="62" t="str">
        <f t="shared" ca="1" si="25"/>
        <v/>
      </c>
      <c r="T103" s="62" t="e">
        <f t="shared" ca="1" si="19"/>
        <v>#N/A</v>
      </c>
      <c r="U103" s="62" t="e">
        <f t="shared" ca="1" si="20"/>
        <v>#N/A</v>
      </c>
      <c r="V103" s="62" t="e">
        <f t="shared" ca="1" si="21"/>
        <v>#N/A</v>
      </c>
      <c r="W103" s="60" t="e">
        <f t="shared" ca="1" si="22"/>
        <v>#N/A</v>
      </c>
      <c r="X103" s="60" t="e">
        <f t="shared" ca="1" si="26"/>
        <v>#N/A</v>
      </c>
      <c r="Y103" s="60" t="e">
        <f t="shared" ca="1" si="23"/>
        <v>#N/A</v>
      </c>
      <c r="Z103" s="60" t="e">
        <f t="shared" ca="1" si="24"/>
        <v>#N/A</v>
      </c>
      <c r="AA103" s="92" t="str">
        <f ca="1"/>
        <v/>
      </c>
      <c r="AB103" s="62" t="str">
        <f t="shared" ca="1" si="27"/>
        <v/>
      </c>
      <c r="AC103" s="62" t="e">
        <f t="shared" ca="1" si="28"/>
        <v>#N/A</v>
      </c>
      <c r="AD103" s="62" t="e">
        <f t="shared" ca="1" si="29"/>
        <v>#N/A</v>
      </c>
      <c r="AE103" s="62" t="e">
        <f t="shared" ca="1" si="30"/>
        <v>#N/A</v>
      </c>
    </row>
    <row r="104" spans="18:31" x14ac:dyDescent="0.25">
      <c r="R104" s="92" t="str">
        <f ca="1"/>
        <v/>
      </c>
      <c r="S104" s="62" t="str">
        <f t="shared" ca="1" si="25"/>
        <v/>
      </c>
      <c r="T104" s="62" t="e">
        <f t="shared" ca="1" si="19"/>
        <v>#N/A</v>
      </c>
      <c r="U104" s="62" t="e">
        <f t="shared" ca="1" si="20"/>
        <v>#N/A</v>
      </c>
      <c r="V104" s="62" t="e">
        <f t="shared" ca="1" si="21"/>
        <v>#N/A</v>
      </c>
      <c r="W104" s="60" t="e">
        <f t="shared" ca="1" si="22"/>
        <v>#N/A</v>
      </c>
      <c r="X104" s="60" t="e">
        <f t="shared" ca="1" si="26"/>
        <v>#N/A</v>
      </c>
      <c r="Y104" s="60" t="e">
        <f t="shared" ca="1" si="23"/>
        <v>#N/A</v>
      </c>
      <c r="Z104" s="60" t="e">
        <f t="shared" ca="1" si="24"/>
        <v>#N/A</v>
      </c>
      <c r="AA104" s="92" t="str">
        <f ca="1"/>
        <v/>
      </c>
      <c r="AB104" s="62" t="str">
        <f t="shared" ca="1" si="27"/>
        <v/>
      </c>
      <c r="AC104" s="62" t="e">
        <f t="shared" ca="1" si="28"/>
        <v>#N/A</v>
      </c>
      <c r="AD104" s="62" t="e">
        <f t="shared" ca="1" si="29"/>
        <v>#N/A</v>
      </c>
      <c r="AE104" s="62" t="e">
        <f t="shared" ca="1" si="30"/>
        <v>#N/A</v>
      </c>
    </row>
    <row r="105" spans="18:31" x14ac:dyDescent="0.25">
      <c r="R105" s="92" t="str">
        <f ca="1"/>
        <v/>
      </c>
      <c r="S105" s="62" t="str">
        <f t="shared" ca="1" si="25"/>
        <v/>
      </c>
      <c r="T105" s="62" t="e">
        <f t="shared" ca="1" si="19"/>
        <v>#N/A</v>
      </c>
      <c r="U105" s="62" t="e">
        <f t="shared" ca="1" si="20"/>
        <v>#N/A</v>
      </c>
      <c r="V105" s="62" t="e">
        <f t="shared" ca="1" si="21"/>
        <v>#N/A</v>
      </c>
      <c r="W105" s="60" t="e">
        <f t="shared" ca="1" si="22"/>
        <v>#N/A</v>
      </c>
      <c r="X105" s="60" t="e">
        <f t="shared" ca="1" si="26"/>
        <v>#N/A</v>
      </c>
      <c r="Y105" s="60" t="e">
        <f t="shared" ca="1" si="23"/>
        <v>#N/A</v>
      </c>
      <c r="Z105" s="60" t="e">
        <f t="shared" ca="1" si="24"/>
        <v>#N/A</v>
      </c>
      <c r="AA105" s="92" t="str">
        <f ca="1"/>
        <v/>
      </c>
      <c r="AB105" s="62" t="str">
        <f t="shared" ca="1" si="27"/>
        <v/>
      </c>
      <c r="AC105" s="62" t="e">
        <f t="shared" ca="1" si="28"/>
        <v>#N/A</v>
      </c>
      <c r="AD105" s="62" t="e">
        <f t="shared" ca="1" si="29"/>
        <v>#N/A</v>
      </c>
      <c r="AE105" s="62" t="e">
        <f t="shared" ca="1" si="30"/>
        <v>#N/A</v>
      </c>
    </row>
    <row r="106" spans="18:31" x14ac:dyDescent="0.25">
      <c r="R106" s="92" t="str">
        <f ca="1"/>
        <v/>
      </c>
      <c r="S106" s="62" t="str">
        <f t="shared" ca="1" si="25"/>
        <v/>
      </c>
      <c r="T106" s="62" t="e">
        <f t="shared" ca="1" si="19"/>
        <v>#N/A</v>
      </c>
      <c r="U106" s="62" t="e">
        <f t="shared" ca="1" si="20"/>
        <v>#N/A</v>
      </c>
      <c r="V106" s="62" t="e">
        <f t="shared" ca="1" si="21"/>
        <v>#N/A</v>
      </c>
      <c r="W106" s="60" t="e">
        <f t="shared" ca="1" si="22"/>
        <v>#N/A</v>
      </c>
      <c r="X106" s="60" t="e">
        <f t="shared" ca="1" si="26"/>
        <v>#N/A</v>
      </c>
      <c r="Y106" s="60" t="e">
        <f t="shared" ca="1" si="23"/>
        <v>#N/A</v>
      </c>
      <c r="Z106" s="60" t="e">
        <f t="shared" ca="1" si="24"/>
        <v>#N/A</v>
      </c>
      <c r="AA106" s="92" t="str">
        <f ca="1"/>
        <v/>
      </c>
      <c r="AB106" s="62" t="str">
        <f t="shared" ca="1" si="27"/>
        <v/>
      </c>
      <c r="AC106" s="62" t="e">
        <f t="shared" ca="1" si="28"/>
        <v>#N/A</v>
      </c>
      <c r="AD106" s="62" t="e">
        <f t="shared" ca="1" si="29"/>
        <v>#N/A</v>
      </c>
      <c r="AE106" s="62" t="e">
        <f t="shared" ca="1" si="30"/>
        <v>#N/A</v>
      </c>
    </row>
    <row r="107" spans="18:31" x14ac:dyDescent="0.25">
      <c r="R107" s="92" t="str">
        <f ca="1"/>
        <v/>
      </c>
      <c r="S107" s="62" t="str">
        <f t="shared" ca="1" si="25"/>
        <v/>
      </c>
      <c r="T107" s="62" t="e">
        <f t="shared" ca="1" si="19"/>
        <v>#N/A</v>
      </c>
      <c r="U107" s="62" t="e">
        <f t="shared" ca="1" si="20"/>
        <v>#N/A</v>
      </c>
      <c r="V107" s="62" t="e">
        <f t="shared" ca="1" si="21"/>
        <v>#N/A</v>
      </c>
      <c r="W107" s="60" t="e">
        <f t="shared" ca="1" si="22"/>
        <v>#N/A</v>
      </c>
      <c r="X107" s="60" t="e">
        <f t="shared" ca="1" si="26"/>
        <v>#N/A</v>
      </c>
      <c r="Y107" s="60" t="e">
        <f t="shared" ca="1" si="23"/>
        <v>#N/A</v>
      </c>
      <c r="Z107" s="60" t="e">
        <f t="shared" ca="1" si="24"/>
        <v>#N/A</v>
      </c>
      <c r="AA107" s="92" t="str">
        <f ca="1"/>
        <v/>
      </c>
      <c r="AB107" s="62" t="str">
        <f t="shared" ca="1" si="27"/>
        <v/>
      </c>
      <c r="AC107" s="62" t="e">
        <f t="shared" ca="1" si="28"/>
        <v>#N/A</v>
      </c>
      <c r="AD107" s="62" t="e">
        <f t="shared" ca="1" si="29"/>
        <v>#N/A</v>
      </c>
      <c r="AE107" s="62" t="e">
        <f t="shared" ca="1" si="30"/>
        <v>#N/A</v>
      </c>
    </row>
    <row r="108" spans="18:31" x14ac:dyDescent="0.25">
      <c r="R108" s="92" t="str">
        <f ca="1"/>
        <v/>
      </c>
      <c r="S108" s="62" t="str">
        <f t="shared" ca="1" si="25"/>
        <v/>
      </c>
      <c r="T108" s="62" t="e">
        <f t="shared" ca="1" si="19"/>
        <v>#N/A</v>
      </c>
      <c r="U108" s="62" t="e">
        <f t="shared" ca="1" si="20"/>
        <v>#N/A</v>
      </c>
      <c r="V108" s="62" t="e">
        <f t="shared" ca="1" si="21"/>
        <v>#N/A</v>
      </c>
      <c r="W108" s="60" t="e">
        <f t="shared" ca="1" si="22"/>
        <v>#N/A</v>
      </c>
      <c r="X108" s="60" t="e">
        <f t="shared" ca="1" si="26"/>
        <v>#N/A</v>
      </c>
      <c r="Y108" s="60" t="e">
        <f t="shared" ca="1" si="23"/>
        <v>#N/A</v>
      </c>
      <c r="Z108" s="60" t="e">
        <f t="shared" ca="1" si="24"/>
        <v>#N/A</v>
      </c>
      <c r="AA108" s="92" t="str">
        <f ca="1"/>
        <v/>
      </c>
      <c r="AB108" s="62" t="str">
        <f t="shared" ca="1" si="27"/>
        <v/>
      </c>
      <c r="AC108" s="62" t="e">
        <f t="shared" ca="1" si="28"/>
        <v>#N/A</v>
      </c>
      <c r="AD108" s="62" t="e">
        <f t="shared" ca="1" si="29"/>
        <v>#N/A</v>
      </c>
      <c r="AE108" s="62" t="e">
        <f t="shared" ca="1" si="30"/>
        <v>#N/A</v>
      </c>
    </row>
    <row r="109" spans="18:31" x14ac:dyDescent="0.25">
      <c r="R109" s="92" t="str">
        <f ca="1"/>
        <v/>
      </c>
      <c r="S109" s="62" t="str">
        <f t="shared" ca="1" si="25"/>
        <v/>
      </c>
      <c r="T109" s="62" t="e">
        <f t="shared" ca="1" si="19"/>
        <v>#N/A</v>
      </c>
      <c r="U109" s="62" t="e">
        <f t="shared" ca="1" si="20"/>
        <v>#N/A</v>
      </c>
      <c r="V109" s="62" t="e">
        <f t="shared" ca="1" si="21"/>
        <v>#N/A</v>
      </c>
      <c r="W109" s="60" t="e">
        <f t="shared" ca="1" si="22"/>
        <v>#N/A</v>
      </c>
      <c r="X109" s="60" t="e">
        <f t="shared" ca="1" si="26"/>
        <v>#N/A</v>
      </c>
      <c r="Y109" s="60" t="e">
        <f t="shared" ca="1" si="23"/>
        <v>#N/A</v>
      </c>
      <c r="Z109" s="60" t="e">
        <f t="shared" ca="1" si="24"/>
        <v>#N/A</v>
      </c>
      <c r="AA109" s="92" t="str">
        <f ca="1"/>
        <v/>
      </c>
      <c r="AB109" s="62" t="str">
        <f t="shared" ca="1" si="27"/>
        <v/>
      </c>
      <c r="AC109" s="62" t="e">
        <f t="shared" ca="1" si="28"/>
        <v>#N/A</v>
      </c>
      <c r="AD109" s="62" t="e">
        <f t="shared" ca="1" si="29"/>
        <v>#N/A</v>
      </c>
      <c r="AE109" s="62" t="e">
        <f t="shared" ca="1" si="30"/>
        <v>#N/A</v>
      </c>
    </row>
    <row r="110" spans="18:31" x14ac:dyDescent="0.25">
      <c r="R110" s="92" t="str">
        <f ca="1"/>
        <v/>
      </c>
      <c r="S110" s="62" t="str">
        <f t="shared" ca="1" si="25"/>
        <v/>
      </c>
      <c r="T110" s="62" t="e">
        <f t="shared" ca="1" si="19"/>
        <v>#N/A</v>
      </c>
      <c r="U110" s="62" t="e">
        <f t="shared" ca="1" si="20"/>
        <v>#N/A</v>
      </c>
      <c r="V110" s="62" t="e">
        <f t="shared" ca="1" si="21"/>
        <v>#N/A</v>
      </c>
      <c r="W110" s="60" t="e">
        <f t="shared" ca="1" si="22"/>
        <v>#N/A</v>
      </c>
      <c r="X110" s="60" t="e">
        <f t="shared" ca="1" si="26"/>
        <v>#N/A</v>
      </c>
      <c r="Y110" s="60" t="e">
        <f t="shared" ca="1" si="23"/>
        <v>#N/A</v>
      </c>
      <c r="Z110" s="60" t="e">
        <f t="shared" ca="1" si="24"/>
        <v>#N/A</v>
      </c>
      <c r="AA110" s="92" t="str">
        <f ca="1"/>
        <v/>
      </c>
      <c r="AB110" s="62" t="str">
        <f t="shared" ca="1" si="27"/>
        <v/>
      </c>
      <c r="AC110" s="62" t="e">
        <f t="shared" ca="1" si="28"/>
        <v>#N/A</v>
      </c>
      <c r="AD110" s="62" t="e">
        <f t="shared" ca="1" si="29"/>
        <v>#N/A</v>
      </c>
      <c r="AE110" s="62" t="e">
        <f t="shared" ca="1" si="30"/>
        <v>#N/A</v>
      </c>
    </row>
    <row r="111" spans="18:31" x14ac:dyDescent="0.25">
      <c r="R111" s="92" t="str">
        <f ca="1"/>
        <v/>
      </c>
      <c r="S111" s="62" t="str">
        <f t="shared" ca="1" si="25"/>
        <v/>
      </c>
      <c r="T111" s="62" t="e">
        <f t="shared" ca="1" si="19"/>
        <v>#N/A</v>
      </c>
      <c r="U111" s="62" t="e">
        <f t="shared" ca="1" si="20"/>
        <v>#N/A</v>
      </c>
      <c r="V111" s="62" t="e">
        <f t="shared" ca="1" si="21"/>
        <v>#N/A</v>
      </c>
      <c r="W111" s="60" t="e">
        <f t="shared" ca="1" si="22"/>
        <v>#N/A</v>
      </c>
      <c r="X111" s="60" t="e">
        <f t="shared" ca="1" si="26"/>
        <v>#N/A</v>
      </c>
      <c r="Y111" s="60" t="e">
        <f t="shared" ca="1" si="23"/>
        <v>#N/A</v>
      </c>
      <c r="Z111" s="60" t="e">
        <f t="shared" ca="1" si="24"/>
        <v>#N/A</v>
      </c>
      <c r="AA111" s="92" t="str">
        <f ca="1"/>
        <v/>
      </c>
      <c r="AB111" s="62" t="str">
        <f t="shared" ca="1" si="27"/>
        <v/>
      </c>
      <c r="AC111" s="62" t="e">
        <f t="shared" ca="1" si="28"/>
        <v>#N/A</v>
      </c>
      <c r="AD111" s="62" t="e">
        <f t="shared" ca="1" si="29"/>
        <v>#N/A</v>
      </c>
      <c r="AE111" s="62" t="e">
        <f t="shared" ca="1" si="30"/>
        <v>#N/A</v>
      </c>
    </row>
    <row r="112" spans="18:31" x14ac:dyDescent="0.25">
      <c r="R112" s="92" t="str">
        <f ca="1"/>
        <v/>
      </c>
      <c r="S112" s="62" t="str">
        <f t="shared" ca="1" si="25"/>
        <v/>
      </c>
      <c r="T112" s="62" t="e">
        <f t="shared" ca="1" si="19"/>
        <v>#N/A</v>
      </c>
      <c r="U112" s="62" t="e">
        <f t="shared" ca="1" si="20"/>
        <v>#N/A</v>
      </c>
      <c r="V112" s="62" t="e">
        <f t="shared" ca="1" si="21"/>
        <v>#N/A</v>
      </c>
      <c r="W112" s="60" t="e">
        <f t="shared" ca="1" si="22"/>
        <v>#N/A</v>
      </c>
      <c r="X112" s="60" t="e">
        <f t="shared" ca="1" si="26"/>
        <v>#N/A</v>
      </c>
      <c r="Y112" s="60" t="e">
        <f t="shared" ca="1" si="23"/>
        <v>#N/A</v>
      </c>
      <c r="Z112" s="60" t="e">
        <f t="shared" ca="1" si="24"/>
        <v>#N/A</v>
      </c>
      <c r="AA112" s="92" t="str">
        <f ca="1"/>
        <v/>
      </c>
      <c r="AB112" s="62" t="str">
        <f t="shared" ca="1" si="27"/>
        <v/>
      </c>
      <c r="AC112" s="62" t="e">
        <f t="shared" ca="1" si="28"/>
        <v>#N/A</v>
      </c>
      <c r="AD112" s="62" t="e">
        <f t="shared" ca="1" si="29"/>
        <v>#N/A</v>
      </c>
      <c r="AE112" s="62" t="e">
        <f t="shared" ca="1" si="30"/>
        <v>#N/A</v>
      </c>
    </row>
    <row r="113" spans="18:31" x14ac:dyDescent="0.25">
      <c r="R113" s="92" t="str">
        <f ca="1"/>
        <v/>
      </c>
      <c r="S113" s="62" t="str">
        <f t="shared" ca="1" si="25"/>
        <v/>
      </c>
      <c r="T113" s="62" t="e">
        <f t="shared" ca="1" si="19"/>
        <v>#N/A</v>
      </c>
      <c r="U113" s="62" t="e">
        <f t="shared" ca="1" si="20"/>
        <v>#N/A</v>
      </c>
      <c r="V113" s="62" t="e">
        <f t="shared" ca="1" si="21"/>
        <v>#N/A</v>
      </c>
      <c r="W113" s="60" t="e">
        <f t="shared" ca="1" si="22"/>
        <v>#N/A</v>
      </c>
      <c r="X113" s="60" t="e">
        <f t="shared" ca="1" si="26"/>
        <v>#N/A</v>
      </c>
      <c r="Y113" s="60" t="e">
        <f t="shared" ca="1" si="23"/>
        <v>#N/A</v>
      </c>
      <c r="Z113" s="60" t="e">
        <f t="shared" ca="1" si="24"/>
        <v>#N/A</v>
      </c>
      <c r="AA113" s="92" t="str">
        <f ca="1"/>
        <v/>
      </c>
      <c r="AB113" s="62" t="str">
        <f t="shared" ca="1" si="27"/>
        <v/>
      </c>
      <c r="AC113" s="62" t="e">
        <f t="shared" ca="1" si="28"/>
        <v>#N/A</v>
      </c>
      <c r="AD113" s="62" t="e">
        <f t="shared" ca="1" si="29"/>
        <v>#N/A</v>
      </c>
      <c r="AE113" s="62" t="e">
        <f t="shared" ca="1" si="30"/>
        <v>#N/A</v>
      </c>
    </row>
    <row r="114" spans="18:31" x14ac:dyDescent="0.25">
      <c r="R114" s="92" t="str">
        <f ca="1"/>
        <v/>
      </c>
      <c r="S114" s="62" t="str">
        <f t="shared" ca="1" si="25"/>
        <v/>
      </c>
      <c r="T114" s="62" t="e">
        <f t="shared" ca="1" si="19"/>
        <v>#N/A</v>
      </c>
      <c r="U114" s="62" t="e">
        <f t="shared" ca="1" si="20"/>
        <v>#N/A</v>
      </c>
      <c r="V114" s="62" t="e">
        <f t="shared" ca="1" si="21"/>
        <v>#N/A</v>
      </c>
      <c r="W114" s="60" t="e">
        <f t="shared" ca="1" si="22"/>
        <v>#N/A</v>
      </c>
      <c r="X114" s="60" t="e">
        <f t="shared" ca="1" si="26"/>
        <v>#N/A</v>
      </c>
      <c r="Y114" s="60" t="e">
        <f t="shared" ca="1" si="23"/>
        <v>#N/A</v>
      </c>
      <c r="Z114" s="60" t="e">
        <f t="shared" ca="1" si="24"/>
        <v>#N/A</v>
      </c>
      <c r="AA114" s="92" t="str">
        <f ca="1"/>
        <v/>
      </c>
      <c r="AB114" s="62" t="str">
        <f t="shared" ca="1" si="27"/>
        <v/>
      </c>
      <c r="AC114" s="62" t="e">
        <f t="shared" ca="1" si="28"/>
        <v>#N/A</v>
      </c>
      <c r="AD114" s="62" t="e">
        <f t="shared" ca="1" si="29"/>
        <v>#N/A</v>
      </c>
      <c r="AE114" s="62" t="e">
        <f t="shared" ca="1" si="30"/>
        <v>#N/A</v>
      </c>
    </row>
    <row r="115" spans="18:31" x14ac:dyDescent="0.25">
      <c r="R115" s="92" t="str">
        <f ca="1"/>
        <v/>
      </c>
      <c r="S115" s="62" t="str">
        <f t="shared" ca="1" si="25"/>
        <v/>
      </c>
      <c r="T115" s="62" t="e">
        <f t="shared" ca="1" si="19"/>
        <v>#N/A</v>
      </c>
      <c r="U115" s="62" t="e">
        <f t="shared" ca="1" si="20"/>
        <v>#N/A</v>
      </c>
      <c r="V115" s="62" t="e">
        <f t="shared" ca="1" si="21"/>
        <v>#N/A</v>
      </c>
      <c r="W115" s="60" t="e">
        <f t="shared" ca="1" si="22"/>
        <v>#N/A</v>
      </c>
      <c r="X115" s="60" t="e">
        <f t="shared" ca="1" si="26"/>
        <v>#N/A</v>
      </c>
      <c r="Y115" s="60" t="e">
        <f t="shared" ca="1" si="23"/>
        <v>#N/A</v>
      </c>
      <c r="Z115" s="60" t="e">
        <f t="shared" ca="1" si="24"/>
        <v>#N/A</v>
      </c>
      <c r="AA115" s="92" t="str">
        <f ca="1"/>
        <v/>
      </c>
      <c r="AB115" s="62" t="str">
        <f t="shared" ca="1" si="27"/>
        <v/>
      </c>
      <c r="AC115" s="62" t="e">
        <f t="shared" ca="1" si="28"/>
        <v>#N/A</v>
      </c>
      <c r="AD115" s="62" t="e">
        <f t="shared" ca="1" si="29"/>
        <v>#N/A</v>
      </c>
      <c r="AE115" s="62" t="e">
        <f t="shared" ca="1" si="30"/>
        <v>#N/A</v>
      </c>
    </row>
    <row r="116" spans="18:31" x14ac:dyDescent="0.25">
      <c r="R116" s="92" t="str">
        <f ca="1"/>
        <v/>
      </c>
      <c r="S116" s="62" t="str">
        <f t="shared" ca="1" si="25"/>
        <v/>
      </c>
      <c r="T116" s="62" t="e">
        <f t="shared" ca="1" si="19"/>
        <v>#N/A</v>
      </c>
      <c r="U116" s="62" t="e">
        <f t="shared" ca="1" si="20"/>
        <v>#N/A</v>
      </c>
      <c r="V116" s="62" t="e">
        <f t="shared" ca="1" si="21"/>
        <v>#N/A</v>
      </c>
      <c r="W116" s="60" t="e">
        <f t="shared" ca="1" si="22"/>
        <v>#N/A</v>
      </c>
      <c r="X116" s="60" t="e">
        <f t="shared" ca="1" si="26"/>
        <v>#N/A</v>
      </c>
      <c r="Y116" s="60" t="e">
        <f t="shared" ca="1" si="23"/>
        <v>#N/A</v>
      </c>
      <c r="Z116" s="60" t="e">
        <f t="shared" ca="1" si="24"/>
        <v>#N/A</v>
      </c>
      <c r="AA116" s="92" t="str">
        <f ca="1"/>
        <v/>
      </c>
      <c r="AB116" s="62" t="str">
        <f t="shared" ca="1" si="27"/>
        <v/>
      </c>
      <c r="AC116" s="62" t="e">
        <f t="shared" ca="1" si="28"/>
        <v>#N/A</v>
      </c>
      <c r="AD116" s="62" t="e">
        <f t="shared" ca="1" si="29"/>
        <v>#N/A</v>
      </c>
      <c r="AE116" s="62" t="e">
        <f t="shared" ca="1" si="30"/>
        <v>#N/A</v>
      </c>
    </row>
    <row r="117" spans="18:31" x14ac:dyDescent="0.25">
      <c r="R117" s="92" t="str">
        <f ca="1"/>
        <v/>
      </c>
      <c r="S117" s="62" t="str">
        <f t="shared" ca="1" si="25"/>
        <v/>
      </c>
      <c r="T117" s="62" t="e">
        <f t="shared" ca="1" si="19"/>
        <v>#N/A</v>
      </c>
      <c r="U117" s="62" t="e">
        <f t="shared" ca="1" si="20"/>
        <v>#N/A</v>
      </c>
      <c r="V117" s="62" t="e">
        <f t="shared" ca="1" si="21"/>
        <v>#N/A</v>
      </c>
      <c r="W117" s="60" t="e">
        <f t="shared" ca="1" si="22"/>
        <v>#N/A</v>
      </c>
      <c r="X117" s="60" t="e">
        <f t="shared" ca="1" si="26"/>
        <v>#N/A</v>
      </c>
      <c r="Y117" s="60" t="e">
        <f t="shared" ca="1" si="23"/>
        <v>#N/A</v>
      </c>
      <c r="Z117" s="60" t="e">
        <f t="shared" ca="1" si="24"/>
        <v>#N/A</v>
      </c>
      <c r="AA117" s="92" t="str">
        <f ca="1"/>
        <v/>
      </c>
      <c r="AB117" s="62" t="str">
        <f t="shared" ca="1" si="27"/>
        <v/>
      </c>
      <c r="AC117" s="62" t="e">
        <f t="shared" ca="1" si="28"/>
        <v>#N/A</v>
      </c>
      <c r="AD117" s="62" t="e">
        <f t="shared" ca="1" si="29"/>
        <v>#N/A</v>
      </c>
      <c r="AE117" s="62" t="e">
        <f t="shared" ca="1" si="30"/>
        <v>#N/A</v>
      </c>
    </row>
    <row r="118" spans="18:31" x14ac:dyDescent="0.25">
      <c r="R118" s="92" t="str">
        <f ca="1"/>
        <v/>
      </c>
      <c r="S118" s="62" t="str">
        <f t="shared" ca="1" si="25"/>
        <v/>
      </c>
      <c r="T118" s="62" t="e">
        <f t="shared" ca="1" si="19"/>
        <v>#N/A</v>
      </c>
      <c r="U118" s="62" t="e">
        <f t="shared" ca="1" si="20"/>
        <v>#N/A</v>
      </c>
      <c r="V118" s="62" t="e">
        <f t="shared" ca="1" si="21"/>
        <v>#N/A</v>
      </c>
      <c r="W118" s="60" t="e">
        <f t="shared" ca="1" si="22"/>
        <v>#N/A</v>
      </c>
      <c r="X118" s="60" t="e">
        <f t="shared" ca="1" si="26"/>
        <v>#N/A</v>
      </c>
      <c r="Y118" s="60" t="e">
        <f t="shared" ca="1" si="23"/>
        <v>#N/A</v>
      </c>
      <c r="Z118" s="60" t="e">
        <f t="shared" ca="1" si="24"/>
        <v>#N/A</v>
      </c>
      <c r="AA118" s="92" t="str">
        <f ca="1"/>
        <v/>
      </c>
      <c r="AB118" s="62" t="str">
        <f t="shared" ca="1" si="27"/>
        <v/>
      </c>
      <c r="AC118" s="62" t="e">
        <f t="shared" ca="1" si="28"/>
        <v>#N/A</v>
      </c>
      <c r="AD118" s="62" t="e">
        <f t="shared" ca="1" si="29"/>
        <v>#N/A</v>
      </c>
      <c r="AE118" s="62" t="e">
        <f t="shared" ca="1" si="30"/>
        <v>#N/A</v>
      </c>
    </row>
    <row r="119" spans="18:31" x14ac:dyDescent="0.25">
      <c r="R119" s="92" t="str">
        <f ca="1"/>
        <v/>
      </c>
      <c r="S119" s="62" t="str">
        <f t="shared" ca="1" si="25"/>
        <v/>
      </c>
      <c r="T119" s="62" t="e">
        <f t="shared" ca="1" si="19"/>
        <v>#N/A</v>
      </c>
      <c r="U119" s="62" t="e">
        <f t="shared" ca="1" si="20"/>
        <v>#N/A</v>
      </c>
      <c r="V119" s="62" t="e">
        <f t="shared" ca="1" si="21"/>
        <v>#N/A</v>
      </c>
      <c r="W119" s="60" t="e">
        <f t="shared" ca="1" si="22"/>
        <v>#N/A</v>
      </c>
      <c r="X119" s="60" t="e">
        <f t="shared" ca="1" si="26"/>
        <v>#N/A</v>
      </c>
      <c r="Y119" s="60" t="e">
        <f t="shared" ca="1" si="23"/>
        <v>#N/A</v>
      </c>
      <c r="Z119" s="60" t="e">
        <f t="shared" ca="1" si="24"/>
        <v>#N/A</v>
      </c>
      <c r="AA119" s="92" t="str">
        <f ca="1"/>
        <v/>
      </c>
      <c r="AB119" s="62" t="str">
        <f t="shared" ca="1" si="27"/>
        <v/>
      </c>
      <c r="AC119" s="62" t="e">
        <f t="shared" ca="1" si="28"/>
        <v>#N/A</v>
      </c>
      <c r="AD119" s="62" t="e">
        <f t="shared" ca="1" si="29"/>
        <v>#N/A</v>
      </c>
      <c r="AE119" s="62" t="e">
        <f t="shared" ca="1" si="30"/>
        <v>#N/A</v>
      </c>
    </row>
    <row r="120" spans="18:31" x14ac:dyDescent="0.25">
      <c r="R120" s="92" t="str">
        <f ca="1"/>
        <v/>
      </c>
      <c r="S120" s="62" t="str">
        <f t="shared" ca="1" si="25"/>
        <v/>
      </c>
      <c r="T120" s="62" t="e">
        <f t="shared" ca="1" si="19"/>
        <v>#N/A</v>
      </c>
      <c r="U120" s="62" t="e">
        <f t="shared" ca="1" si="20"/>
        <v>#N/A</v>
      </c>
      <c r="V120" s="62" t="e">
        <f t="shared" ca="1" si="21"/>
        <v>#N/A</v>
      </c>
      <c r="W120" s="60" t="e">
        <f t="shared" ca="1" si="22"/>
        <v>#N/A</v>
      </c>
      <c r="X120" s="60" t="e">
        <f t="shared" ca="1" si="26"/>
        <v>#N/A</v>
      </c>
      <c r="Y120" s="60" t="e">
        <f t="shared" ca="1" si="23"/>
        <v>#N/A</v>
      </c>
      <c r="Z120" s="60" t="e">
        <f t="shared" ca="1" si="24"/>
        <v>#N/A</v>
      </c>
      <c r="AA120" s="92" t="str">
        <f ca="1"/>
        <v/>
      </c>
      <c r="AB120" s="62" t="str">
        <f t="shared" ca="1" si="27"/>
        <v/>
      </c>
      <c r="AC120" s="62" t="e">
        <f t="shared" ca="1" si="28"/>
        <v>#N/A</v>
      </c>
      <c r="AD120" s="62" t="e">
        <f t="shared" ca="1" si="29"/>
        <v>#N/A</v>
      </c>
      <c r="AE120" s="62" t="e">
        <f t="shared" ca="1" si="30"/>
        <v>#N/A</v>
      </c>
    </row>
    <row r="121" spans="18:31" x14ac:dyDescent="0.25">
      <c r="R121" s="92" t="str">
        <f ca="1"/>
        <v/>
      </c>
      <c r="S121" s="62" t="str">
        <f t="shared" ca="1" si="25"/>
        <v/>
      </c>
      <c r="T121" s="62" t="e">
        <f t="shared" ca="1" si="19"/>
        <v>#N/A</v>
      </c>
      <c r="U121" s="62" t="e">
        <f t="shared" ca="1" si="20"/>
        <v>#N/A</v>
      </c>
      <c r="V121" s="62" t="e">
        <f t="shared" ca="1" si="21"/>
        <v>#N/A</v>
      </c>
      <c r="W121" s="60" t="e">
        <f t="shared" ca="1" si="22"/>
        <v>#N/A</v>
      </c>
      <c r="X121" s="60" t="e">
        <f t="shared" ca="1" si="26"/>
        <v>#N/A</v>
      </c>
      <c r="Y121" s="60" t="e">
        <f t="shared" ca="1" si="23"/>
        <v>#N/A</v>
      </c>
      <c r="Z121" s="60" t="e">
        <f t="shared" ca="1" si="24"/>
        <v>#N/A</v>
      </c>
      <c r="AA121" s="92" t="str">
        <f ca="1"/>
        <v/>
      </c>
      <c r="AB121" s="62" t="str">
        <f t="shared" ca="1" si="27"/>
        <v/>
      </c>
      <c r="AC121" s="62" t="e">
        <f t="shared" ca="1" si="28"/>
        <v>#N/A</v>
      </c>
      <c r="AD121" s="62" t="e">
        <f t="shared" ca="1" si="29"/>
        <v>#N/A</v>
      </c>
      <c r="AE121" s="62" t="e">
        <f t="shared" ca="1" si="30"/>
        <v>#N/A</v>
      </c>
    </row>
    <row r="122" spans="18:31" x14ac:dyDescent="0.25">
      <c r="R122" s="92" t="str">
        <f ca="1"/>
        <v/>
      </c>
      <c r="S122" s="62" t="str">
        <f t="shared" ca="1" si="25"/>
        <v/>
      </c>
      <c r="T122" s="62" t="e">
        <f t="shared" ca="1" si="19"/>
        <v>#N/A</v>
      </c>
      <c r="U122" s="62" t="e">
        <f t="shared" ca="1" si="20"/>
        <v>#N/A</v>
      </c>
      <c r="V122" s="62" t="e">
        <f t="shared" ca="1" si="21"/>
        <v>#N/A</v>
      </c>
      <c r="W122" s="60" t="e">
        <f t="shared" ca="1" si="22"/>
        <v>#N/A</v>
      </c>
      <c r="X122" s="60" t="e">
        <f t="shared" ca="1" si="26"/>
        <v>#N/A</v>
      </c>
      <c r="Y122" s="60" t="e">
        <f t="shared" ca="1" si="23"/>
        <v>#N/A</v>
      </c>
      <c r="Z122" s="60" t="e">
        <f t="shared" ca="1" si="24"/>
        <v>#N/A</v>
      </c>
      <c r="AA122" s="92" t="str">
        <f ca="1"/>
        <v/>
      </c>
      <c r="AB122" s="62" t="str">
        <f t="shared" ca="1" si="27"/>
        <v/>
      </c>
      <c r="AC122" s="62" t="e">
        <f t="shared" ca="1" si="28"/>
        <v>#N/A</v>
      </c>
      <c r="AD122" s="62" t="e">
        <f t="shared" ca="1" si="29"/>
        <v>#N/A</v>
      </c>
      <c r="AE122" s="62" t="e">
        <f t="shared" ca="1" si="30"/>
        <v>#N/A</v>
      </c>
    </row>
    <row r="123" spans="18:31" x14ac:dyDescent="0.25">
      <c r="R123" s="92" t="str">
        <f ca="1"/>
        <v/>
      </c>
      <c r="S123" s="62" t="str">
        <f t="shared" ca="1" si="25"/>
        <v/>
      </c>
      <c r="T123" s="62" t="e">
        <f t="shared" ca="1" si="19"/>
        <v>#N/A</v>
      </c>
      <c r="U123" s="62" t="e">
        <f t="shared" ca="1" si="20"/>
        <v>#N/A</v>
      </c>
      <c r="V123" s="62" t="e">
        <f t="shared" ca="1" si="21"/>
        <v>#N/A</v>
      </c>
      <c r="W123" s="60" t="e">
        <f t="shared" ca="1" si="22"/>
        <v>#N/A</v>
      </c>
      <c r="X123" s="60" t="e">
        <f t="shared" ca="1" si="26"/>
        <v>#N/A</v>
      </c>
      <c r="Y123" s="60" t="e">
        <f t="shared" ca="1" si="23"/>
        <v>#N/A</v>
      </c>
      <c r="Z123" s="60" t="e">
        <f t="shared" ca="1" si="24"/>
        <v>#N/A</v>
      </c>
      <c r="AA123" s="92" t="str">
        <f ca="1"/>
        <v/>
      </c>
      <c r="AB123" s="62" t="str">
        <f t="shared" ca="1" si="27"/>
        <v/>
      </c>
      <c r="AC123" s="62" t="e">
        <f t="shared" ca="1" si="28"/>
        <v>#N/A</v>
      </c>
      <c r="AD123" s="62" t="e">
        <f t="shared" ca="1" si="29"/>
        <v>#N/A</v>
      </c>
      <c r="AE123" s="62" t="e">
        <f t="shared" ca="1" si="30"/>
        <v>#N/A</v>
      </c>
    </row>
    <row r="124" spans="18:31" x14ac:dyDescent="0.25">
      <c r="R124" s="92" t="str">
        <f ca="1"/>
        <v/>
      </c>
      <c r="S124" s="62" t="str">
        <f t="shared" ca="1" si="25"/>
        <v/>
      </c>
      <c r="T124" s="62" t="e">
        <f t="shared" ca="1" si="19"/>
        <v>#N/A</v>
      </c>
      <c r="U124" s="62" t="e">
        <f t="shared" ca="1" si="20"/>
        <v>#N/A</v>
      </c>
      <c r="V124" s="62" t="e">
        <f t="shared" ca="1" si="21"/>
        <v>#N/A</v>
      </c>
      <c r="W124" s="60" t="e">
        <f t="shared" ca="1" si="22"/>
        <v>#N/A</v>
      </c>
      <c r="X124" s="60" t="e">
        <f t="shared" ca="1" si="26"/>
        <v>#N/A</v>
      </c>
      <c r="Y124" s="60" t="e">
        <f t="shared" ca="1" si="23"/>
        <v>#N/A</v>
      </c>
      <c r="Z124" s="60" t="e">
        <f t="shared" ca="1" si="24"/>
        <v>#N/A</v>
      </c>
      <c r="AA124" s="92" t="str">
        <f ca="1"/>
        <v/>
      </c>
      <c r="AB124" s="62" t="str">
        <f t="shared" ca="1" si="27"/>
        <v/>
      </c>
      <c r="AC124" s="62" t="e">
        <f t="shared" ca="1" si="28"/>
        <v>#N/A</v>
      </c>
      <c r="AD124" s="62" t="e">
        <f t="shared" ca="1" si="29"/>
        <v>#N/A</v>
      </c>
      <c r="AE124" s="62" t="e">
        <f t="shared" ca="1" si="30"/>
        <v>#N/A</v>
      </c>
    </row>
    <row r="125" spans="18:31" x14ac:dyDescent="0.25">
      <c r="R125" s="92" t="str">
        <f ca="1"/>
        <v/>
      </c>
      <c r="S125" s="62" t="str">
        <f t="shared" ca="1" si="25"/>
        <v/>
      </c>
      <c r="T125" s="62" t="e">
        <f t="shared" ca="1" si="19"/>
        <v>#N/A</v>
      </c>
      <c r="U125" s="62" t="e">
        <f t="shared" ca="1" si="20"/>
        <v>#N/A</v>
      </c>
      <c r="V125" s="62" t="e">
        <f t="shared" ca="1" si="21"/>
        <v>#N/A</v>
      </c>
      <c r="W125" s="60" t="e">
        <f t="shared" ca="1" si="22"/>
        <v>#N/A</v>
      </c>
      <c r="X125" s="60" t="e">
        <f t="shared" ca="1" si="26"/>
        <v>#N/A</v>
      </c>
      <c r="Y125" s="60" t="e">
        <f t="shared" ca="1" si="23"/>
        <v>#N/A</v>
      </c>
      <c r="Z125" s="60" t="e">
        <f t="shared" ca="1" si="24"/>
        <v>#N/A</v>
      </c>
      <c r="AA125" s="92" t="str">
        <f ca="1"/>
        <v/>
      </c>
      <c r="AB125" s="62" t="str">
        <f t="shared" ca="1" si="27"/>
        <v/>
      </c>
      <c r="AC125" s="62" t="e">
        <f t="shared" ca="1" si="28"/>
        <v>#N/A</v>
      </c>
      <c r="AD125" s="62" t="e">
        <f t="shared" ca="1" si="29"/>
        <v>#N/A</v>
      </c>
      <c r="AE125" s="62" t="e">
        <f t="shared" ca="1" si="30"/>
        <v>#N/A</v>
      </c>
    </row>
    <row r="126" spans="18:31" x14ac:dyDescent="0.25">
      <c r="R126" s="92" t="str">
        <f ca="1"/>
        <v/>
      </c>
      <c r="S126" s="62" t="str">
        <f t="shared" ca="1" si="25"/>
        <v/>
      </c>
      <c r="T126" s="62" t="e">
        <f t="shared" ca="1" si="19"/>
        <v>#N/A</v>
      </c>
      <c r="U126" s="62" t="e">
        <f t="shared" ca="1" si="20"/>
        <v>#N/A</v>
      </c>
      <c r="V126" s="62" t="e">
        <f t="shared" ca="1" si="21"/>
        <v>#N/A</v>
      </c>
      <c r="W126" s="60" t="e">
        <f t="shared" ca="1" si="22"/>
        <v>#N/A</v>
      </c>
      <c r="X126" s="60" t="e">
        <f t="shared" ca="1" si="26"/>
        <v>#N/A</v>
      </c>
      <c r="Y126" s="60" t="e">
        <f t="shared" ca="1" si="23"/>
        <v>#N/A</v>
      </c>
      <c r="Z126" s="60" t="e">
        <f t="shared" ca="1" si="24"/>
        <v>#N/A</v>
      </c>
      <c r="AA126" s="92" t="str">
        <f ca="1"/>
        <v/>
      </c>
      <c r="AB126" s="62" t="str">
        <f t="shared" ca="1" si="27"/>
        <v/>
      </c>
      <c r="AC126" s="62" t="e">
        <f t="shared" ca="1" si="28"/>
        <v>#N/A</v>
      </c>
      <c r="AD126" s="62" t="e">
        <f t="shared" ca="1" si="29"/>
        <v>#N/A</v>
      </c>
      <c r="AE126" s="62" t="e">
        <f t="shared" ca="1" si="30"/>
        <v>#N/A</v>
      </c>
    </row>
    <row r="127" spans="18:31" x14ac:dyDescent="0.25">
      <c r="R127" s="92" t="str">
        <f ca="1"/>
        <v/>
      </c>
      <c r="S127" s="62" t="str">
        <f t="shared" ca="1" si="25"/>
        <v/>
      </c>
      <c r="T127" s="62" t="e">
        <f t="shared" ca="1" si="19"/>
        <v>#N/A</v>
      </c>
      <c r="U127" s="62" t="e">
        <f t="shared" ca="1" si="20"/>
        <v>#N/A</v>
      </c>
      <c r="V127" s="62" t="e">
        <f t="shared" ca="1" si="21"/>
        <v>#N/A</v>
      </c>
      <c r="W127" s="60" t="e">
        <f t="shared" ca="1" si="22"/>
        <v>#N/A</v>
      </c>
      <c r="X127" s="60" t="e">
        <f t="shared" ca="1" si="26"/>
        <v>#N/A</v>
      </c>
      <c r="Y127" s="60" t="e">
        <f t="shared" ca="1" si="23"/>
        <v>#N/A</v>
      </c>
      <c r="Z127" s="60" t="e">
        <f t="shared" ca="1" si="24"/>
        <v>#N/A</v>
      </c>
      <c r="AA127" s="92" t="str">
        <f ca="1"/>
        <v/>
      </c>
      <c r="AB127" s="62" t="str">
        <f t="shared" ca="1" si="27"/>
        <v/>
      </c>
      <c r="AC127" s="62" t="e">
        <f t="shared" ca="1" si="28"/>
        <v>#N/A</v>
      </c>
      <c r="AD127" s="62" t="e">
        <f t="shared" ca="1" si="29"/>
        <v>#N/A</v>
      </c>
      <c r="AE127" s="62" t="e">
        <f t="shared" ca="1" si="30"/>
        <v>#N/A</v>
      </c>
    </row>
    <row r="128" spans="18:31" x14ac:dyDescent="0.25">
      <c r="R128" s="92" t="str">
        <f ca="1"/>
        <v/>
      </c>
      <c r="S128" s="62" t="str">
        <f t="shared" ca="1" si="25"/>
        <v/>
      </c>
      <c r="T128" s="62" t="e">
        <f t="shared" ca="1" si="19"/>
        <v>#N/A</v>
      </c>
      <c r="U128" s="62" t="e">
        <f t="shared" ca="1" si="20"/>
        <v>#N/A</v>
      </c>
      <c r="V128" s="62" t="e">
        <f t="shared" ca="1" si="21"/>
        <v>#N/A</v>
      </c>
      <c r="W128" s="60" t="e">
        <f t="shared" ca="1" si="22"/>
        <v>#N/A</v>
      </c>
      <c r="X128" s="60" t="e">
        <f t="shared" ca="1" si="26"/>
        <v>#N/A</v>
      </c>
      <c r="Y128" s="60" t="e">
        <f t="shared" ca="1" si="23"/>
        <v>#N/A</v>
      </c>
      <c r="Z128" s="60" t="e">
        <f t="shared" ca="1" si="24"/>
        <v>#N/A</v>
      </c>
      <c r="AA128" s="92" t="str">
        <f ca="1"/>
        <v/>
      </c>
      <c r="AB128" s="62" t="str">
        <f t="shared" ca="1" si="27"/>
        <v/>
      </c>
      <c r="AC128" s="62" t="e">
        <f t="shared" ca="1" si="28"/>
        <v>#N/A</v>
      </c>
      <c r="AD128" s="62" t="e">
        <f t="shared" ca="1" si="29"/>
        <v>#N/A</v>
      </c>
      <c r="AE128" s="62" t="e">
        <f t="shared" ca="1" si="30"/>
        <v>#N/A</v>
      </c>
    </row>
    <row r="129" spans="18:31" x14ac:dyDescent="0.25">
      <c r="R129" s="92" t="str">
        <f ca="1"/>
        <v/>
      </c>
      <c r="S129" s="62" t="str">
        <f t="shared" ca="1" si="25"/>
        <v/>
      </c>
      <c r="T129" s="62" t="e">
        <f t="shared" ca="1" si="19"/>
        <v>#N/A</v>
      </c>
      <c r="U129" s="62" t="e">
        <f t="shared" ca="1" si="20"/>
        <v>#N/A</v>
      </c>
      <c r="V129" s="62" t="e">
        <f t="shared" ca="1" si="21"/>
        <v>#N/A</v>
      </c>
      <c r="W129" s="60" t="e">
        <f t="shared" ca="1" si="22"/>
        <v>#N/A</v>
      </c>
      <c r="X129" s="60" t="e">
        <f t="shared" ca="1" si="26"/>
        <v>#N/A</v>
      </c>
      <c r="Y129" s="60" t="e">
        <f t="shared" ca="1" si="23"/>
        <v>#N/A</v>
      </c>
      <c r="Z129" s="60" t="e">
        <f t="shared" ca="1" si="24"/>
        <v>#N/A</v>
      </c>
      <c r="AA129" s="92" t="str">
        <f ca="1"/>
        <v/>
      </c>
      <c r="AB129" s="62" t="str">
        <f t="shared" ca="1" si="27"/>
        <v/>
      </c>
      <c r="AC129" s="62" t="e">
        <f t="shared" ca="1" si="28"/>
        <v>#N/A</v>
      </c>
      <c r="AD129" s="62" t="e">
        <f t="shared" ca="1" si="29"/>
        <v>#N/A</v>
      </c>
      <c r="AE129" s="62" t="e">
        <f t="shared" ca="1" si="30"/>
        <v>#N/A</v>
      </c>
    </row>
    <row r="130" spans="18:31" x14ac:dyDescent="0.25">
      <c r="R130" s="92" t="str">
        <f ca="1"/>
        <v/>
      </c>
      <c r="S130" s="62" t="str">
        <f t="shared" ca="1" si="25"/>
        <v/>
      </c>
      <c r="T130" s="62" t="e">
        <f t="shared" ca="1" si="19"/>
        <v>#N/A</v>
      </c>
      <c r="U130" s="62" t="e">
        <f t="shared" ca="1" si="20"/>
        <v>#N/A</v>
      </c>
      <c r="V130" s="62" t="e">
        <f t="shared" ca="1" si="21"/>
        <v>#N/A</v>
      </c>
      <c r="W130" s="60" t="e">
        <f t="shared" ca="1" si="22"/>
        <v>#N/A</v>
      </c>
      <c r="X130" s="60" t="e">
        <f t="shared" ca="1" si="26"/>
        <v>#N/A</v>
      </c>
      <c r="Y130" s="60" t="e">
        <f t="shared" ca="1" si="23"/>
        <v>#N/A</v>
      </c>
      <c r="Z130" s="60" t="e">
        <f t="shared" ca="1" si="24"/>
        <v>#N/A</v>
      </c>
      <c r="AA130" s="92" t="str">
        <f ca="1"/>
        <v/>
      </c>
      <c r="AB130" s="62" t="str">
        <f t="shared" ca="1" si="27"/>
        <v/>
      </c>
      <c r="AC130" s="62" t="e">
        <f t="shared" ca="1" si="28"/>
        <v>#N/A</v>
      </c>
      <c r="AD130" s="62" t="e">
        <f t="shared" ca="1" si="29"/>
        <v>#N/A</v>
      </c>
      <c r="AE130" s="62" t="e">
        <f t="shared" ca="1" si="30"/>
        <v>#N/A</v>
      </c>
    </row>
    <row r="131" spans="18:31" x14ac:dyDescent="0.25">
      <c r="R131" s="92" t="str">
        <f ca="1"/>
        <v/>
      </c>
      <c r="S131" s="62" t="str">
        <f t="shared" ca="1" si="25"/>
        <v/>
      </c>
      <c r="T131" s="62" t="e">
        <f t="shared" ca="1" si="19"/>
        <v>#N/A</v>
      </c>
      <c r="U131" s="62" t="e">
        <f t="shared" ca="1" si="20"/>
        <v>#N/A</v>
      </c>
      <c r="V131" s="62" t="e">
        <f t="shared" ca="1" si="21"/>
        <v>#N/A</v>
      </c>
      <c r="W131" s="60" t="e">
        <f t="shared" ca="1" si="22"/>
        <v>#N/A</v>
      </c>
      <c r="X131" s="60" t="e">
        <f t="shared" ca="1" si="26"/>
        <v>#N/A</v>
      </c>
      <c r="Y131" s="60" t="e">
        <f t="shared" ca="1" si="23"/>
        <v>#N/A</v>
      </c>
      <c r="Z131" s="60" t="e">
        <f t="shared" ca="1" si="24"/>
        <v>#N/A</v>
      </c>
      <c r="AA131" s="92" t="str">
        <f ca="1"/>
        <v/>
      </c>
      <c r="AB131" s="62" t="str">
        <f t="shared" ca="1" si="27"/>
        <v/>
      </c>
      <c r="AC131" s="62" t="e">
        <f t="shared" ca="1" si="28"/>
        <v>#N/A</v>
      </c>
      <c r="AD131" s="62" t="e">
        <f t="shared" ca="1" si="29"/>
        <v>#N/A</v>
      </c>
      <c r="AE131" s="62" t="e">
        <f t="shared" ca="1" si="30"/>
        <v>#N/A</v>
      </c>
    </row>
    <row r="132" spans="18:31" x14ac:dyDescent="0.25">
      <c r="R132" s="92" t="str">
        <f ca="1"/>
        <v/>
      </c>
      <c r="S132" s="62" t="str">
        <f t="shared" ca="1" si="25"/>
        <v/>
      </c>
      <c r="T132" s="62" t="e">
        <f t="shared" ca="1" si="19"/>
        <v>#N/A</v>
      </c>
      <c r="U132" s="62" t="e">
        <f t="shared" ca="1" si="20"/>
        <v>#N/A</v>
      </c>
      <c r="V132" s="62" t="e">
        <f t="shared" ca="1" si="21"/>
        <v>#N/A</v>
      </c>
      <c r="W132" s="60" t="e">
        <f t="shared" ca="1" si="22"/>
        <v>#N/A</v>
      </c>
      <c r="X132" s="60" t="e">
        <f t="shared" ca="1" si="26"/>
        <v>#N/A</v>
      </c>
      <c r="Y132" s="60" t="e">
        <f t="shared" ca="1" si="23"/>
        <v>#N/A</v>
      </c>
      <c r="Z132" s="60" t="e">
        <f t="shared" ca="1" si="24"/>
        <v>#N/A</v>
      </c>
      <c r="AA132" s="92" t="str">
        <f ca="1"/>
        <v/>
      </c>
      <c r="AB132" s="62" t="str">
        <f t="shared" ca="1" si="27"/>
        <v/>
      </c>
      <c r="AC132" s="62" t="e">
        <f t="shared" ca="1" si="28"/>
        <v>#N/A</v>
      </c>
      <c r="AD132" s="62" t="e">
        <f t="shared" ca="1" si="29"/>
        <v>#N/A</v>
      </c>
      <c r="AE132" s="62" t="e">
        <f t="shared" ca="1" si="30"/>
        <v>#N/A</v>
      </c>
    </row>
    <row r="133" spans="18:31" x14ac:dyDescent="0.25">
      <c r="R133" s="92" t="str">
        <f ca="1"/>
        <v/>
      </c>
      <c r="S133" s="62" t="str">
        <f t="shared" ca="1" si="25"/>
        <v/>
      </c>
      <c r="T133" s="62" t="e">
        <f t="shared" ca="1" si="19"/>
        <v>#N/A</v>
      </c>
      <c r="U133" s="62" t="e">
        <f t="shared" ca="1" si="20"/>
        <v>#N/A</v>
      </c>
      <c r="V133" s="62" t="e">
        <f t="shared" ca="1" si="21"/>
        <v>#N/A</v>
      </c>
      <c r="W133" s="60" t="e">
        <f t="shared" ca="1" si="22"/>
        <v>#N/A</v>
      </c>
      <c r="X133" s="60" t="e">
        <f t="shared" ca="1" si="26"/>
        <v>#N/A</v>
      </c>
      <c r="Y133" s="60" t="e">
        <f t="shared" ca="1" si="23"/>
        <v>#N/A</v>
      </c>
      <c r="Z133" s="60" t="e">
        <f t="shared" ca="1" si="24"/>
        <v>#N/A</v>
      </c>
      <c r="AA133" s="92" t="str">
        <f ca="1"/>
        <v/>
      </c>
      <c r="AB133" s="62" t="str">
        <f t="shared" ca="1" si="27"/>
        <v/>
      </c>
      <c r="AC133" s="62" t="e">
        <f t="shared" ca="1" si="28"/>
        <v>#N/A</v>
      </c>
      <c r="AD133" s="62" t="e">
        <f t="shared" ca="1" si="29"/>
        <v>#N/A</v>
      </c>
      <c r="AE133" s="62" t="e">
        <f t="shared" ca="1" si="30"/>
        <v>#N/A</v>
      </c>
    </row>
    <row r="134" spans="18:31" x14ac:dyDescent="0.25">
      <c r="R134" s="92" t="str">
        <f ca="1"/>
        <v/>
      </c>
      <c r="S134" s="62" t="str">
        <f t="shared" ca="1" si="25"/>
        <v/>
      </c>
      <c r="T134" s="62" t="e">
        <f t="shared" ca="1" si="19"/>
        <v>#N/A</v>
      </c>
      <c r="U134" s="62" t="e">
        <f t="shared" ca="1" si="20"/>
        <v>#N/A</v>
      </c>
      <c r="V134" s="62" t="e">
        <f t="shared" ca="1" si="21"/>
        <v>#N/A</v>
      </c>
      <c r="W134" s="60" t="e">
        <f t="shared" ca="1" si="22"/>
        <v>#N/A</v>
      </c>
      <c r="X134" s="60" t="e">
        <f t="shared" ca="1" si="26"/>
        <v>#N/A</v>
      </c>
      <c r="Y134" s="60" t="e">
        <f t="shared" ca="1" si="23"/>
        <v>#N/A</v>
      </c>
      <c r="Z134" s="60" t="e">
        <f t="shared" ca="1" si="24"/>
        <v>#N/A</v>
      </c>
      <c r="AA134" s="92" t="str">
        <f ca="1"/>
        <v/>
      </c>
      <c r="AB134" s="62" t="str">
        <f t="shared" ca="1" si="27"/>
        <v/>
      </c>
      <c r="AC134" s="62" t="e">
        <f t="shared" ca="1" si="28"/>
        <v>#N/A</v>
      </c>
      <c r="AD134" s="62" t="e">
        <f t="shared" ca="1" si="29"/>
        <v>#N/A</v>
      </c>
      <c r="AE134" s="62" t="e">
        <f t="shared" ca="1" si="30"/>
        <v>#N/A</v>
      </c>
    </row>
    <row r="135" spans="18:31" x14ac:dyDescent="0.25">
      <c r="R135" s="92" t="str">
        <f ca="1"/>
        <v/>
      </c>
      <c r="S135" s="62" t="str">
        <f t="shared" ca="1" si="25"/>
        <v/>
      </c>
      <c r="T135" s="62" t="e">
        <f t="shared" ca="1" si="19"/>
        <v>#N/A</v>
      </c>
      <c r="U135" s="62" t="e">
        <f t="shared" ca="1" si="20"/>
        <v>#N/A</v>
      </c>
      <c r="V135" s="62" t="e">
        <f t="shared" ca="1" si="21"/>
        <v>#N/A</v>
      </c>
      <c r="W135" s="60" t="e">
        <f t="shared" ca="1" si="22"/>
        <v>#N/A</v>
      </c>
      <c r="X135" s="60" t="e">
        <f t="shared" ca="1" si="26"/>
        <v>#N/A</v>
      </c>
      <c r="Y135" s="60" t="e">
        <f t="shared" ca="1" si="23"/>
        <v>#N/A</v>
      </c>
      <c r="Z135" s="60" t="e">
        <f t="shared" ca="1" si="24"/>
        <v>#N/A</v>
      </c>
      <c r="AA135" s="92" t="str">
        <f ca="1"/>
        <v/>
      </c>
      <c r="AB135" s="62" t="str">
        <f t="shared" ca="1" si="27"/>
        <v/>
      </c>
      <c r="AC135" s="62" t="e">
        <f t="shared" ca="1" si="28"/>
        <v>#N/A</v>
      </c>
      <c r="AD135" s="62" t="e">
        <f t="shared" ca="1" si="29"/>
        <v>#N/A</v>
      </c>
      <c r="AE135" s="62" t="e">
        <f t="shared" ca="1" si="30"/>
        <v>#N/A</v>
      </c>
    </row>
    <row r="136" spans="18:31" x14ac:dyDescent="0.25">
      <c r="R136" s="92" t="str">
        <f ca="1"/>
        <v/>
      </c>
      <c r="S136" s="62" t="str">
        <f t="shared" ca="1" si="25"/>
        <v/>
      </c>
      <c r="T136" s="62" t="e">
        <f t="shared" ca="1" si="19"/>
        <v>#N/A</v>
      </c>
      <c r="U136" s="62" t="e">
        <f t="shared" ca="1" si="20"/>
        <v>#N/A</v>
      </c>
      <c r="V136" s="62" t="e">
        <f t="shared" ca="1" si="21"/>
        <v>#N/A</v>
      </c>
      <c r="W136" s="60" t="e">
        <f t="shared" ca="1" si="22"/>
        <v>#N/A</v>
      </c>
      <c r="X136" s="60" t="e">
        <f t="shared" ca="1" si="26"/>
        <v>#N/A</v>
      </c>
      <c r="Y136" s="60" t="e">
        <f t="shared" ca="1" si="23"/>
        <v>#N/A</v>
      </c>
      <c r="Z136" s="60" t="e">
        <f t="shared" ca="1" si="24"/>
        <v>#N/A</v>
      </c>
      <c r="AA136" s="92" t="str">
        <f ca="1"/>
        <v/>
      </c>
      <c r="AB136" s="62" t="str">
        <f t="shared" ca="1" si="27"/>
        <v/>
      </c>
      <c r="AC136" s="62" t="e">
        <f t="shared" ca="1" si="28"/>
        <v>#N/A</v>
      </c>
      <c r="AD136" s="62" t="e">
        <f t="shared" ca="1" si="29"/>
        <v>#N/A</v>
      </c>
      <c r="AE136" s="62" t="e">
        <f t="shared" ca="1" si="30"/>
        <v>#N/A</v>
      </c>
    </row>
    <row r="137" spans="18:31" x14ac:dyDescent="0.25">
      <c r="R137" s="92" t="str">
        <f ca="1"/>
        <v/>
      </c>
      <c r="S137" s="62" t="str">
        <f t="shared" ca="1" si="25"/>
        <v/>
      </c>
      <c r="T137" s="62" t="e">
        <f t="shared" ca="1" si="19"/>
        <v>#N/A</v>
      </c>
      <c r="U137" s="62" t="e">
        <f t="shared" ca="1" si="20"/>
        <v>#N/A</v>
      </c>
      <c r="V137" s="62" t="e">
        <f t="shared" ca="1" si="21"/>
        <v>#N/A</v>
      </c>
      <c r="W137" s="60" t="e">
        <f t="shared" ca="1" si="22"/>
        <v>#N/A</v>
      </c>
      <c r="X137" s="60" t="e">
        <f t="shared" ca="1" si="26"/>
        <v>#N/A</v>
      </c>
      <c r="Y137" s="60" t="e">
        <f t="shared" ca="1" si="23"/>
        <v>#N/A</v>
      </c>
      <c r="Z137" s="60" t="e">
        <f t="shared" ca="1" si="24"/>
        <v>#N/A</v>
      </c>
      <c r="AA137" s="92" t="str">
        <f ca="1"/>
        <v/>
      </c>
      <c r="AB137" s="62" t="str">
        <f t="shared" ca="1" si="27"/>
        <v/>
      </c>
      <c r="AC137" s="62" t="e">
        <f t="shared" ca="1" si="28"/>
        <v>#N/A</v>
      </c>
      <c r="AD137" s="62" t="e">
        <f t="shared" ca="1" si="29"/>
        <v>#N/A</v>
      </c>
      <c r="AE137" s="62" t="e">
        <f t="shared" ca="1" si="30"/>
        <v>#N/A</v>
      </c>
    </row>
    <row r="138" spans="18:31" x14ac:dyDescent="0.25">
      <c r="R138" s="92" t="str">
        <f ca="1"/>
        <v/>
      </c>
      <c r="S138" s="62" t="str">
        <f t="shared" ca="1" si="25"/>
        <v/>
      </c>
      <c r="T138" s="62" t="e">
        <f t="shared" ca="1" si="19"/>
        <v>#N/A</v>
      </c>
      <c r="U138" s="62" t="e">
        <f t="shared" ca="1" si="20"/>
        <v>#N/A</v>
      </c>
      <c r="V138" s="62" t="e">
        <f t="shared" ca="1" si="21"/>
        <v>#N/A</v>
      </c>
      <c r="W138" s="60" t="e">
        <f t="shared" ca="1" si="22"/>
        <v>#N/A</v>
      </c>
      <c r="X138" s="60" t="e">
        <f t="shared" ca="1" si="26"/>
        <v>#N/A</v>
      </c>
      <c r="Y138" s="60" t="e">
        <f t="shared" ca="1" si="23"/>
        <v>#N/A</v>
      </c>
      <c r="Z138" s="60" t="e">
        <f t="shared" ca="1" si="24"/>
        <v>#N/A</v>
      </c>
      <c r="AA138" s="92" t="str">
        <f ca="1"/>
        <v/>
      </c>
      <c r="AB138" s="62" t="str">
        <f t="shared" ca="1" si="27"/>
        <v/>
      </c>
      <c r="AC138" s="62" t="e">
        <f t="shared" ca="1" si="28"/>
        <v>#N/A</v>
      </c>
      <c r="AD138" s="62" t="e">
        <f t="shared" ca="1" si="29"/>
        <v>#N/A</v>
      </c>
      <c r="AE138" s="62" t="e">
        <f t="shared" ca="1" si="30"/>
        <v>#N/A</v>
      </c>
    </row>
    <row r="139" spans="18:31" x14ac:dyDescent="0.25">
      <c r="R139" s="92" t="str">
        <f ca="1"/>
        <v/>
      </c>
      <c r="S139" s="62" t="str">
        <f t="shared" ca="1" si="25"/>
        <v/>
      </c>
      <c r="T139" s="62" t="e">
        <f t="shared" ca="1" si="19"/>
        <v>#N/A</v>
      </c>
      <c r="U139" s="62" t="e">
        <f t="shared" ca="1" si="20"/>
        <v>#N/A</v>
      </c>
      <c r="V139" s="62" t="e">
        <f t="shared" ca="1" si="21"/>
        <v>#N/A</v>
      </c>
      <c r="W139" s="60" t="e">
        <f t="shared" ca="1" si="22"/>
        <v>#N/A</v>
      </c>
      <c r="X139" s="60" t="e">
        <f t="shared" ca="1" si="26"/>
        <v>#N/A</v>
      </c>
      <c r="Y139" s="60" t="e">
        <f t="shared" ca="1" si="23"/>
        <v>#N/A</v>
      </c>
      <c r="Z139" s="60" t="e">
        <f t="shared" ca="1" si="24"/>
        <v>#N/A</v>
      </c>
      <c r="AA139" s="92" t="str">
        <f ca="1"/>
        <v/>
      </c>
      <c r="AB139" s="62" t="str">
        <f t="shared" ca="1" si="27"/>
        <v/>
      </c>
      <c r="AC139" s="62" t="e">
        <f t="shared" ca="1" si="28"/>
        <v>#N/A</v>
      </c>
      <c r="AD139" s="62" t="e">
        <f t="shared" ca="1" si="29"/>
        <v>#N/A</v>
      </c>
      <c r="AE139" s="62" t="e">
        <f t="shared" ca="1" si="30"/>
        <v>#N/A</v>
      </c>
    </row>
    <row r="140" spans="18:31" x14ac:dyDescent="0.25">
      <c r="R140" s="92" t="str">
        <f ca="1"/>
        <v/>
      </c>
      <c r="S140" s="62" t="str">
        <f t="shared" ca="1" si="25"/>
        <v/>
      </c>
      <c r="T140" s="62" t="e">
        <f t="shared" ca="1" si="19"/>
        <v>#N/A</v>
      </c>
      <c r="U140" s="62" t="e">
        <f t="shared" ca="1" si="20"/>
        <v>#N/A</v>
      </c>
      <c r="V140" s="62" t="e">
        <f t="shared" ca="1" si="21"/>
        <v>#N/A</v>
      </c>
      <c r="W140" s="60" t="e">
        <f t="shared" ca="1" si="22"/>
        <v>#N/A</v>
      </c>
      <c r="X140" s="60" t="e">
        <f t="shared" ca="1" si="26"/>
        <v>#N/A</v>
      </c>
      <c r="Y140" s="60" t="e">
        <f t="shared" ca="1" si="23"/>
        <v>#N/A</v>
      </c>
      <c r="Z140" s="60" t="e">
        <f t="shared" ca="1" si="24"/>
        <v>#N/A</v>
      </c>
      <c r="AA140" s="92" t="str">
        <f ca="1"/>
        <v/>
      </c>
      <c r="AB140" s="62" t="str">
        <f t="shared" ca="1" si="27"/>
        <v/>
      </c>
      <c r="AC140" s="62" t="e">
        <f t="shared" ca="1" si="28"/>
        <v>#N/A</v>
      </c>
      <c r="AD140" s="62" t="e">
        <f t="shared" ca="1" si="29"/>
        <v>#N/A</v>
      </c>
      <c r="AE140" s="62" t="e">
        <f t="shared" ca="1" si="30"/>
        <v>#N/A</v>
      </c>
    </row>
    <row r="141" spans="18:31" x14ac:dyDescent="0.25">
      <c r="R141" s="92" t="str">
        <f ca="1"/>
        <v/>
      </c>
      <c r="S141" s="62" t="str">
        <f t="shared" ca="1" si="25"/>
        <v/>
      </c>
      <c r="T141" s="62" t="e">
        <f t="shared" ca="1" si="19"/>
        <v>#N/A</v>
      </c>
      <c r="U141" s="62" t="e">
        <f t="shared" ca="1" si="20"/>
        <v>#N/A</v>
      </c>
      <c r="V141" s="62" t="e">
        <f t="shared" ca="1" si="21"/>
        <v>#N/A</v>
      </c>
      <c r="W141" s="60" t="e">
        <f t="shared" ca="1" si="22"/>
        <v>#N/A</v>
      </c>
      <c r="X141" s="60" t="e">
        <f t="shared" ca="1" si="26"/>
        <v>#N/A</v>
      </c>
      <c r="Y141" s="60" t="e">
        <f t="shared" ca="1" si="23"/>
        <v>#N/A</v>
      </c>
      <c r="Z141" s="60" t="e">
        <f t="shared" ca="1" si="24"/>
        <v>#N/A</v>
      </c>
      <c r="AA141" s="92" t="str">
        <f ca="1"/>
        <v/>
      </c>
      <c r="AB141" s="62" t="str">
        <f t="shared" ca="1" si="27"/>
        <v/>
      </c>
      <c r="AC141" s="62" t="e">
        <f t="shared" ca="1" si="28"/>
        <v>#N/A</v>
      </c>
      <c r="AD141" s="62" t="e">
        <f t="shared" ca="1" si="29"/>
        <v>#N/A</v>
      </c>
      <c r="AE141" s="62" t="e">
        <f t="shared" ca="1" si="30"/>
        <v>#N/A</v>
      </c>
    </row>
    <row r="142" spans="18:31" x14ac:dyDescent="0.25">
      <c r="R142" s="92" t="str">
        <f ca="1"/>
        <v/>
      </c>
      <c r="S142" s="62" t="str">
        <f t="shared" ca="1" si="25"/>
        <v/>
      </c>
      <c r="T142" s="62" t="e">
        <f t="shared" ca="1" si="19"/>
        <v>#N/A</v>
      </c>
      <c r="U142" s="62" t="e">
        <f t="shared" ca="1" si="20"/>
        <v>#N/A</v>
      </c>
      <c r="V142" s="62" t="e">
        <f t="shared" ca="1" si="21"/>
        <v>#N/A</v>
      </c>
      <c r="W142" s="60" t="e">
        <f t="shared" ca="1" si="22"/>
        <v>#N/A</v>
      </c>
      <c r="X142" s="60" t="e">
        <f t="shared" ca="1" si="26"/>
        <v>#N/A</v>
      </c>
      <c r="Y142" s="60" t="e">
        <f t="shared" ca="1" si="23"/>
        <v>#N/A</v>
      </c>
      <c r="Z142" s="60" t="e">
        <f t="shared" ca="1" si="24"/>
        <v>#N/A</v>
      </c>
      <c r="AA142" s="92" t="str">
        <f ca="1"/>
        <v/>
      </c>
      <c r="AB142" s="62" t="str">
        <f t="shared" ca="1" si="27"/>
        <v/>
      </c>
      <c r="AC142" s="62" t="e">
        <f t="shared" ca="1" si="28"/>
        <v>#N/A</v>
      </c>
      <c r="AD142" s="62" t="e">
        <f t="shared" ca="1" si="29"/>
        <v>#N/A</v>
      </c>
      <c r="AE142" s="62" t="e">
        <f t="shared" ca="1" si="30"/>
        <v>#N/A</v>
      </c>
    </row>
    <row r="143" spans="18:31" x14ac:dyDescent="0.25">
      <c r="R143" s="92" t="str">
        <f ca="1"/>
        <v/>
      </c>
      <c r="S143" s="62" t="str">
        <f t="shared" ca="1" si="25"/>
        <v/>
      </c>
      <c r="T143" s="62" t="e">
        <f t="shared" ca="1" si="19"/>
        <v>#N/A</v>
      </c>
      <c r="U143" s="62" t="e">
        <f t="shared" ca="1" si="20"/>
        <v>#N/A</v>
      </c>
      <c r="V143" s="62" t="e">
        <f t="shared" ca="1" si="21"/>
        <v>#N/A</v>
      </c>
      <c r="W143" s="60" t="e">
        <f t="shared" ca="1" si="22"/>
        <v>#N/A</v>
      </c>
      <c r="X143" s="60" t="e">
        <f t="shared" ca="1" si="26"/>
        <v>#N/A</v>
      </c>
      <c r="Y143" s="60" t="e">
        <f t="shared" ca="1" si="23"/>
        <v>#N/A</v>
      </c>
      <c r="Z143" s="60" t="e">
        <f t="shared" ca="1" si="24"/>
        <v>#N/A</v>
      </c>
      <c r="AA143" s="92" t="str">
        <f ca="1"/>
        <v/>
      </c>
      <c r="AB143" s="62" t="str">
        <f t="shared" ca="1" si="27"/>
        <v/>
      </c>
      <c r="AC143" s="62" t="e">
        <f t="shared" ca="1" si="28"/>
        <v>#N/A</v>
      </c>
      <c r="AD143" s="62" t="e">
        <f t="shared" ca="1" si="29"/>
        <v>#N/A</v>
      </c>
      <c r="AE143" s="62" t="e">
        <f t="shared" ca="1" si="30"/>
        <v>#N/A</v>
      </c>
    </row>
    <row r="144" spans="18:31" x14ac:dyDescent="0.25">
      <c r="R144" s="92" t="str">
        <f ca="1"/>
        <v/>
      </c>
      <c r="S144" s="62" t="str">
        <f t="shared" ca="1" si="25"/>
        <v/>
      </c>
      <c r="T144" s="62" t="e">
        <f t="shared" ca="1" si="19"/>
        <v>#N/A</v>
      </c>
      <c r="U144" s="62" t="e">
        <f t="shared" ca="1" si="20"/>
        <v>#N/A</v>
      </c>
      <c r="V144" s="62" t="e">
        <f t="shared" ca="1" si="21"/>
        <v>#N/A</v>
      </c>
      <c r="W144" s="60" t="e">
        <f t="shared" ca="1" si="22"/>
        <v>#N/A</v>
      </c>
      <c r="X144" s="60" t="e">
        <f t="shared" ca="1" si="26"/>
        <v>#N/A</v>
      </c>
      <c r="Y144" s="60" t="e">
        <f t="shared" ca="1" si="23"/>
        <v>#N/A</v>
      </c>
      <c r="Z144" s="60" t="e">
        <f t="shared" ca="1" si="24"/>
        <v>#N/A</v>
      </c>
      <c r="AA144" s="92" t="str">
        <f ca="1"/>
        <v/>
      </c>
      <c r="AB144" s="62" t="str">
        <f t="shared" ca="1" si="27"/>
        <v/>
      </c>
      <c r="AC144" s="62" t="e">
        <f t="shared" ca="1" si="28"/>
        <v>#N/A</v>
      </c>
      <c r="AD144" s="62" t="e">
        <f t="shared" ca="1" si="29"/>
        <v>#N/A</v>
      </c>
      <c r="AE144" s="62" t="e">
        <f t="shared" ca="1" si="30"/>
        <v>#N/A</v>
      </c>
    </row>
    <row r="145" spans="18:31" x14ac:dyDescent="0.25">
      <c r="R145" s="92" t="str">
        <f ca="1"/>
        <v/>
      </c>
      <c r="S145" s="62" t="str">
        <f t="shared" ca="1" si="25"/>
        <v/>
      </c>
      <c r="T145" s="62" t="e">
        <f t="shared" ca="1" si="19"/>
        <v>#N/A</v>
      </c>
      <c r="U145" s="62" t="e">
        <f t="shared" ca="1" si="20"/>
        <v>#N/A</v>
      </c>
      <c r="V145" s="62" t="e">
        <f t="shared" ca="1" si="21"/>
        <v>#N/A</v>
      </c>
      <c r="W145" s="60" t="e">
        <f t="shared" ca="1" si="22"/>
        <v>#N/A</v>
      </c>
      <c r="X145" s="60" t="e">
        <f t="shared" ca="1" si="26"/>
        <v>#N/A</v>
      </c>
      <c r="Y145" s="60" t="e">
        <f t="shared" ca="1" si="23"/>
        <v>#N/A</v>
      </c>
      <c r="Z145" s="60" t="e">
        <f t="shared" ca="1" si="24"/>
        <v>#N/A</v>
      </c>
      <c r="AA145" s="92" t="str">
        <f ca="1"/>
        <v/>
      </c>
      <c r="AB145" s="62" t="str">
        <f t="shared" ca="1" si="27"/>
        <v/>
      </c>
      <c r="AC145" s="62" t="e">
        <f t="shared" ca="1" si="28"/>
        <v>#N/A</v>
      </c>
      <c r="AD145" s="62" t="e">
        <f t="shared" ca="1" si="29"/>
        <v>#N/A</v>
      </c>
      <c r="AE145" s="62" t="e">
        <f t="shared" ca="1" si="30"/>
        <v>#N/A</v>
      </c>
    </row>
    <row r="146" spans="18:31" x14ac:dyDescent="0.25">
      <c r="R146" s="92" t="str">
        <f ca="1"/>
        <v/>
      </c>
      <c r="S146" s="62" t="str">
        <f t="shared" ca="1" si="25"/>
        <v/>
      </c>
      <c r="T146" s="62" t="e">
        <f t="shared" ref="T146:T209" ca="1" si="31">VLOOKUP(S146,ModelOutputs,2,FALSE)</f>
        <v>#N/A</v>
      </c>
      <c r="U146" s="62" t="e">
        <f t="shared" ref="U146:U209" ca="1" si="32">VLOOKUP(S146,ModelOutputs,7,FALSE)</f>
        <v>#N/A</v>
      </c>
      <c r="V146" s="62" t="e">
        <f t="shared" ref="V146:V209" ca="1" si="33">VLOOKUP(S146,ModelOutputs,6,FALSE)</f>
        <v>#N/A</v>
      </c>
      <c r="W146" s="60" t="e">
        <f t="shared" ref="W146:W209" ca="1" si="34">VLOOKUP(S146,ModelOutputs,10,FALSE)*AWC</f>
        <v>#N/A</v>
      </c>
      <c r="X146" s="60" t="e">
        <f t="shared" ca="1" si="26"/>
        <v>#N/A</v>
      </c>
      <c r="Y146" s="60" t="e">
        <f t="shared" ref="Y146:Y209" ca="1" si="35">VLOOKUP(S146,ModelOutputs,12,FALSE)</f>
        <v>#N/A</v>
      </c>
      <c r="Z146" s="60" t="e">
        <f t="shared" ref="Z146:Z209" ca="1" si="36">VLOOKUP(S146,ModelOutputs,13,FALSE)</f>
        <v>#N/A</v>
      </c>
      <c r="AA146" s="92" t="str">
        <f ca="1"/>
        <v/>
      </c>
      <c r="AB146" s="62" t="str">
        <f t="shared" ca="1" si="27"/>
        <v/>
      </c>
      <c r="AC146" s="62" t="e">
        <f t="shared" ca="1" si="28"/>
        <v>#N/A</v>
      </c>
      <c r="AD146" s="62" t="e">
        <f t="shared" ca="1" si="29"/>
        <v>#N/A</v>
      </c>
      <c r="AE146" s="62" t="e">
        <f t="shared" ca="1" si="30"/>
        <v>#N/A</v>
      </c>
    </row>
    <row r="147" spans="18:31" x14ac:dyDescent="0.25">
      <c r="R147" s="92" t="str">
        <f ca="1"/>
        <v/>
      </c>
      <c r="S147" s="62" t="str">
        <f t="shared" ref="S147:S210" ca="1" si="37">IF(R147&gt;1,R147,"")</f>
        <v/>
      </c>
      <c r="T147" s="62" t="e">
        <f t="shared" ca="1" si="31"/>
        <v>#N/A</v>
      </c>
      <c r="U147" s="62" t="e">
        <f t="shared" ca="1" si="32"/>
        <v>#N/A</v>
      </c>
      <c r="V147" s="62" t="e">
        <f t="shared" ca="1" si="33"/>
        <v>#N/A</v>
      </c>
      <c r="W147" s="60" t="e">
        <f t="shared" ca="1" si="34"/>
        <v>#N/A</v>
      </c>
      <c r="X147" s="60" t="e">
        <f t="shared" ref="X147:X210" ca="1" si="38">VLOOKUP(S147,ModelOutputs,11,FALSE)+X146</f>
        <v>#N/A</v>
      </c>
      <c r="Y147" s="60" t="e">
        <f t="shared" ca="1" si="35"/>
        <v>#N/A</v>
      </c>
      <c r="Z147" s="60" t="e">
        <f t="shared" ca="1" si="36"/>
        <v>#N/A</v>
      </c>
      <c r="AA147" s="92" t="str">
        <f ca="1"/>
        <v/>
      </c>
      <c r="AB147" s="62" t="str">
        <f t="shared" ca="1" si="27"/>
        <v/>
      </c>
      <c r="AC147" s="62" t="e">
        <f t="shared" ca="1" si="28"/>
        <v>#N/A</v>
      </c>
      <c r="AD147" s="62" t="e">
        <f t="shared" ca="1" si="29"/>
        <v>#N/A</v>
      </c>
      <c r="AE147" s="62" t="e">
        <f t="shared" ca="1" si="30"/>
        <v>#N/A</v>
      </c>
    </row>
    <row r="148" spans="18:31" x14ac:dyDescent="0.25">
      <c r="R148" s="92" t="str">
        <f ca="1"/>
        <v/>
      </c>
      <c r="S148" s="62" t="str">
        <f t="shared" ca="1" si="37"/>
        <v/>
      </c>
      <c r="T148" s="62" t="e">
        <f t="shared" ca="1" si="31"/>
        <v>#N/A</v>
      </c>
      <c r="U148" s="62" t="e">
        <f t="shared" ca="1" si="32"/>
        <v>#N/A</v>
      </c>
      <c r="V148" s="62" t="e">
        <f t="shared" ca="1" si="33"/>
        <v>#N/A</v>
      </c>
      <c r="W148" s="60" t="e">
        <f t="shared" ca="1" si="34"/>
        <v>#N/A</v>
      </c>
      <c r="X148" s="60" t="e">
        <f t="shared" ca="1" si="38"/>
        <v>#N/A</v>
      </c>
      <c r="Y148" s="60" t="e">
        <f t="shared" ca="1" si="35"/>
        <v>#N/A</v>
      </c>
      <c r="Z148" s="60" t="e">
        <f t="shared" ca="1" si="36"/>
        <v>#N/A</v>
      </c>
      <c r="AA148" s="92" t="str">
        <f ca="1"/>
        <v/>
      </c>
      <c r="AB148" s="62" t="str">
        <f t="shared" ca="1" si="27"/>
        <v/>
      </c>
      <c r="AC148" s="62" t="e">
        <f t="shared" ca="1" si="28"/>
        <v>#N/A</v>
      </c>
      <c r="AD148" s="62" t="e">
        <f t="shared" ca="1" si="29"/>
        <v>#N/A</v>
      </c>
      <c r="AE148" s="62" t="e">
        <f t="shared" ca="1" si="30"/>
        <v>#N/A</v>
      </c>
    </row>
    <row r="149" spans="18:31" x14ac:dyDescent="0.25">
      <c r="R149" s="92" t="str">
        <f ca="1"/>
        <v/>
      </c>
      <c r="S149" s="62" t="str">
        <f t="shared" ca="1" si="37"/>
        <v/>
      </c>
      <c r="T149" s="62" t="e">
        <f t="shared" ca="1" si="31"/>
        <v>#N/A</v>
      </c>
      <c r="U149" s="62" t="e">
        <f t="shared" ca="1" si="32"/>
        <v>#N/A</v>
      </c>
      <c r="V149" s="62" t="e">
        <f t="shared" ca="1" si="33"/>
        <v>#N/A</v>
      </c>
      <c r="W149" s="60" t="e">
        <f t="shared" ca="1" si="34"/>
        <v>#N/A</v>
      </c>
      <c r="X149" s="60" t="e">
        <f t="shared" ca="1" si="38"/>
        <v>#N/A</v>
      </c>
      <c r="Y149" s="60" t="e">
        <f t="shared" ca="1" si="35"/>
        <v>#N/A</v>
      </c>
      <c r="Z149" s="60" t="e">
        <f t="shared" ca="1" si="36"/>
        <v>#N/A</v>
      </c>
      <c r="AA149" s="92" t="str">
        <f ca="1"/>
        <v/>
      </c>
      <c r="AB149" s="62" t="str">
        <f t="shared" ref="AB149:AB212" ca="1" si="39">IF(AA149&gt;1,AA149,"")</f>
        <v/>
      </c>
      <c r="AC149" s="62" t="e">
        <f t="shared" ref="AC149:AC212" ca="1" si="40">VLOOKUP(AB149,ModelOutputs,2,FALSE)</f>
        <v>#N/A</v>
      </c>
      <c r="AD149" s="62" t="e">
        <f t="shared" ref="AD149:AD212" ca="1" si="41">VLOOKUP(AB149,ModelOutputs,7,FALSE)</f>
        <v>#N/A</v>
      </c>
      <c r="AE149" s="62" t="e">
        <f t="shared" ref="AE149:AE212" ca="1" si="42">VLOOKUP(AB149,ModelOutputs,6,FALSE)</f>
        <v>#N/A</v>
      </c>
    </row>
    <row r="150" spans="18:31" x14ac:dyDescent="0.25">
      <c r="R150" s="92" t="str">
        <f ca="1"/>
        <v/>
      </c>
      <c r="S150" s="62" t="str">
        <f t="shared" ca="1" si="37"/>
        <v/>
      </c>
      <c r="T150" s="62" t="e">
        <f t="shared" ca="1" si="31"/>
        <v>#N/A</v>
      </c>
      <c r="U150" s="62" t="e">
        <f t="shared" ca="1" si="32"/>
        <v>#N/A</v>
      </c>
      <c r="V150" s="62" t="e">
        <f t="shared" ca="1" si="33"/>
        <v>#N/A</v>
      </c>
      <c r="W150" s="60" t="e">
        <f t="shared" ca="1" si="34"/>
        <v>#N/A</v>
      </c>
      <c r="X150" s="60" t="e">
        <f t="shared" ca="1" si="38"/>
        <v>#N/A</v>
      </c>
      <c r="Y150" s="60" t="e">
        <f t="shared" ca="1" si="35"/>
        <v>#N/A</v>
      </c>
      <c r="Z150" s="60" t="e">
        <f t="shared" ca="1" si="36"/>
        <v>#N/A</v>
      </c>
      <c r="AA150" s="92" t="str">
        <f ca="1"/>
        <v/>
      </c>
      <c r="AB150" s="62" t="str">
        <f t="shared" ca="1" si="39"/>
        <v/>
      </c>
      <c r="AC150" s="62" t="e">
        <f t="shared" ca="1" si="40"/>
        <v>#N/A</v>
      </c>
      <c r="AD150" s="62" t="e">
        <f t="shared" ca="1" si="41"/>
        <v>#N/A</v>
      </c>
      <c r="AE150" s="62" t="e">
        <f t="shared" ca="1" si="42"/>
        <v>#N/A</v>
      </c>
    </row>
    <row r="151" spans="18:31" x14ac:dyDescent="0.25">
      <c r="R151" s="92" t="str">
        <f ca="1"/>
        <v/>
      </c>
      <c r="S151" s="62" t="str">
        <f t="shared" ca="1" si="37"/>
        <v/>
      </c>
      <c r="T151" s="62" t="e">
        <f t="shared" ca="1" si="31"/>
        <v>#N/A</v>
      </c>
      <c r="U151" s="62" t="e">
        <f t="shared" ca="1" si="32"/>
        <v>#N/A</v>
      </c>
      <c r="V151" s="62" t="e">
        <f t="shared" ca="1" si="33"/>
        <v>#N/A</v>
      </c>
      <c r="W151" s="60" t="e">
        <f t="shared" ca="1" si="34"/>
        <v>#N/A</v>
      </c>
      <c r="X151" s="60" t="e">
        <f t="shared" ca="1" si="38"/>
        <v>#N/A</v>
      </c>
      <c r="Y151" s="60" t="e">
        <f t="shared" ca="1" si="35"/>
        <v>#N/A</v>
      </c>
      <c r="Z151" s="60" t="e">
        <f t="shared" ca="1" si="36"/>
        <v>#N/A</v>
      </c>
      <c r="AA151" s="92" t="str">
        <f ca="1"/>
        <v/>
      </c>
      <c r="AB151" s="62" t="str">
        <f t="shared" ca="1" si="39"/>
        <v/>
      </c>
      <c r="AC151" s="62" t="e">
        <f t="shared" ca="1" si="40"/>
        <v>#N/A</v>
      </c>
      <c r="AD151" s="62" t="e">
        <f t="shared" ca="1" si="41"/>
        <v>#N/A</v>
      </c>
      <c r="AE151" s="62" t="e">
        <f t="shared" ca="1" si="42"/>
        <v>#N/A</v>
      </c>
    </row>
    <row r="152" spans="18:31" x14ac:dyDescent="0.25">
      <c r="R152" s="92" t="str">
        <f ca="1"/>
        <v/>
      </c>
      <c r="S152" s="62" t="str">
        <f t="shared" ca="1" si="37"/>
        <v/>
      </c>
      <c r="T152" s="62" t="e">
        <f t="shared" ca="1" si="31"/>
        <v>#N/A</v>
      </c>
      <c r="U152" s="62" t="e">
        <f t="shared" ca="1" si="32"/>
        <v>#N/A</v>
      </c>
      <c r="V152" s="62" t="e">
        <f t="shared" ca="1" si="33"/>
        <v>#N/A</v>
      </c>
      <c r="W152" s="60" t="e">
        <f t="shared" ca="1" si="34"/>
        <v>#N/A</v>
      </c>
      <c r="X152" s="60" t="e">
        <f t="shared" ca="1" si="38"/>
        <v>#N/A</v>
      </c>
      <c r="Y152" s="60" t="e">
        <f t="shared" ca="1" si="35"/>
        <v>#N/A</v>
      </c>
      <c r="Z152" s="60" t="e">
        <f t="shared" ca="1" si="36"/>
        <v>#N/A</v>
      </c>
      <c r="AA152" s="92" t="str">
        <f ca="1"/>
        <v/>
      </c>
      <c r="AB152" s="62" t="str">
        <f t="shared" ca="1" si="39"/>
        <v/>
      </c>
      <c r="AC152" s="62" t="e">
        <f t="shared" ca="1" si="40"/>
        <v>#N/A</v>
      </c>
      <c r="AD152" s="62" t="e">
        <f t="shared" ca="1" si="41"/>
        <v>#N/A</v>
      </c>
      <c r="AE152" s="62" t="e">
        <f t="shared" ca="1" si="42"/>
        <v>#N/A</v>
      </c>
    </row>
    <row r="153" spans="18:31" x14ac:dyDescent="0.25">
      <c r="R153" s="92" t="str">
        <f ca="1"/>
        <v/>
      </c>
      <c r="S153" s="62" t="str">
        <f t="shared" ca="1" si="37"/>
        <v/>
      </c>
      <c r="T153" s="62" t="e">
        <f t="shared" ca="1" si="31"/>
        <v>#N/A</v>
      </c>
      <c r="U153" s="62" t="e">
        <f t="shared" ca="1" si="32"/>
        <v>#N/A</v>
      </c>
      <c r="V153" s="62" t="e">
        <f t="shared" ca="1" si="33"/>
        <v>#N/A</v>
      </c>
      <c r="W153" s="60" t="e">
        <f t="shared" ca="1" si="34"/>
        <v>#N/A</v>
      </c>
      <c r="X153" s="60" t="e">
        <f t="shared" ca="1" si="38"/>
        <v>#N/A</v>
      </c>
      <c r="Y153" s="60" t="e">
        <f t="shared" ca="1" si="35"/>
        <v>#N/A</v>
      </c>
      <c r="Z153" s="60" t="e">
        <f t="shared" ca="1" si="36"/>
        <v>#N/A</v>
      </c>
      <c r="AA153" s="92" t="str">
        <f ca="1"/>
        <v/>
      </c>
      <c r="AB153" s="62" t="str">
        <f t="shared" ca="1" si="39"/>
        <v/>
      </c>
      <c r="AC153" s="62" t="e">
        <f t="shared" ca="1" si="40"/>
        <v>#N/A</v>
      </c>
      <c r="AD153" s="62" t="e">
        <f t="shared" ca="1" si="41"/>
        <v>#N/A</v>
      </c>
      <c r="AE153" s="62" t="e">
        <f t="shared" ca="1" si="42"/>
        <v>#N/A</v>
      </c>
    </row>
    <row r="154" spans="18:31" x14ac:dyDescent="0.25">
      <c r="R154" s="92" t="str">
        <f ca="1"/>
        <v/>
      </c>
      <c r="S154" s="62" t="str">
        <f t="shared" ca="1" si="37"/>
        <v/>
      </c>
      <c r="T154" s="62" t="e">
        <f t="shared" ca="1" si="31"/>
        <v>#N/A</v>
      </c>
      <c r="U154" s="62" t="e">
        <f t="shared" ca="1" si="32"/>
        <v>#N/A</v>
      </c>
      <c r="V154" s="62" t="e">
        <f t="shared" ca="1" si="33"/>
        <v>#N/A</v>
      </c>
      <c r="W154" s="60" t="e">
        <f t="shared" ca="1" si="34"/>
        <v>#N/A</v>
      </c>
      <c r="X154" s="60" t="e">
        <f t="shared" ca="1" si="38"/>
        <v>#N/A</v>
      </c>
      <c r="Y154" s="60" t="e">
        <f t="shared" ca="1" si="35"/>
        <v>#N/A</v>
      </c>
      <c r="Z154" s="60" t="e">
        <f t="shared" ca="1" si="36"/>
        <v>#N/A</v>
      </c>
      <c r="AA154" s="92" t="str">
        <f ca="1"/>
        <v/>
      </c>
      <c r="AB154" s="62" t="str">
        <f t="shared" ca="1" si="39"/>
        <v/>
      </c>
      <c r="AC154" s="62" t="e">
        <f t="shared" ca="1" si="40"/>
        <v>#N/A</v>
      </c>
      <c r="AD154" s="62" t="e">
        <f t="shared" ca="1" si="41"/>
        <v>#N/A</v>
      </c>
      <c r="AE154" s="62" t="e">
        <f t="shared" ca="1" si="42"/>
        <v>#N/A</v>
      </c>
    </row>
    <row r="155" spans="18:31" x14ac:dyDescent="0.25">
      <c r="R155" s="92" t="str">
        <f ca="1"/>
        <v/>
      </c>
      <c r="S155" s="62" t="str">
        <f t="shared" ca="1" si="37"/>
        <v/>
      </c>
      <c r="T155" s="62" t="e">
        <f t="shared" ca="1" si="31"/>
        <v>#N/A</v>
      </c>
      <c r="U155" s="62" t="e">
        <f t="shared" ca="1" si="32"/>
        <v>#N/A</v>
      </c>
      <c r="V155" s="62" t="e">
        <f t="shared" ca="1" si="33"/>
        <v>#N/A</v>
      </c>
      <c r="W155" s="60" t="e">
        <f t="shared" ca="1" si="34"/>
        <v>#N/A</v>
      </c>
      <c r="X155" s="60" t="e">
        <f t="shared" ca="1" si="38"/>
        <v>#N/A</v>
      </c>
      <c r="Y155" s="60" t="e">
        <f t="shared" ca="1" si="35"/>
        <v>#N/A</v>
      </c>
      <c r="Z155" s="60" t="e">
        <f t="shared" ca="1" si="36"/>
        <v>#N/A</v>
      </c>
      <c r="AA155" s="92" t="str">
        <f ca="1"/>
        <v/>
      </c>
      <c r="AB155" s="62" t="str">
        <f t="shared" ca="1" si="39"/>
        <v/>
      </c>
      <c r="AC155" s="62" t="e">
        <f t="shared" ca="1" si="40"/>
        <v>#N/A</v>
      </c>
      <c r="AD155" s="62" t="e">
        <f t="shared" ca="1" si="41"/>
        <v>#N/A</v>
      </c>
      <c r="AE155" s="62" t="e">
        <f t="shared" ca="1" si="42"/>
        <v>#N/A</v>
      </c>
    </row>
    <row r="156" spans="18:31" x14ac:dyDescent="0.25">
      <c r="R156" s="92" t="str">
        <f ca="1"/>
        <v/>
      </c>
      <c r="S156" s="62" t="str">
        <f t="shared" ca="1" si="37"/>
        <v/>
      </c>
      <c r="T156" s="62" t="e">
        <f t="shared" ca="1" si="31"/>
        <v>#N/A</v>
      </c>
      <c r="U156" s="62" t="e">
        <f t="shared" ca="1" si="32"/>
        <v>#N/A</v>
      </c>
      <c r="V156" s="62" t="e">
        <f t="shared" ca="1" si="33"/>
        <v>#N/A</v>
      </c>
      <c r="W156" s="60" t="e">
        <f t="shared" ca="1" si="34"/>
        <v>#N/A</v>
      </c>
      <c r="X156" s="60" t="e">
        <f t="shared" ca="1" si="38"/>
        <v>#N/A</v>
      </c>
      <c r="Y156" s="60" t="e">
        <f t="shared" ca="1" si="35"/>
        <v>#N/A</v>
      </c>
      <c r="Z156" s="60" t="e">
        <f t="shared" ca="1" si="36"/>
        <v>#N/A</v>
      </c>
      <c r="AA156" s="92" t="str">
        <f ca="1"/>
        <v/>
      </c>
      <c r="AB156" s="62" t="str">
        <f t="shared" ca="1" si="39"/>
        <v/>
      </c>
      <c r="AC156" s="62" t="e">
        <f t="shared" ca="1" si="40"/>
        <v>#N/A</v>
      </c>
      <c r="AD156" s="62" t="e">
        <f t="shared" ca="1" si="41"/>
        <v>#N/A</v>
      </c>
      <c r="AE156" s="62" t="e">
        <f t="shared" ca="1" si="42"/>
        <v>#N/A</v>
      </c>
    </row>
    <row r="157" spans="18:31" x14ac:dyDescent="0.25">
      <c r="R157" s="92" t="str">
        <f ca="1"/>
        <v/>
      </c>
      <c r="S157" s="62" t="str">
        <f t="shared" ca="1" si="37"/>
        <v/>
      </c>
      <c r="T157" s="62" t="e">
        <f t="shared" ca="1" si="31"/>
        <v>#N/A</v>
      </c>
      <c r="U157" s="62" t="e">
        <f t="shared" ca="1" si="32"/>
        <v>#N/A</v>
      </c>
      <c r="V157" s="62" t="e">
        <f t="shared" ca="1" si="33"/>
        <v>#N/A</v>
      </c>
      <c r="W157" s="60" t="e">
        <f t="shared" ca="1" si="34"/>
        <v>#N/A</v>
      </c>
      <c r="X157" s="60" t="e">
        <f t="shared" ca="1" si="38"/>
        <v>#N/A</v>
      </c>
      <c r="Y157" s="60" t="e">
        <f t="shared" ca="1" si="35"/>
        <v>#N/A</v>
      </c>
      <c r="Z157" s="60" t="e">
        <f t="shared" ca="1" si="36"/>
        <v>#N/A</v>
      </c>
      <c r="AA157" s="92" t="str">
        <f ca="1"/>
        <v/>
      </c>
      <c r="AB157" s="62" t="str">
        <f t="shared" ca="1" si="39"/>
        <v/>
      </c>
      <c r="AC157" s="62" t="e">
        <f t="shared" ca="1" si="40"/>
        <v>#N/A</v>
      </c>
      <c r="AD157" s="62" t="e">
        <f t="shared" ca="1" si="41"/>
        <v>#N/A</v>
      </c>
      <c r="AE157" s="62" t="e">
        <f t="shared" ca="1" si="42"/>
        <v>#N/A</v>
      </c>
    </row>
    <row r="158" spans="18:31" x14ac:dyDescent="0.25">
      <c r="R158" s="92" t="str">
        <f ca="1"/>
        <v/>
      </c>
      <c r="S158" s="62" t="str">
        <f t="shared" ca="1" si="37"/>
        <v/>
      </c>
      <c r="T158" s="62" t="e">
        <f t="shared" ca="1" si="31"/>
        <v>#N/A</v>
      </c>
      <c r="U158" s="62" t="e">
        <f t="shared" ca="1" si="32"/>
        <v>#N/A</v>
      </c>
      <c r="V158" s="62" t="e">
        <f t="shared" ca="1" si="33"/>
        <v>#N/A</v>
      </c>
      <c r="W158" s="60" t="e">
        <f t="shared" ca="1" si="34"/>
        <v>#N/A</v>
      </c>
      <c r="X158" s="60" t="e">
        <f t="shared" ca="1" si="38"/>
        <v>#N/A</v>
      </c>
      <c r="Y158" s="60" t="e">
        <f t="shared" ca="1" si="35"/>
        <v>#N/A</v>
      </c>
      <c r="Z158" s="60" t="e">
        <f t="shared" ca="1" si="36"/>
        <v>#N/A</v>
      </c>
      <c r="AA158" s="92" t="str">
        <f ca="1"/>
        <v/>
      </c>
      <c r="AB158" s="62" t="str">
        <f t="shared" ca="1" si="39"/>
        <v/>
      </c>
      <c r="AC158" s="62" t="e">
        <f t="shared" ca="1" si="40"/>
        <v>#N/A</v>
      </c>
      <c r="AD158" s="62" t="e">
        <f t="shared" ca="1" si="41"/>
        <v>#N/A</v>
      </c>
      <c r="AE158" s="62" t="e">
        <f t="shared" ca="1" si="42"/>
        <v>#N/A</v>
      </c>
    </row>
    <row r="159" spans="18:31" x14ac:dyDescent="0.25">
      <c r="R159" s="92" t="str">
        <f ca="1"/>
        <v/>
      </c>
      <c r="S159" s="62" t="str">
        <f t="shared" ca="1" si="37"/>
        <v/>
      </c>
      <c r="T159" s="62" t="e">
        <f t="shared" ca="1" si="31"/>
        <v>#N/A</v>
      </c>
      <c r="U159" s="62" t="e">
        <f t="shared" ca="1" si="32"/>
        <v>#N/A</v>
      </c>
      <c r="V159" s="62" t="e">
        <f t="shared" ca="1" si="33"/>
        <v>#N/A</v>
      </c>
      <c r="W159" s="60" t="e">
        <f t="shared" ca="1" si="34"/>
        <v>#N/A</v>
      </c>
      <c r="X159" s="60" t="e">
        <f t="shared" ca="1" si="38"/>
        <v>#N/A</v>
      </c>
      <c r="Y159" s="60" t="e">
        <f t="shared" ca="1" si="35"/>
        <v>#N/A</v>
      </c>
      <c r="Z159" s="60" t="e">
        <f t="shared" ca="1" si="36"/>
        <v>#N/A</v>
      </c>
      <c r="AA159" s="92" t="str">
        <f ca="1"/>
        <v/>
      </c>
      <c r="AB159" s="62" t="str">
        <f t="shared" ca="1" si="39"/>
        <v/>
      </c>
      <c r="AC159" s="62" t="e">
        <f t="shared" ca="1" si="40"/>
        <v>#N/A</v>
      </c>
      <c r="AD159" s="62" t="e">
        <f t="shared" ca="1" si="41"/>
        <v>#N/A</v>
      </c>
      <c r="AE159" s="62" t="e">
        <f t="shared" ca="1" si="42"/>
        <v>#N/A</v>
      </c>
    </row>
    <row r="160" spans="18:31" x14ac:dyDescent="0.25">
      <c r="R160" s="92" t="str">
        <f ca="1"/>
        <v/>
      </c>
      <c r="S160" s="62" t="str">
        <f t="shared" ca="1" si="37"/>
        <v/>
      </c>
      <c r="T160" s="62" t="e">
        <f t="shared" ca="1" si="31"/>
        <v>#N/A</v>
      </c>
      <c r="U160" s="62" t="e">
        <f t="shared" ca="1" si="32"/>
        <v>#N/A</v>
      </c>
      <c r="V160" s="62" t="e">
        <f t="shared" ca="1" si="33"/>
        <v>#N/A</v>
      </c>
      <c r="W160" s="60" t="e">
        <f t="shared" ca="1" si="34"/>
        <v>#N/A</v>
      </c>
      <c r="X160" s="60" t="e">
        <f t="shared" ca="1" si="38"/>
        <v>#N/A</v>
      </c>
      <c r="Y160" s="60" t="e">
        <f t="shared" ca="1" si="35"/>
        <v>#N/A</v>
      </c>
      <c r="Z160" s="60" t="e">
        <f t="shared" ca="1" si="36"/>
        <v>#N/A</v>
      </c>
      <c r="AA160" s="92" t="str">
        <f ca="1"/>
        <v/>
      </c>
      <c r="AB160" s="62" t="str">
        <f t="shared" ca="1" si="39"/>
        <v/>
      </c>
      <c r="AC160" s="62" t="e">
        <f t="shared" ca="1" si="40"/>
        <v>#N/A</v>
      </c>
      <c r="AD160" s="62" t="e">
        <f t="shared" ca="1" si="41"/>
        <v>#N/A</v>
      </c>
      <c r="AE160" s="62" t="e">
        <f t="shared" ca="1" si="42"/>
        <v>#N/A</v>
      </c>
    </row>
    <row r="161" spans="18:31" x14ac:dyDescent="0.25">
      <c r="R161" s="92" t="str">
        <f ca="1"/>
        <v/>
      </c>
      <c r="S161" s="62" t="str">
        <f t="shared" ca="1" si="37"/>
        <v/>
      </c>
      <c r="T161" s="62" t="e">
        <f t="shared" ca="1" si="31"/>
        <v>#N/A</v>
      </c>
      <c r="U161" s="62" t="e">
        <f t="shared" ca="1" si="32"/>
        <v>#N/A</v>
      </c>
      <c r="V161" s="62" t="e">
        <f t="shared" ca="1" si="33"/>
        <v>#N/A</v>
      </c>
      <c r="W161" s="60" t="e">
        <f t="shared" ca="1" si="34"/>
        <v>#N/A</v>
      </c>
      <c r="X161" s="60" t="e">
        <f t="shared" ca="1" si="38"/>
        <v>#N/A</v>
      </c>
      <c r="Y161" s="60" t="e">
        <f t="shared" ca="1" si="35"/>
        <v>#N/A</v>
      </c>
      <c r="Z161" s="60" t="e">
        <f t="shared" ca="1" si="36"/>
        <v>#N/A</v>
      </c>
      <c r="AA161" s="92" t="str">
        <f ca="1"/>
        <v/>
      </c>
      <c r="AB161" s="62" t="str">
        <f t="shared" ca="1" si="39"/>
        <v/>
      </c>
      <c r="AC161" s="62" t="e">
        <f t="shared" ca="1" si="40"/>
        <v>#N/A</v>
      </c>
      <c r="AD161" s="62" t="e">
        <f t="shared" ca="1" si="41"/>
        <v>#N/A</v>
      </c>
      <c r="AE161" s="62" t="e">
        <f t="shared" ca="1" si="42"/>
        <v>#N/A</v>
      </c>
    </row>
    <row r="162" spans="18:31" x14ac:dyDescent="0.25">
      <c r="R162" s="92" t="str">
        <f ca="1"/>
        <v/>
      </c>
      <c r="S162" s="62" t="str">
        <f t="shared" ca="1" si="37"/>
        <v/>
      </c>
      <c r="T162" s="62" t="e">
        <f t="shared" ca="1" si="31"/>
        <v>#N/A</v>
      </c>
      <c r="U162" s="62" t="e">
        <f t="shared" ca="1" si="32"/>
        <v>#N/A</v>
      </c>
      <c r="V162" s="62" t="e">
        <f t="shared" ca="1" si="33"/>
        <v>#N/A</v>
      </c>
      <c r="W162" s="60" t="e">
        <f t="shared" ca="1" si="34"/>
        <v>#N/A</v>
      </c>
      <c r="X162" s="60" t="e">
        <f t="shared" ca="1" si="38"/>
        <v>#N/A</v>
      </c>
      <c r="Y162" s="60" t="e">
        <f t="shared" ca="1" si="35"/>
        <v>#N/A</v>
      </c>
      <c r="Z162" s="60" t="e">
        <f t="shared" ca="1" si="36"/>
        <v>#N/A</v>
      </c>
      <c r="AA162" s="92" t="str">
        <f ca="1"/>
        <v/>
      </c>
      <c r="AB162" s="62" t="str">
        <f t="shared" ca="1" si="39"/>
        <v/>
      </c>
      <c r="AC162" s="62" t="e">
        <f t="shared" ca="1" si="40"/>
        <v>#N/A</v>
      </c>
      <c r="AD162" s="62" t="e">
        <f t="shared" ca="1" si="41"/>
        <v>#N/A</v>
      </c>
      <c r="AE162" s="62" t="e">
        <f t="shared" ca="1" si="42"/>
        <v>#N/A</v>
      </c>
    </row>
    <row r="163" spans="18:31" x14ac:dyDescent="0.25">
      <c r="R163" s="92" t="str">
        <f ca="1"/>
        <v/>
      </c>
      <c r="S163" s="62" t="str">
        <f t="shared" ca="1" si="37"/>
        <v/>
      </c>
      <c r="T163" s="62" t="e">
        <f t="shared" ca="1" si="31"/>
        <v>#N/A</v>
      </c>
      <c r="U163" s="62" t="e">
        <f t="shared" ca="1" si="32"/>
        <v>#N/A</v>
      </c>
      <c r="V163" s="62" t="e">
        <f t="shared" ca="1" si="33"/>
        <v>#N/A</v>
      </c>
      <c r="W163" s="60" t="e">
        <f t="shared" ca="1" si="34"/>
        <v>#N/A</v>
      </c>
      <c r="X163" s="60" t="e">
        <f t="shared" ca="1" si="38"/>
        <v>#N/A</v>
      </c>
      <c r="Y163" s="60" t="e">
        <f t="shared" ca="1" si="35"/>
        <v>#N/A</v>
      </c>
      <c r="Z163" s="60" t="e">
        <f t="shared" ca="1" si="36"/>
        <v>#N/A</v>
      </c>
      <c r="AA163" s="92" t="str">
        <f ca="1"/>
        <v/>
      </c>
      <c r="AB163" s="62" t="str">
        <f t="shared" ca="1" si="39"/>
        <v/>
      </c>
      <c r="AC163" s="62" t="e">
        <f t="shared" ca="1" si="40"/>
        <v>#N/A</v>
      </c>
      <c r="AD163" s="62" t="e">
        <f t="shared" ca="1" si="41"/>
        <v>#N/A</v>
      </c>
      <c r="AE163" s="62" t="e">
        <f t="shared" ca="1" si="42"/>
        <v>#N/A</v>
      </c>
    </row>
    <row r="164" spans="18:31" x14ac:dyDescent="0.25">
      <c r="R164" s="92" t="str">
        <f ca="1"/>
        <v/>
      </c>
      <c r="S164" s="62" t="str">
        <f t="shared" ca="1" si="37"/>
        <v/>
      </c>
      <c r="T164" s="62" t="e">
        <f t="shared" ca="1" si="31"/>
        <v>#N/A</v>
      </c>
      <c r="U164" s="62" t="e">
        <f t="shared" ca="1" si="32"/>
        <v>#N/A</v>
      </c>
      <c r="V164" s="62" t="e">
        <f t="shared" ca="1" si="33"/>
        <v>#N/A</v>
      </c>
      <c r="W164" s="60" t="e">
        <f t="shared" ca="1" si="34"/>
        <v>#N/A</v>
      </c>
      <c r="X164" s="60" t="e">
        <f t="shared" ca="1" si="38"/>
        <v>#N/A</v>
      </c>
      <c r="Y164" s="60" t="e">
        <f t="shared" ca="1" si="35"/>
        <v>#N/A</v>
      </c>
      <c r="Z164" s="60" t="e">
        <f t="shared" ca="1" si="36"/>
        <v>#N/A</v>
      </c>
      <c r="AA164" s="92" t="str">
        <f ca="1"/>
        <v/>
      </c>
      <c r="AB164" s="62" t="str">
        <f t="shared" ca="1" si="39"/>
        <v/>
      </c>
      <c r="AC164" s="62" t="e">
        <f t="shared" ca="1" si="40"/>
        <v>#N/A</v>
      </c>
      <c r="AD164" s="62" t="e">
        <f t="shared" ca="1" si="41"/>
        <v>#N/A</v>
      </c>
      <c r="AE164" s="62" t="e">
        <f t="shared" ca="1" si="42"/>
        <v>#N/A</v>
      </c>
    </row>
    <row r="165" spans="18:31" x14ac:dyDescent="0.25">
      <c r="R165" s="92" t="str">
        <f ca="1"/>
        <v/>
      </c>
      <c r="S165" s="62" t="str">
        <f t="shared" ca="1" si="37"/>
        <v/>
      </c>
      <c r="T165" s="62" t="e">
        <f t="shared" ca="1" si="31"/>
        <v>#N/A</v>
      </c>
      <c r="U165" s="62" t="e">
        <f t="shared" ca="1" si="32"/>
        <v>#N/A</v>
      </c>
      <c r="V165" s="62" t="e">
        <f t="shared" ca="1" si="33"/>
        <v>#N/A</v>
      </c>
      <c r="W165" s="60" t="e">
        <f t="shared" ca="1" si="34"/>
        <v>#N/A</v>
      </c>
      <c r="X165" s="60" t="e">
        <f t="shared" ca="1" si="38"/>
        <v>#N/A</v>
      </c>
      <c r="Y165" s="60" t="e">
        <f t="shared" ca="1" si="35"/>
        <v>#N/A</v>
      </c>
      <c r="Z165" s="60" t="e">
        <f t="shared" ca="1" si="36"/>
        <v>#N/A</v>
      </c>
      <c r="AA165" s="92" t="str">
        <f ca="1"/>
        <v/>
      </c>
      <c r="AB165" s="62" t="str">
        <f t="shared" ca="1" si="39"/>
        <v/>
      </c>
      <c r="AC165" s="62" t="e">
        <f t="shared" ca="1" si="40"/>
        <v>#N/A</v>
      </c>
      <c r="AD165" s="62" t="e">
        <f t="shared" ca="1" si="41"/>
        <v>#N/A</v>
      </c>
      <c r="AE165" s="62" t="e">
        <f t="shared" ca="1" si="42"/>
        <v>#N/A</v>
      </c>
    </row>
    <row r="166" spans="18:31" x14ac:dyDescent="0.25">
      <c r="R166" s="92" t="str">
        <f ca="1"/>
        <v/>
      </c>
      <c r="S166" s="62" t="str">
        <f t="shared" ca="1" si="37"/>
        <v/>
      </c>
      <c r="T166" s="62" t="e">
        <f t="shared" ca="1" si="31"/>
        <v>#N/A</v>
      </c>
      <c r="U166" s="62" t="e">
        <f t="shared" ca="1" si="32"/>
        <v>#N/A</v>
      </c>
      <c r="V166" s="62" t="e">
        <f t="shared" ca="1" si="33"/>
        <v>#N/A</v>
      </c>
      <c r="W166" s="60" t="e">
        <f t="shared" ca="1" si="34"/>
        <v>#N/A</v>
      </c>
      <c r="X166" s="60" t="e">
        <f t="shared" ca="1" si="38"/>
        <v>#N/A</v>
      </c>
      <c r="Y166" s="60" t="e">
        <f t="shared" ca="1" si="35"/>
        <v>#N/A</v>
      </c>
      <c r="Z166" s="60" t="e">
        <f t="shared" ca="1" si="36"/>
        <v>#N/A</v>
      </c>
      <c r="AA166" s="92" t="str">
        <f ca="1"/>
        <v/>
      </c>
      <c r="AB166" s="62" t="str">
        <f t="shared" ca="1" si="39"/>
        <v/>
      </c>
      <c r="AC166" s="62" t="e">
        <f t="shared" ca="1" si="40"/>
        <v>#N/A</v>
      </c>
      <c r="AD166" s="62" t="e">
        <f t="shared" ca="1" si="41"/>
        <v>#N/A</v>
      </c>
      <c r="AE166" s="62" t="e">
        <f t="shared" ca="1" si="42"/>
        <v>#N/A</v>
      </c>
    </row>
    <row r="167" spans="18:31" x14ac:dyDescent="0.25">
      <c r="R167" s="92" t="str">
        <f ca="1"/>
        <v/>
      </c>
      <c r="S167" s="62" t="str">
        <f t="shared" ca="1" si="37"/>
        <v/>
      </c>
      <c r="T167" s="62" t="e">
        <f t="shared" ca="1" si="31"/>
        <v>#N/A</v>
      </c>
      <c r="U167" s="62" t="e">
        <f t="shared" ca="1" si="32"/>
        <v>#N/A</v>
      </c>
      <c r="V167" s="62" t="e">
        <f t="shared" ca="1" si="33"/>
        <v>#N/A</v>
      </c>
      <c r="W167" s="60" t="e">
        <f t="shared" ca="1" si="34"/>
        <v>#N/A</v>
      </c>
      <c r="X167" s="60" t="e">
        <f t="shared" ca="1" si="38"/>
        <v>#N/A</v>
      </c>
      <c r="Y167" s="60" t="e">
        <f t="shared" ca="1" si="35"/>
        <v>#N/A</v>
      </c>
      <c r="Z167" s="60" t="e">
        <f t="shared" ca="1" si="36"/>
        <v>#N/A</v>
      </c>
      <c r="AA167" s="92" t="str">
        <f ca="1"/>
        <v/>
      </c>
      <c r="AB167" s="62" t="str">
        <f t="shared" ca="1" si="39"/>
        <v/>
      </c>
      <c r="AC167" s="62" t="e">
        <f t="shared" ca="1" si="40"/>
        <v>#N/A</v>
      </c>
      <c r="AD167" s="62" t="e">
        <f t="shared" ca="1" si="41"/>
        <v>#N/A</v>
      </c>
      <c r="AE167" s="62" t="e">
        <f t="shared" ca="1" si="42"/>
        <v>#N/A</v>
      </c>
    </row>
    <row r="168" spans="18:31" x14ac:dyDescent="0.25">
      <c r="R168" s="92" t="str">
        <f ca="1"/>
        <v/>
      </c>
      <c r="S168" s="62" t="str">
        <f t="shared" ca="1" si="37"/>
        <v/>
      </c>
      <c r="T168" s="62" t="e">
        <f t="shared" ca="1" si="31"/>
        <v>#N/A</v>
      </c>
      <c r="U168" s="62" t="e">
        <f t="shared" ca="1" si="32"/>
        <v>#N/A</v>
      </c>
      <c r="V168" s="62" t="e">
        <f t="shared" ca="1" si="33"/>
        <v>#N/A</v>
      </c>
      <c r="W168" s="60" t="e">
        <f t="shared" ca="1" si="34"/>
        <v>#N/A</v>
      </c>
      <c r="X168" s="60" t="e">
        <f t="shared" ca="1" si="38"/>
        <v>#N/A</v>
      </c>
      <c r="Y168" s="60" t="e">
        <f t="shared" ca="1" si="35"/>
        <v>#N/A</v>
      </c>
      <c r="Z168" s="60" t="e">
        <f t="shared" ca="1" si="36"/>
        <v>#N/A</v>
      </c>
      <c r="AA168" s="92" t="str">
        <f ca="1"/>
        <v/>
      </c>
      <c r="AB168" s="62" t="str">
        <f t="shared" ca="1" si="39"/>
        <v/>
      </c>
      <c r="AC168" s="62" t="e">
        <f t="shared" ca="1" si="40"/>
        <v>#N/A</v>
      </c>
      <c r="AD168" s="62" t="e">
        <f t="shared" ca="1" si="41"/>
        <v>#N/A</v>
      </c>
      <c r="AE168" s="62" t="e">
        <f t="shared" ca="1" si="42"/>
        <v>#N/A</v>
      </c>
    </row>
    <row r="169" spans="18:31" x14ac:dyDescent="0.25">
      <c r="R169" s="92" t="str">
        <f ca="1"/>
        <v/>
      </c>
      <c r="S169" s="62" t="str">
        <f t="shared" ca="1" si="37"/>
        <v/>
      </c>
      <c r="T169" s="62" t="e">
        <f t="shared" ca="1" si="31"/>
        <v>#N/A</v>
      </c>
      <c r="U169" s="62" t="e">
        <f t="shared" ca="1" si="32"/>
        <v>#N/A</v>
      </c>
      <c r="V169" s="62" t="e">
        <f t="shared" ca="1" si="33"/>
        <v>#N/A</v>
      </c>
      <c r="W169" s="60" t="e">
        <f t="shared" ca="1" si="34"/>
        <v>#N/A</v>
      </c>
      <c r="X169" s="60" t="e">
        <f t="shared" ca="1" si="38"/>
        <v>#N/A</v>
      </c>
      <c r="Y169" s="60" t="e">
        <f t="shared" ca="1" si="35"/>
        <v>#N/A</v>
      </c>
      <c r="Z169" s="60" t="e">
        <f t="shared" ca="1" si="36"/>
        <v>#N/A</v>
      </c>
      <c r="AA169" s="92" t="str">
        <f ca="1"/>
        <v/>
      </c>
      <c r="AB169" s="62" t="str">
        <f t="shared" ca="1" si="39"/>
        <v/>
      </c>
      <c r="AC169" s="62" t="e">
        <f t="shared" ca="1" si="40"/>
        <v>#N/A</v>
      </c>
      <c r="AD169" s="62" t="e">
        <f t="shared" ca="1" si="41"/>
        <v>#N/A</v>
      </c>
      <c r="AE169" s="62" t="e">
        <f t="shared" ca="1" si="42"/>
        <v>#N/A</v>
      </c>
    </row>
    <row r="170" spans="18:31" x14ac:dyDescent="0.25">
      <c r="R170" s="92" t="str">
        <f ca="1"/>
        <v/>
      </c>
      <c r="S170" s="62" t="str">
        <f t="shared" ca="1" si="37"/>
        <v/>
      </c>
      <c r="T170" s="62" t="e">
        <f t="shared" ca="1" si="31"/>
        <v>#N/A</v>
      </c>
      <c r="U170" s="62" t="e">
        <f t="shared" ca="1" si="32"/>
        <v>#N/A</v>
      </c>
      <c r="V170" s="62" t="e">
        <f t="shared" ca="1" si="33"/>
        <v>#N/A</v>
      </c>
      <c r="W170" s="60" t="e">
        <f t="shared" ca="1" si="34"/>
        <v>#N/A</v>
      </c>
      <c r="X170" s="60" t="e">
        <f t="shared" ca="1" si="38"/>
        <v>#N/A</v>
      </c>
      <c r="Y170" s="60" t="e">
        <f t="shared" ca="1" si="35"/>
        <v>#N/A</v>
      </c>
      <c r="Z170" s="60" t="e">
        <f t="shared" ca="1" si="36"/>
        <v>#N/A</v>
      </c>
      <c r="AA170" s="92" t="str">
        <f ca="1"/>
        <v/>
      </c>
      <c r="AB170" s="62" t="str">
        <f t="shared" ca="1" si="39"/>
        <v/>
      </c>
      <c r="AC170" s="62" t="e">
        <f t="shared" ca="1" si="40"/>
        <v>#N/A</v>
      </c>
      <c r="AD170" s="62" t="e">
        <f t="shared" ca="1" si="41"/>
        <v>#N/A</v>
      </c>
      <c r="AE170" s="62" t="e">
        <f t="shared" ca="1" si="42"/>
        <v>#N/A</v>
      </c>
    </row>
    <row r="171" spans="18:31" x14ac:dyDescent="0.25">
      <c r="R171" s="92" t="str">
        <f ca="1"/>
        <v/>
      </c>
      <c r="S171" s="62" t="str">
        <f t="shared" ca="1" si="37"/>
        <v/>
      </c>
      <c r="T171" s="62" t="e">
        <f t="shared" ca="1" si="31"/>
        <v>#N/A</v>
      </c>
      <c r="U171" s="62" t="e">
        <f t="shared" ca="1" si="32"/>
        <v>#N/A</v>
      </c>
      <c r="V171" s="62" t="e">
        <f t="shared" ca="1" si="33"/>
        <v>#N/A</v>
      </c>
      <c r="W171" s="60" t="e">
        <f t="shared" ca="1" si="34"/>
        <v>#N/A</v>
      </c>
      <c r="X171" s="60" t="e">
        <f t="shared" ca="1" si="38"/>
        <v>#N/A</v>
      </c>
      <c r="Y171" s="60" t="e">
        <f t="shared" ca="1" si="35"/>
        <v>#N/A</v>
      </c>
      <c r="Z171" s="60" t="e">
        <f t="shared" ca="1" si="36"/>
        <v>#N/A</v>
      </c>
      <c r="AA171" s="92" t="str">
        <f ca="1"/>
        <v/>
      </c>
      <c r="AB171" s="62" t="str">
        <f t="shared" ca="1" si="39"/>
        <v/>
      </c>
      <c r="AC171" s="62" t="e">
        <f t="shared" ca="1" si="40"/>
        <v>#N/A</v>
      </c>
      <c r="AD171" s="62" t="e">
        <f t="shared" ca="1" si="41"/>
        <v>#N/A</v>
      </c>
      <c r="AE171" s="62" t="e">
        <f t="shared" ca="1" si="42"/>
        <v>#N/A</v>
      </c>
    </row>
    <row r="172" spans="18:31" x14ac:dyDescent="0.25">
      <c r="R172" s="92" t="str">
        <f ca="1"/>
        <v/>
      </c>
      <c r="S172" s="62" t="str">
        <f t="shared" ca="1" si="37"/>
        <v/>
      </c>
      <c r="T172" s="62" t="e">
        <f t="shared" ca="1" si="31"/>
        <v>#N/A</v>
      </c>
      <c r="U172" s="62" t="e">
        <f t="shared" ca="1" si="32"/>
        <v>#N/A</v>
      </c>
      <c r="V172" s="62" t="e">
        <f t="shared" ca="1" si="33"/>
        <v>#N/A</v>
      </c>
      <c r="W172" s="60" t="e">
        <f t="shared" ca="1" si="34"/>
        <v>#N/A</v>
      </c>
      <c r="X172" s="60" t="e">
        <f t="shared" ca="1" si="38"/>
        <v>#N/A</v>
      </c>
      <c r="Y172" s="60" t="e">
        <f t="shared" ca="1" si="35"/>
        <v>#N/A</v>
      </c>
      <c r="Z172" s="60" t="e">
        <f t="shared" ca="1" si="36"/>
        <v>#N/A</v>
      </c>
      <c r="AA172" s="92" t="str">
        <f ca="1"/>
        <v/>
      </c>
      <c r="AB172" s="62" t="str">
        <f t="shared" ca="1" si="39"/>
        <v/>
      </c>
      <c r="AC172" s="62" t="e">
        <f t="shared" ca="1" si="40"/>
        <v>#N/A</v>
      </c>
      <c r="AD172" s="62" t="e">
        <f t="shared" ca="1" si="41"/>
        <v>#N/A</v>
      </c>
      <c r="AE172" s="62" t="e">
        <f t="shared" ca="1" si="42"/>
        <v>#N/A</v>
      </c>
    </row>
    <row r="173" spans="18:31" x14ac:dyDescent="0.25">
      <c r="R173" s="92" t="str">
        <f ca="1"/>
        <v/>
      </c>
      <c r="S173" s="62" t="str">
        <f t="shared" ca="1" si="37"/>
        <v/>
      </c>
      <c r="T173" s="62" t="e">
        <f t="shared" ca="1" si="31"/>
        <v>#N/A</v>
      </c>
      <c r="U173" s="62" t="e">
        <f t="shared" ca="1" si="32"/>
        <v>#N/A</v>
      </c>
      <c r="V173" s="62" t="e">
        <f t="shared" ca="1" si="33"/>
        <v>#N/A</v>
      </c>
      <c r="W173" s="60" t="e">
        <f t="shared" ca="1" si="34"/>
        <v>#N/A</v>
      </c>
      <c r="X173" s="60" t="e">
        <f t="shared" ca="1" si="38"/>
        <v>#N/A</v>
      </c>
      <c r="Y173" s="60" t="e">
        <f t="shared" ca="1" si="35"/>
        <v>#N/A</v>
      </c>
      <c r="Z173" s="60" t="e">
        <f t="shared" ca="1" si="36"/>
        <v>#N/A</v>
      </c>
      <c r="AA173" s="92" t="str">
        <f ca="1"/>
        <v/>
      </c>
      <c r="AB173" s="62" t="str">
        <f t="shared" ca="1" si="39"/>
        <v/>
      </c>
      <c r="AC173" s="62" t="e">
        <f t="shared" ca="1" si="40"/>
        <v>#N/A</v>
      </c>
      <c r="AD173" s="62" t="e">
        <f t="shared" ca="1" si="41"/>
        <v>#N/A</v>
      </c>
      <c r="AE173" s="62" t="e">
        <f t="shared" ca="1" si="42"/>
        <v>#N/A</v>
      </c>
    </row>
    <row r="174" spans="18:31" x14ac:dyDescent="0.25">
      <c r="R174" s="92" t="str">
        <f ca="1"/>
        <v/>
      </c>
      <c r="S174" s="62" t="str">
        <f t="shared" ca="1" si="37"/>
        <v/>
      </c>
      <c r="T174" s="62" t="e">
        <f t="shared" ca="1" si="31"/>
        <v>#N/A</v>
      </c>
      <c r="U174" s="62" t="e">
        <f t="shared" ca="1" si="32"/>
        <v>#N/A</v>
      </c>
      <c r="V174" s="62" t="e">
        <f t="shared" ca="1" si="33"/>
        <v>#N/A</v>
      </c>
      <c r="W174" s="60" t="e">
        <f t="shared" ca="1" si="34"/>
        <v>#N/A</v>
      </c>
      <c r="X174" s="60" t="e">
        <f t="shared" ca="1" si="38"/>
        <v>#N/A</v>
      </c>
      <c r="Y174" s="60" t="e">
        <f t="shared" ca="1" si="35"/>
        <v>#N/A</v>
      </c>
      <c r="Z174" s="60" t="e">
        <f t="shared" ca="1" si="36"/>
        <v>#N/A</v>
      </c>
      <c r="AA174" s="92" t="str">
        <f ca="1"/>
        <v/>
      </c>
      <c r="AB174" s="62" t="str">
        <f t="shared" ca="1" si="39"/>
        <v/>
      </c>
      <c r="AC174" s="62" t="e">
        <f t="shared" ca="1" si="40"/>
        <v>#N/A</v>
      </c>
      <c r="AD174" s="62" t="e">
        <f t="shared" ca="1" si="41"/>
        <v>#N/A</v>
      </c>
      <c r="AE174" s="62" t="e">
        <f t="shared" ca="1" si="42"/>
        <v>#N/A</v>
      </c>
    </row>
    <row r="175" spans="18:31" x14ac:dyDescent="0.25">
      <c r="R175" s="92" t="str">
        <f ca="1"/>
        <v/>
      </c>
      <c r="S175" s="62" t="str">
        <f t="shared" ca="1" si="37"/>
        <v/>
      </c>
      <c r="T175" s="62" t="e">
        <f t="shared" ca="1" si="31"/>
        <v>#N/A</v>
      </c>
      <c r="U175" s="62" t="e">
        <f t="shared" ca="1" si="32"/>
        <v>#N/A</v>
      </c>
      <c r="V175" s="62" t="e">
        <f t="shared" ca="1" si="33"/>
        <v>#N/A</v>
      </c>
      <c r="W175" s="60" t="e">
        <f t="shared" ca="1" si="34"/>
        <v>#N/A</v>
      </c>
      <c r="X175" s="60" t="e">
        <f t="shared" ca="1" si="38"/>
        <v>#N/A</v>
      </c>
      <c r="Y175" s="60" t="e">
        <f t="shared" ca="1" si="35"/>
        <v>#N/A</v>
      </c>
      <c r="Z175" s="60" t="e">
        <f t="shared" ca="1" si="36"/>
        <v>#N/A</v>
      </c>
      <c r="AA175" s="92" t="str">
        <f ca="1"/>
        <v/>
      </c>
      <c r="AB175" s="62" t="str">
        <f t="shared" ca="1" si="39"/>
        <v/>
      </c>
      <c r="AC175" s="62" t="e">
        <f t="shared" ca="1" si="40"/>
        <v>#N/A</v>
      </c>
      <c r="AD175" s="62" t="e">
        <f t="shared" ca="1" si="41"/>
        <v>#N/A</v>
      </c>
      <c r="AE175" s="62" t="e">
        <f t="shared" ca="1" si="42"/>
        <v>#N/A</v>
      </c>
    </row>
    <row r="176" spans="18:31" x14ac:dyDescent="0.25">
      <c r="R176" s="92" t="str">
        <f ca="1"/>
        <v/>
      </c>
      <c r="S176" s="62" t="str">
        <f t="shared" ca="1" si="37"/>
        <v/>
      </c>
      <c r="T176" s="62" t="e">
        <f t="shared" ca="1" si="31"/>
        <v>#N/A</v>
      </c>
      <c r="U176" s="62" t="e">
        <f t="shared" ca="1" si="32"/>
        <v>#N/A</v>
      </c>
      <c r="V176" s="62" t="e">
        <f t="shared" ca="1" si="33"/>
        <v>#N/A</v>
      </c>
      <c r="W176" s="60" t="e">
        <f t="shared" ca="1" si="34"/>
        <v>#N/A</v>
      </c>
      <c r="X176" s="60" t="e">
        <f t="shared" ca="1" si="38"/>
        <v>#N/A</v>
      </c>
      <c r="Y176" s="60" t="e">
        <f t="shared" ca="1" si="35"/>
        <v>#N/A</v>
      </c>
      <c r="Z176" s="60" t="e">
        <f t="shared" ca="1" si="36"/>
        <v>#N/A</v>
      </c>
      <c r="AA176" s="92" t="str">
        <f ca="1"/>
        <v/>
      </c>
      <c r="AB176" s="62" t="str">
        <f t="shared" ca="1" si="39"/>
        <v/>
      </c>
      <c r="AC176" s="62" t="e">
        <f t="shared" ca="1" si="40"/>
        <v>#N/A</v>
      </c>
      <c r="AD176" s="62" t="e">
        <f t="shared" ca="1" si="41"/>
        <v>#N/A</v>
      </c>
      <c r="AE176" s="62" t="e">
        <f t="shared" ca="1" si="42"/>
        <v>#N/A</v>
      </c>
    </row>
    <row r="177" spans="18:31" x14ac:dyDescent="0.25">
      <c r="R177" s="92" t="str">
        <f ca="1"/>
        <v/>
      </c>
      <c r="S177" s="62" t="str">
        <f t="shared" ca="1" si="37"/>
        <v/>
      </c>
      <c r="T177" s="62" t="e">
        <f t="shared" ca="1" si="31"/>
        <v>#N/A</v>
      </c>
      <c r="U177" s="62" t="e">
        <f t="shared" ca="1" si="32"/>
        <v>#N/A</v>
      </c>
      <c r="V177" s="62" t="e">
        <f t="shared" ca="1" si="33"/>
        <v>#N/A</v>
      </c>
      <c r="W177" s="60" t="e">
        <f t="shared" ca="1" si="34"/>
        <v>#N/A</v>
      </c>
      <c r="X177" s="60" t="e">
        <f t="shared" ca="1" si="38"/>
        <v>#N/A</v>
      </c>
      <c r="Y177" s="60" t="e">
        <f t="shared" ca="1" si="35"/>
        <v>#N/A</v>
      </c>
      <c r="Z177" s="60" t="e">
        <f t="shared" ca="1" si="36"/>
        <v>#N/A</v>
      </c>
      <c r="AA177" s="92" t="str">
        <f ca="1"/>
        <v/>
      </c>
      <c r="AB177" s="62" t="str">
        <f t="shared" ca="1" si="39"/>
        <v/>
      </c>
      <c r="AC177" s="62" t="e">
        <f t="shared" ca="1" si="40"/>
        <v>#N/A</v>
      </c>
      <c r="AD177" s="62" t="e">
        <f t="shared" ca="1" si="41"/>
        <v>#N/A</v>
      </c>
      <c r="AE177" s="62" t="e">
        <f t="shared" ca="1" si="42"/>
        <v>#N/A</v>
      </c>
    </row>
    <row r="178" spans="18:31" x14ac:dyDescent="0.25">
      <c r="R178" s="92" t="str">
        <f ca="1"/>
        <v/>
      </c>
      <c r="S178" s="62" t="str">
        <f t="shared" ca="1" si="37"/>
        <v/>
      </c>
      <c r="T178" s="62" t="e">
        <f t="shared" ca="1" si="31"/>
        <v>#N/A</v>
      </c>
      <c r="U178" s="62" t="e">
        <f t="shared" ca="1" si="32"/>
        <v>#N/A</v>
      </c>
      <c r="V178" s="62" t="e">
        <f t="shared" ca="1" si="33"/>
        <v>#N/A</v>
      </c>
      <c r="W178" s="60" t="e">
        <f t="shared" ca="1" si="34"/>
        <v>#N/A</v>
      </c>
      <c r="X178" s="60" t="e">
        <f t="shared" ca="1" si="38"/>
        <v>#N/A</v>
      </c>
      <c r="Y178" s="60" t="e">
        <f t="shared" ca="1" si="35"/>
        <v>#N/A</v>
      </c>
      <c r="Z178" s="60" t="e">
        <f t="shared" ca="1" si="36"/>
        <v>#N/A</v>
      </c>
      <c r="AA178" s="92" t="str">
        <f ca="1"/>
        <v/>
      </c>
      <c r="AB178" s="62" t="str">
        <f t="shared" ca="1" si="39"/>
        <v/>
      </c>
      <c r="AC178" s="62" t="e">
        <f t="shared" ca="1" si="40"/>
        <v>#N/A</v>
      </c>
      <c r="AD178" s="62" t="e">
        <f t="shared" ca="1" si="41"/>
        <v>#N/A</v>
      </c>
      <c r="AE178" s="62" t="e">
        <f t="shared" ca="1" si="42"/>
        <v>#N/A</v>
      </c>
    </row>
    <row r="179" spans="18:31" x14ac:dyDescent="0.25">
      <c r="R179" s="92" t="str">
        <f ca="1"/>
        <v/>
      </c>
      <c r="S179" s="62" t="str">
        <f t="shared" ca="1" si="37"/>
        <v/>
      </c>
      <c r="T179" s="62" t="e">
        <f t="shared" ca="1" si="31"/>
        <v>#N/A</v>
      </c>
      <c r="U179" s="62" t="e">
        <f t="shared" ca="1" si="32"/>
        <v>#N/A</v>
      </c>
      <c r="V179" s="62" t="e">
        <f t="shared" ca="1" si="33"/>
        <v>#N/A</v>
      </c>
      <c r="W179" s="60" t="e">
        <f t="shared" ca="1" si="34"/>
        <v>#N/A</v>
      </c>
      <c r="X179" s="60" t="e">
        <f t="shared" ca="1" si="38"/>
        <v>#N/A</v>
      </c>
      <c r="Y179" s="60" t="e">
        <f t="shared" ca="1" si="35"/>
        <v>#N/A</v>
      </c>
      <c r="Z179" s="60" t="e">
        <f t="shared" ca="1" si="36"/>
        <v>#N/A</v>
      </c>
      <c r="AA179" s="92" t="str">
        <f ca="1"/>
        <v/>
      </c>
      <c r="AB179" s="62" t="str">
        <f t="shared" ca="1" si="39"/>
        <v/>
      </c>
      <c r="AC179" s="62" t="e">
        <f t="shared" ca="1" si="40"/>
        <v>#N/A</v>
      </c>
      <c r="AD179" s="62" t="e">
        <f t="shared" ca="1" si="41"/>
        <v>#N/A</v>
      </c>
      <c r="AE179" s="62" t="e">
        <f t="shared" ca="1" si="42"/>
        <v>#N/A</v>
      </c>
    </row>
    <row r="180" spans="18:31" x14ac:dyDescent="0.25">
      <c r="R180" s="92" t="str">
        <f ca="1"/>
        <v/>
      </c>
      <c r="S180" s="62" t="str">
        <f t="shared" ca="1" si="37"/>
        <v/>
      </c>
      <c r="T180" s="62" t="e">
        <f t="shared" ca="1" si="31"/>
        <v>#N/A</v>
      </c>
      <c r="U180" s="62" t="e">
        <f t="shared" ca="1" si="32"/>
        <v>#N/A</v>
      </c>
      <c r="V180" s="62" t="e">
        <f t="shared" ca="1" si="33"/>
        <v>#N/A</v>
      </c>
      <c r="W180" s="60" t="e">
        <f t="shared" ca="1" si="34"/>
        <v>#N/A</v>
      </c>
      <c r="X180" s="60" t="e">
        <f t="shared" ca="1" si="38"/>
        <v>#N/A</v>
      </c>
      <c r="Y180" s="60" t="e">
        <f t="shared" ca="1" si="35"/>
        <v>#N/A</v>
      </c>
      <c r="Z180" s="60" t="e">
        <f t="shared" ca="1" si="36"/>
        <v>#N/A</v>
      </c>
      <c r="AA180" s="92" t="str">
        <f ca="1"/>
        <v/>
      </c>
      <c r="AB180" s="62" t="str">
        <f t="shared" ca="1" si="39"/>
        <v/>
      </c>
      <c r="AC180" s="62" t="e">
        <f t="shared" ca="1" si="40"/>
        <v>#N/A</v>
      </c>
      <c r="AD180" s="62" t="e">
        <f t="shared" ca="1" si="41"/>
        <v>#N/A</v>
      </c>
      <c r="AE180" s="62" t="e">
        <f t="shared" ca="1" si="42"/>
        <v>#N/A</v>
      </c>
    </row>
    <row r="181" spans="18:31" x14ac:dyDescent="0.25">
      <c r="R181" s="92" t="str">
        <f ca="1"/>
        <v/>
      </c>
      <c r="S181" s="62" t="str">
        <f t="shared" ca="1" si="37"/>
        <v/>
      </c>
      <c r="T181" s="62" t="e">
        <f t="shared" ca="1" si="31"/>
        <v>#N/A</v>
      </c>
      <c r="U181" s="62" t="e">
        <f t="shared" ca="1" si="32"/>
        <v>#N/A</v>
      </c>
      <c r="V181" s="62" t="e">
        <f t="shared" ca="1" si="33"/>
        <v>#N/A</v>
      </c>
      <c r="W181" s="60" t="e">
        <f t="shared" ca="1" si="34"/>
        <v>#N/A</v>
      </c>
      <c r="X181" s="60" t="e">
        <f t="shared" ca="1" si="38"/>
        <v>#N/A</v>
      </c>
      <c r="Y181" s="60" t="e">
        <f t="shared" ca="1" si="35"/>
        <v>#N/A</v>
      </c>
      <c r="Z181" s="60" t="e">
        <f t="shared" ca="1" si="36"/>
        <v>#N/A</v>
      </c>
      <c r="AA181" s="92" t="str">
        <f ca="1"/>
        <v/>
      </c>
      <c r="AB181" s="62" t="str">
        <f t="shared" ca="1" si="39"/>
        <v/>
      </c>
      <c r="AC181" s="62" t="e">
        <f t="shared" ca="1" si="40"/>
        <v>#N/A</v>
      </c>
      <c r="AD181" s="62" t="e">
        <f t="shared" ca="1" si="41"/>
        <v>#N/A</v>
      </c>
      <c r="AE181" s="62" t="e">
        <f t="shared" ca="1" si="42"/>
        <v>#N/A</v>
      </c>
    </row>
    <row r="182" spans="18:31" x14ac:dyDescent="0.25">
      <c r="R182" s="92" t="str">
        <f ca="1"/>
        <v/>
      </c>
      <c r="S182" s="62" t="str">
        <f t="shared" ca="1" si="37"/>
        <v/>
      </c>
      <c r="T182" s="62" t="e">
        <f t="shared" ca="1" si="31"/>
        <v>#N/A</v>
      </c>
      <c r="U182" s="62" t="e">
        <f t="shared" ca="1" si="32"/>
        <v>#N/A</v>
      </c>
      <c r="V182" s="62" t="e">
        <f t="shared" ca="1" si="33"/>
        <v>#N/A</v>
      </c>
      <c r="W182" s="60" t="e">
        <f t="shared" ca="1" si="34"/>
        <v>#N/A</v>
      </c>
      <c r="X182" s="60" t="e">
        <f t="shared" ca="1" si="38"/>
        <v>#N/A</v>
      </c>
      <c r="Y182" s="60" t="e">
        <f t="shared" ca="1" si="35"/>
        <v>#N/A</v>
      </c>
      <c r="Z182" s="60" t="e">
        <f t="shared" ca="1" si="36"/>
        <v>#N/A</v>
      </c>
      <c r="AA182" s="92" t="str">
        <f ca="1"/>
        <v/>
      </c>
      <c r="AB182" s="62" t="str">
        <f t="shared" ca="1" si="39"/>
        <v/>
      </c>
      <c r="AC182" s="62" t="e">
        <f t="shared" ca="1" si="40"/>
        <v>#N/A</v>
      </c>
      <c r="AD182" s="62" t="e">
        <f t="shared" ca="1" si="41"/>
        <v>#N/A</v>
      </c>
      <c r="AE182" s="62" t="e">
        <f t="shared" ca="1" si="42"/>
        <v>#N/A</v>
      </c>
    </row>
    <row r="183" spans="18:31" x14ac:dyDescent="0.25">
      <c r="R183" s="92" t="str">
        <f ca="1"/>
        <v/>
      </c>
      <c r="S183" s="62" t="str">
        <f t="shared" ca="1" si="37"/>
        <v/>
      </c>
      <c r="T183" s="62" t="e">
        <f t="shared" ca="1" si="31"/>
        <v>#N/A</v>
      </c>
      <c r="U183" s="62" t="e">
        <f t="shared" ca="1" si="32"/>
        <v>#N/A</v>
      </c>
      <c r="V183" s="62" t="e">
        <f t="shared" ca="1" si="33"/>
        <v>#N/A</v>
      </c>
      <c r="W183" s="60" t="e">
        <f t="shared" ca="1" si="34"/>
        <v>#N/A</v>
      </c>
      <c r="X183" s="60" t="e">
        <f t="shared" ca="1" si="38"/>
        <v>#N/A</v>
      </c>
      <c r="Y183" s="60" t="e">
        <f t="shared" ca="1" si="35"/>
        <v>#N/A</v>
      </c>
      <c r="Z183" s="60" t="e">
        <f t="shared" ca="1" si="36"/>
        <v>#N/A</v>
      </c>
      <c r="AA183" s="92" t="str">
        <f ca="1"/>
        <v/>
      </c>
      <c r="AB183" s="62" t="str">
        <f t="shared" ca="1" si="39"/>
        <v/>
      </c>
      <c r="AC183" s="62" t="e">
        <f t="shared" ca="1" si="40"/>
        <v>#N/A</v>
      </c>
      <c r="AD183" s="62" t="e">
        <f t="shared" ca="1" si="41"/>
        <v>#N/A</v>
      </c>
      <c r="AE183" s="62" t="e">
        <f t="shared" ca="1" si="42"/>
        <v>#N/A</v>
      </c>
    </row>
    <row r="184" spans="18:31" x14ac:dyDescent="0.25">
      <c r="R184" s="92" t="str">
        <f ca="1"/>
        <v/>
      </c>
      <c r="S184" s="62" t="str">
        <f t="shared" ca="1" si="37"/>
        <v/>
      </c>
      <c r="T184" s="62" t="e">
        <f t="shared" ca="1" si="31"/>
        <v>#N/A</v>
      </c>
      <c r="U184" s="62" t="e">
        <f t="shared" ca="1" si="32"/>
        <v>#N/A</v>
      </c>
      <c r="V184" s="62" t="e">
        <f t="shared" ca="1" si="33"/>
        <v>#N/A</v>
      </c>
      <c r="W184" s="60" t="e">
        <f t="shared" ca="1" si="34"/>
        <v>#N/A</v>
      </c>
      <c r="X184" s="60" t="e">
        <f t="shared" ca="1" si="38"/>
        <v>#N/A</v>
      </c>
      <c r="Y184" s="60" t="e">
        <f t="shared" ca="1" si="35"/>
        <v>#N/A</v>
      </c>
      <c r="Z184" s="60" t="e">
        <f t="shared" ca="1" si="36"/>
        <v>#N/A</v>
      </c>
      <c r="AA184" s="92" t="str">
        <f ca="1"/>
        <v/>
      </c>
      <c r="AB184" s="62" t="str">
        <f t="shared" ca="1" si="39"/>
        <v/>
      </c>
      <c r="AC184" s="62" t="e">
        <f t="shared" ca="1" si="40"/>
        <v>#N/A</v>
      </c>
      <c r="AD184" s="62" t="e">
        <f t="shared" ca="1" si="41"/>
        <v>#N/A</v>
      </c>
      <c r="AE184" s="62" t="e">
        <f t="shared" ca="1" si="42"/>
        <v>#N/A</v>
      </c>
    </row>
    <row r="185" spans="18:31" x14ac:dyDescent="0.25">
      <c r="R185" s="92" t="str">
        <f ca="1"/>
        <v/>
      </c>
      <c r="S185" s="62" t="str">
        <f t="shared" ca="1" si="37"/>
        <v/>
      </c>
      <c r="T185" s="62" t="e">
        <f t="shared" ca="1" si="31"/>
        <v>#N/A</v>
      </c>
      <c r="U185" s="62" t="e">
        <f t="shared" ca="1" si="32"/>
        <v>#N/A</v>
      </c>
      <c r="V185" s="62" t="e">
        <f t="shared" ca="1" si="33"/>
        <v>#N/A</v>
      </c>
      <c r="W185" s="60" t="e">
        <f t="shared" ca="1" si="34"/>
        <v>#N/A</v>
      </c>
      <c r="X185" s="60" t="e">
        <f t="shared" ca="1" si="38"/>
        <v>#N/A</v>
      </c>
      <c r="Y185" s="60" t="e">
        <f t="shared" ca="1" si="35"/>
        <v>#N/A</v>
      </c>
      <c r="Z185" s="60" t="e">
        <f t="shared" ca="1" si="36"/>
        <v>#N/A</v>
      </c>
      <c r="AA185" s="92" t="str">
        <f ca="1"/>
        <v/>
      </c>
      <c r="AB185" s="62" t="str">
        <f t="shared" ca="1" si="39"/>
        <v/>
      </c>
      <c r="AC185" s="62" t="e">
        <f t="shared" ca="1" si="40"/>
        <v>#N/A</v>
      </c>
      <c r="AD185" s="62" t="e">
        <f t="shared" ca="1" si="41"/>
        <v>#N/A</v>
      </c>
      <c r="AE185" s="62" t="e">
        <f t="shared" ca="1" si="42"/>
        <v>#N/A</v>
      </c>
    </row>
    <row r="186" spans="18:31" x14ac:dyDescent="0.25">
      <c r="R186" s="92" t="str">
        <f ca="1"/>
        <v/>
      </c>
      <c r="S186" s="62" t="str">
        <f t="shared" ca="1" si="37"/>
        <v/>
      </c>
      <c r="T186" s="62" t="e">
        <f t="shared" ca="1" si="31"/>
        <v>#N/A</v>
      </c>
      <c r="U186" s="62" t="e">
        <f t="shared" ca="1" si="32"/>
        <v>#N/A</v>
      </c>
      <c r="V186" s="62" t="e">
        <f t="shared" ca="1" si="33"/>
        <v>#N/A</v>
      </c>
      <c r="W186" s="60" t="e">
        <f t="shared" ca="1" si="34"/>
        <v>#N/A</v>
      </c>
      <c r="X186" s="60" t="e">
        <f t="shared" ca="1" si="38"/>
        <v>#N/A</v>
      </c>
      <c r="Y186" s="60" t="e">
        <f t="shared" ca="1" si="35"/>
        <v>#N/A</v>
      </c>
      <c r="Z186" s="60" t="e">
        <f t="shared" ca="1" si="36"/>
        <v>#N/A</v>
      </c>
      <c r="AA186" s="92" t="str">
        <f ca="1"/>
        <v/>
      </c>
      <c r="AB186" s="62" t="str">
        <f t="shared" ca="1" si="39"/>
        <v/>
      </c>
      <c r="AC186" s="62" t="e">
        <f t="shared" ca="1" si="40"/>
        <v>#N/A</v>
      </c>
      <c r="AD186" s="62" t="e">
        <f t="shared" ca="1" si="41"/>
        <v>#N/A</v>
      </c>
      <c r="AE186" s="62" t="e">
        <f t="shared" ca="1" si="42"/>
        <v>#N/A</v>
      </c>
    </row>
    <row r="187" spans="18:31" x14ac:dyDescent="0.25">
      <c r="R187" s="92" t="str">
        <f ca="1"/>
        <v/>
      </c>
      <c r="S187" s="62" t="str">
        <f t="shared" ca="1" si="37"/>
        <v/>
      </c>
      <c r="T187" s="62" t="e">
        <f t="shared" ca="1" si="31"/>
        <v>#N/A</v>
      </c>
      <c r="U187" s="62" t="e">
        <f t="shared" ca="1" si="32"/>
        <v>#N/A</v>
      </c>
      <c r="V187" s="62" t="e">
        <f t="shared" ca="1" si="33"/>
        <v>#N/A</v>
      </c>
      <c r="W187" s="60" t="e">
        <f t="shared" ca="1" si="34"/>
        <v>#N/A</v>
      </c>
      <c r="X187" s="60" t="e">
        <f t="shared" ca="1" si="38"/>
        <v>#N/A</v>
      </c>
      <c r="Y187" s="60" t="e">
        <f t="shared" ca="1" si="35"/>
        <v>#N/A</v>
      </c>
      <c r="Z187" s="60" t="e">
        <f t="shared" ca="1" si="36"/>
        <v>#N/A</v>
      </c>
      <c r="AA187" s="92" t="str">
        <f ca="1"/>
        <v/>
      </c>
      <c r="AB187" s="62" t="str">
        <f t="shared" ca="1" si="39"/>
        <v/>
      </c>
      <c r="AC187" s="62" t="e">
        <f t="shared" ca="1" si="40"/>
        <v>#N/A</v>
      </c>
      <c r="AD187" s="62" t="e">
        <f t="shared" ca="1" si="41"/>
        <v>#N/A</v>
      </c>
      <c r="AE187" s="62" t="e">
        <f t="shared" ca="1" si="42"/>
        <v>#N/A</v>
      </c>
    </row>
    <row r="188" spans="18:31" x14ac:dyDescent="0.25">
      <c r="R188" s="92" t="str">
        <f ca="1"/>
        <v/>
      </c>
      <c r="S188" s="62" t="str">
        <f t="shared" ca="1" si="37"/>
        <v/>
      </c>
      <c r="T188" s="62" t="e">
        <f t="shared" ca="1" si="31"/>
        <v>#N/A</v>
      </c>
      <c r="U188" s="62" t="e">
        <f t="shared" ca="1" si="32"/>
        <v>#N/A</v>
      </c>
      <c r="V188" s="62" t="e">
        <f t="shared" ca="1" si="33"/>
        <v>#N/A</v>
      </c>
      <c r="W188" s="60" t="e">
        <f t="shared" ca="1" si="34"/>
        <v>#N/A</v>
      </c>
      <c r="X188" s="60" t="e">
        <f t="shared" ca="1" si="38"/>
        <v>#N/A</v>
      </c>
      <c r="Y188" s="60" t="e">
        <f t="shared" ca="1" si="35"/>
        <v>#N/A</v>
      </c>
      <c r="Z188" s="60" t="e">
        <f t="shared" ca="1" si="36"/>
        <v>#N/A</v>
      </c>
      <c r="AA188" s="92" t="str">
        <f ca="1"/>
        <v/>
      </c>
      <c r="AB188" s="62" t="str">
        <f t="shared" ca="1" si="39"/>
        <v/>
      </c>
      <c r="AC188" s="62" t="e">
        <f t="shared" ca="1" si="40"/>
        <v>#N/A</v>
      </c>
      <c r="AD188" s="62" t="e">
        <f t="shared" ca="1" si="41"/>
        <v>#N/A</v>
      </c>
      <c r="AE188" s="62" t="e">
        <f t="shared" ca="1" si="42"/>
        <v>#N/A</v>
      </c>
    </row>
    <row r="189" spans="18:31" x14ac:dyDescent="0.25">
      <c r="R189" s="92" t="str">
        <f ca="1"/>
        <v/>
      </c>
      <c r="S189" s="62" t="str">
        <f t="shared" ca="1" si="37"/>
        <v/>
      </c>
      <c r="T189" s="62" t="e">
        <f t="shared" ca="1" si="31"/>
        <v>#N/A</v>
      </c>
      <c r="U189" s="62" t="e">
        <f t="shared" ca="1" si="32"/>
        <v>#N/A</v>
      </c>
      <c r="V189" s="62" t="e">
        <f t="shared" ca="1" si="33"/>
        <v>#N/A</v>
      </c>
      <c r="W189" s="60" t="e">
        <f t="shared" ca="1" si="34"/>
        <v>#N/A</v>
      </c>
      <c r="X189" s="60" t="e">
        <f t="shared" ca="1" si="38"/>
        <v>#N/A</v>
      </c>
      <c r="Y189" s="60" t="e">
        <f t="shared" ca="1" si="35"/>
        <v>#N/A</v>
      </c>
      <c r="Z189" s="60" t="e">
        <f t="shared" ca="1" si="36"/>
        <v>#N/A</v>
      </c>
      <c r="AA189" s="92" t="str">
        <f ca="1"/>
        <v/>
      </c>
      <c r="AB189" s="62" t="str">
        <f t="shared" ca="1" si="39"/>
        <v/>
      </c>
      <c r="AC189" s="62" t="e">
        <f t="shared" ca="1" si="40"/>
        <v>#N/A</v>
      </c>
      <c r="AD189" s="62" t="e">
        <f t="shared" ca="1" si="41"/>
        <v>#N/A</v>
      </c>
      <c r="AE189" s="62" t="e">
        <f t="shared" ca="1" si="42"/>
        <v>#N/A</v>
      </c>
    </row>
    <row r="190" spans="18:31" x14ac:dyDescent="0.25">
      <c r="R190" s="92" t="str">
        <f ca="1"/>
        <v/>
      </c>
      <c r="S190" s="62" t="str">
        <f t="shared" ca="1" si="37"/>
        <v/>
      </c>
      <c r="T190" s="62" t="e">
        <f t="shared" ca="1" si="31"/>
        <v>#N/A</v>
      </c>
      <c r="U190" s="62" t="e">
        <f t="shared" ca="1" si="32"/>
        <v>#N/A</v>
      </c>
      <c r="V190" s="62" t="e">
        <f t="shared" ca="1" si="33"/>
        <v>#N/A</v>
      </c>
      <c r="W190" s="60" t="e">
        <f t="shared" ca="1" si="34"/>
        <v>#N/A</v>
      </c>
      <c r="X190" s="60" t="e">
        <f t="shared" ca="1" si="38"/>
        <v>#N/A</v>
      </c>
      <c r="Y190" s="60" t="e">
        <f t="shared" ca="1" si="35"/>
        <v>#N/A</v>
      </c>
      <c r="Z190" s="60" t="e">
        <f t="shared" ca="1" si="36"/>
        <v>#N/A</v>
      </c>
      <c r="AA190" s="92" t="str">
        <f ca="1"/>
        <v/>
      </c>
      <c r="AB190" s="62" t="str">
        <f t="shared" ca="1" si="39"/>
        <v/>
      </c>
      <c r="AC190" s="62" t="e">
        <f t="shared" ca="1" si="40"/>
        <v>#N/A</v>
      </c>
      <c r="AD190" s="62" t="e">
        <f t="shared" ca="1" si="41"/>
        <v>#N/A</v>
      </c>
      <c r="AE190" s="62" t="e">
        <f t="shared" ca="1" si="42"/>
        <v>#N/A</v>
      </c>
    </row>
    <row r="191" spans="18:31" x14ac:dyDescent="0.25">
      <c r="R191" s="92" t="str">
        <f ca="1"/>
        <v/>
      </c>
      <c r="S191" s="62" t="str">
        <f t="shared" ca="1" si="37"/>
        <v/>
      </c>
      <c r="T191" s="62" t="e">
        <f t="shared" ca="1" si="31"/>
        <v>#N/A</v>
      </c>
      <c r="U191" s="62" t="e">
        <f t="shared" ca="1" si="32"/>
        <v>#N/A</v>
      </c>
      <c r="V191" s="62" t="e">
        <f t="shared" ca="1" si="33"/>
        <v>#N/A</v>
      </c>
      <c r="W191" s="60" t="e">
        <f t="shared" ca="1" si="34"/>
        <v>#N/A</v>
      </c>
      <c r="X191" s="60" t="e">
        <f t="shared" ca="1" si="38"/>
        <v>#N/A</v>
      </c>
      <c r="Y191" s="60" t="e">
        <f t="shared" ca="1" si="35"/>
        <v>#N/A</v>
      </c>
      <c r="Z191" s="60" t="e">
        <f t="shared" ca="1" si="36"/>
        <v>#N/A</v>
      </c>
      <c r="AA191" s="92" t="str">
        <f ca="1"/>
        <v/>
      </c>
      <c r="AB191" s="62" t="str">
        <f t="shared" ca="1" si="39"/>
        <v/>
      </c>
      <c r="AC191" s="62" t="e">
        <f t="shared" ca="1" si="40"/>
        <v>#N/A</v>
      </c>
      <c r="AD191" s="62" t="e">
        <f t="shared" ca="1" si="41"/>
        <v>#N/A</v>
      </c>
      <c r="AE191" s="62" t="e">
        <f t="shared" ca="1" si="42"/>
        <v>#N/A</v>
      </c>
    </row>
    <row r="192" spans="18:31" x14ac:dyDescent="0.25">
      <c r="R192" s="92" t="str">
        <f ca="1"/>
        <v/>
      </c>
      <c r="S192" s="62" t="str">
        <f t="shared" ca="1" si="37"/>
        <v/>
      </c>
      <c r="T192" s="62" t="e">
        <f t="shared" ca="1" si="31"/>
        <v>#N/A</v>
      </c>
      <c r="U192" s="62" t="e">
        <f t="shared" ca="1" si="32"/>
        <v>#N/A</v>
      </c>
      <c r="V192" s="62" t="e">
        <f t="shared" ca="1" si="33"/>
        <v>#N/A</v>
      </c>
      <c r="W192" s="60" t="e">
        <f t="shared" ca="1" si="34"/>
        <v>#N/A</v>
      </c>
      <c r="X192" s="60" t="e">
        <f t="shared" ca="1" si="38"/>
        <v>#N/A</v>
      </c>
      <c r="Y192" s="60" t="e">
        <f t="shared" ca="1" si="35"/>
        <v>#N/A</v>
      </c>
      <c r="Z192" s="60" t="e">
        <f t="shared" ca="1" si="36"/>
        <v>#N/A</v>
      </c>
      <c r="AA192" s="92" t="str">
        <f ca="1"/>
        <v/>
      </c>
      <c r="AB192" s="62" t="str">
        <f t="shared" ca="1" si="39"/>
        <v/>
      </c>
      <c r="AC192" s="62" t="e">
        <f t="shared" ca="1" si="40"/>
        <v>#N/A</v>
      </c>
      <c r="AD192" s="62" t="e">
        <f t="shared" ca="1" si="41"/>
        <v>#N/A</v>
      </c>
      <c r="AE192" s="62" t="e">
        <f t="shared" ca="1" si="42"/>
        <v>#N/A</v>
      </c>
    </row>
    <row r="193" spans="18:31" x14ac:dyDescent="0.25">
      <c r="R193" s="92" t="str">
        <f ca="1"/>
        <v/>
      </c>
      <c r="S193" s="62" t="str">
        <f t="shared" ca="1" si="37"/>
        <v/>
      </c>
      <c r="T193" s="62" t="e">
        <f t="shared" ca="1" si="31"/>
        <v>#N/A</v>
      </c>
      <c r="U193" s="62" t="e">
        <f t="shared" ca="1" si="32"/>
        <v>#N/A</v>
      </c>
      <c r="V193" s="62" t="e">
        <f t="shared" ca="1" si="33"/>
        <v>#N/A</v>
      </c>
      <c r="W193" s="60" t="e">
        <f t="shared" ca="1" si="34"/>
        <v>#N/A</v>
      </c>
      <c r="X193" s="60" t="e">
        <f t="shared" ca="1" si="38"/>
        <v>#N/A</v>
      </c>
      <c r="Y193" s="60" t="e">
        <f t="shared" ca="1" si="35"/>
        <v>#N/A</v>
      </c>
      <c r="Z193" s="60" t="e">
        <f t="shared" ca="1" si="36"/>
        <v>#N/A</v>
      </c>
      <c r="AA193" s="92" t="str">
        <f ca="1"/>
        <v/>
      </c>
      <c r="AB193" s="62" t="str">
        <f t="shared" ca="1" si="39"/>
        <v/>
      </c>
      <c r="AC193" s="62" t="e">
        <f t="shared" ca="1" si="40"/>
        <v>#N/A</v>
      </c>
      <c r="AD193" s="62" t="e">
        <f t="shared" ca="1" si="41"/>
        <v>#N/A</v>
      </c>
      <c r="AE193" s="62" t="e">
        <f t="shared" ca="1" si="42"/>
        <v>#N/A</v>
      </c>
    </row>
    <row r="194" spans="18:31" x14ac:dyDescent="0.25">
      <c r="R194" s="92" t="str">
        <f ca="1"/>
        <v/>
      </c>
      <c r="S194" s="62" t="str">
        <f t="shared" ca="1" si="37"/>
        <v/>
      </c>
      <c r="T194" s="62" t="e">
        <f t="shared" ca="1" si="31"/>
        <v>#N/A</v>
      </c>
      <c r="U194" s="62" t="e">
        <f t="shared" ca="1" si="32"/>
        <v>#N/A</v>
      </c>
      <c r="V194" s="62" t="e">
        <f t="shared" ca="1" si="33"/>
        <v>#N/A</v>
      </c>
      <c r="W194" s="60" t="e">
        <f t="shared" ca="1" si="34"/>
        <v>#N/A</v>
      </c>
      <c r="X194" s="60" t="e">
        <f t="shared" ca="1" si="38"/>
        <v>#N/A</v>
      </c>
      <c r="Y194" s="60" t="e">
        <f t="shared" ca="1" si="35"/>
        <v>#N/A</v>
      </c>
      <c r="Z194" s="60" t="e">
        <f t="shared" ca="1" si="36"/>
        <v>#N/A</v>
      </c>
      <c r="AA194" s="92" t="str">
        <f ca="1"/>
        <v/>
      </c>
      <c r="AB194" s="62" t="str">
        <f t="shared" ca="1" si="39"/>
        <v/>
      </c>
      <c r="AC194" s="62" t="e">
        <f t="shared" ca="1" si="40"/>
        <v>#N/A</v>
      </c>
      <c r="AD194" s="62" t="e">
        <f t="shared" ca="1" si="41"/>
        <v>#N/A</v>
      </c>
      <c r="AE194" s="62" t="e">
        <f t="shared" ca="1" si="42"/>
        <v>#N/A</v>
      </c>
    </row>
    <row r="195" spans="18:31" x14ac:dyDescent="0.25">
      <c r="R195" s="92" t="str">
        <f ca="1"/>
        <v/>
      </c>
      <c r="S195" s="62" t="str">
        <f t="shared" ca="1" si="37"/>
        <v/>
      </c>
      <c r="T195" s="62" t="e">
        <f t="shared" ca="1" si="31"/>
        <v>#N/A</v>
      </c>
      <c r="U195" s="62" t="e">
        <f t="shared" ca="1" si="32"/>
        <v>#N/A</v>
      </c>
      <c r="V195" s="62" t="e">
        <f t="shared" ca="1" si="33"/>
        <v>#N/A</v>
      </c>
      <c r="W195" s="60" t="e">
        <f t="shared" ca="1" si="34"/>
        <v>#N/A</v>
      </c>
      <c r="X195" s="60" t="e">
        <f t="shared" ca="1" si="38"/>
        <v>#N/A</v>
      </c>
      <c r="Y195" s="60" t="e">
        <f t="shared" ca="1" si="35"/>
        <v>#N/A</v>
      </c>
      <c r="Z195" s="60" t="e">
        <f t="shared" ca="1" si="36"/>
        <v>#N/A</v>
      </c>
      <c r="AA195" s="92" t="str">
        <f ca="1"/>
        <v/>
      </c>
      <c r="AB195" s="62" t="str">
        <f t="shared" ca="1" si="39"/>
        <v/>
      </c>
      <c r="AC195" s="62" t="e">
        <f t="shared" ca="1" si="40"/>
        <v>#N/A</v>
      </c>
      <c r="AD195" s="62" t="e">
        <f t="shared" ca="1" si="41"/>
        <v>#N/A</v>
      </c>
      <c r="AE195" s="62" t="e">
        <f t="shared" ca="1" si="42"/>
        <v>#N/A</v>
      </c>
    </row>
    <row r="196" spans="18:31" x14ac:dyDescent="0.25">
      <c r="R196" s="92" t="str">
        <f ca="1"/>
        <v/>
      </c>
      <c r="S196" s="62" t="str">
        <f t="shared" ca="1" si="37"/>
        <v/>
      </c>
      <c r="T196" s="62" t="e">
        <f t="shared" ca="1" si="31"/>
        <v>#N/A</v>
      </c>
      <c r="U196" s="62" t="e">
        <f t="shared" ca="1" si="32"/>
        <v>#N/A</v>
      </c>
      <c r="V196" s="62" t="e">
        <f t="shared" ca="1" si="33"/>
        <v>#N/A</v>
      </c>
      <c r="W196" s="60" t="e">
        <f t="shared" ca="1" si="34"/>
        <v>#N/A</v>
      </c>
      <c r="X196" s="60" t="e">
        <f t="shared" ca="1" si="38"/>
        <v>#N/A</v>
      </c>
      <c r="Y196" s="60" t="e">
        <f t="shared" ca="1" si="35"/>
        <v>#N/A</v>
      </c>
      <c r="Z196" s="60" t="e">
        <f t="shared" ca="1" si="36"/>
        <v>#N/A</v>
      </c>
      <c r="AA196" s="92" t="str">
        <f ca="1"/>
        <v/>
      </c>
      <c r="AB196" s="62" t="str">
        <f t="shared" ca="1" si="39"/>
        <v/>
      </c>
      <c r="AC196" s="62" t="e">
        <f t="shared" ca="1" si="40"/>
        <v>#N/A</v>
      </c>
      <c r="AD196" s="62" t="e">
        <f t="shared" ca="1" si="41"/>
        <v>#N/A</v>
      </c>
      <c r="AE196" s="62" t="e">
        <f t="shared" ca="1" si="42"/>
        <v>#N/A</v>
      </c>
    </row>
    <row r="197" spans="18:31" x14ac:dyDescent="0.25">
      <c r="R197" s="92" t="str">
        <f ca="1"/>
        <v/>
      </c>
      <c r="S197" s="62" t="str">
        <f t="shared" ca="1" si="37"/>
        <v/>
      </c>
      <c r="T197" s="62" t="e">
        <f t="shared" ca="1" si="31"/>
        <v>#N/A</v>
      </c>
      <c r="U197" s="62" t="e">
        <f t="shared" ca="1" si="32"/>
        <v>#N/A</v>
      </c>
      <c r="V197" s="62" t="e">
        <f t="shared" ca="1" si="33"/>
        <v>#N/A</v>
      </c>
      <c r="W197" s="60" t="e">
        <f t="shared" ca="1" si="34"/>
        <v>#N/A</v>
      </c>
      <c r="X197" s="60" t="e">
        <f t="shared" ca="1" si="38"/>
        <v>#N/A</v>
      </c>
      <c r="Y197" s="60" t="e">
        <f t="shared" ca="1" si="35"/>
        <v>#N/A</v>
      </c>
      <c r="Z197" s="60" t="e">
        <f t="shared" ca="1" si="36"/>
        <v>#N/A</v>
      </c>
      <c r="AA197" s="92" t="str">
        <f ca="1"/>
        <v/>
      </c>
      <c r="AB197" s="62" t="str">
        <f t="shared" ca="1" si="39"/>
        <v/>
      </c>
      <c r="AC197" s="62" t="e">
        <f t="shared" ca="1" si="40"/>
        <v>#N/A</v>
      </c>
      <c r="AD197" s="62" t="e">
        <f t="shared" ca="1" si="41"/>
        <v>#N/A</v>
      </c>
      <c r="AE197" s="62" t="e">
        <f t="shared" ca="1" si="42"/>
        <v>#N/A</v>
      </c>
    </row>
    <row r="198" spans="18:31" x14ac:dyDescent="0.25">
      <c r="R198" s="92" t="str">
        <f ca="1"/>
        <v/>
      </c>
      <c r="S198" s="62" t="str">
        <f t="shared" ca="1" si="37"/>
        <v/>
      </c>
      <c r="T198" s="62" t="e">
        <f t="shared" ca="1" si="31"/>
        <v>#N/A</v>
      </c>
      <c r="U198" s="62" t="e">
        <f t="shared" ca="1" si="32"/>
        <v>#N/A</v>
      </c>
      <c r="V198" s="62" t="e">
        <f t="shared" ca="1" si="33"/>
        <v>#N/A</v>
      </c>
      <c r="W198" s="60" t="e">
        <f t="shared" ca="1" si="34"/>
        <v>#N/A</v>
      </c>
      <c r="X198" s="60" t="e">
        <f t="shared" ca="1" si="38"/>
        <v>#N/A</v>
      </c>
      <c r="Y198" s="60" t="e">
        <f t="shared" ca="1" si="35"/>
        <v>#N/A</v>
      </c>
      <c r="Z198" s="60" t="e">
        <f t="shared" ca="1" si="36"/>
        <v>#N/A</v>
      </c>
      <c r="AA198" s="92" t="str">
        <f ca="1"/>
        <v/>
      </c>
      <c r="AB198" s="62" t="str">
        <f t="shared" ca="1" si="39"/>
        <v/>
      </c>
      <c r="AC198" s="62" t="e">
        <f t="shared" ca="1" si="40"/>
        <v>#N/A</v>
      </c>
      <c r="AD198" s="62" t="e">
        <f t="shared" ca="1" si="41"/>
        <v>#N/A</v>
      </c>
      <c r="AE198" s="62" t="e">
        <f t="shared" ca="1" si="42"/>
        <v>#N/A</v>
      </c>
    </row>
    <row r="199" spans="18:31" x14ac:dyDescent="0.25">
      <c r="R199" s="92" t="str">
        <f ca="1"/>
        <v/>
      </c>
      <c r="S199" s="62" t="str">
        <f t="shared" ca="1" si="37"/>
        <v/>
      </c>
      <c r="T199" s="62" t="e">
        <f t="shared" ca="1" si="31"/>
        <v>#N/A</v>
      </c>
      <c r="U199" s="62" t="e">
        <f t="shared" ca="1" si="32"/>
        <v>#N/A</v>
      </c>
      <c r="V199" s="62" t="e">
        <f t="shared" ca="1" si="33"/>
        <v>#N/A</v>
      </c>
      <c r="W199" s="60" t="e">
        <f t="shared" ca="1" si="34"/>
        <v>#N/A</v>
      </c>
      <c r="X199" s="60" t="e">
        <f t="shared" ca="1" si="38"/>
        <v>#N/A</v>
      </c>
      <c r="Y199" s="60" t="e">
        <f t="shared" ca="1" si="35"/>
        <v>#N/A</v>
      </c>
      <c r="Z199" s="60" t="e">
        <f t="shared" ca="1" si="36"/>
        <v>#N/A</v>
      </c>
      <c r="AA199" s="92" t="str">
        <f ca="1"/>
        <v/>
      </c>
      <c r="AB199" s="62" t="str">
        <f t="shared" ca="1" si="39"/>
        <v/>
      </c>
      <c r="AC199" s="62" t="e">
        <f t="shared" ca="1" si="40"/>
        <v>#N/A</v>
      </c>
      <c r="AD199" s="62" t="e">
        <f t="shared" ca="1" si="41"/>
        <v>#N/A</v>
      </c>
      <c r="AE199" s="62" t="e">
        <f t="shared" ca="1" si="42"/>
        <v>#N/A</v>
      </c>
    </row>
    <row r="200" spans="18:31" x14ac:dyDescent="0.25">
      <c r="R200" s="92" t="str">
        <f ca="1"/>
        <v/>
      </c>
      <c r="S200" s="62" t="str">
        <f t="shared" ca="1" si="37"/>
        <v/>
      </c>
      <c r="T200" s="62" t="e">
        <f t="shared" ca="1" si="31"/>
        <v>#N/A</v>
      </c>
      <c r="U200" s="62" t="e">
        <f t="shared" ca="1" si="32"/>
        <v>#N/A</v>
      </c>
      <c r="V200" s="62" t="e">
        <f t="shared" ca="1" si="33"/>
        <v>#N/A</v>
      </c>
      <c r="W200" s="60" t="e">
        <f t="shared" ca="1" si="34"/>
        <v>#N/A</v>
      </c>
      <c r="X200" s="60" t="e">
        <f t="shared" ca="1" si="38"/>
        <v>#N/A</v>
      </c>
      <c r="Y200" s="60" t="e">
        <f t="shared" ca="1" si="35"/>
        <v>#N/A</v>
      </c>
      <c r="Z200" s="60" t="e">
        <f t="shared" ca="1" si="36"/>
        <v>#N/A</v>
      </c>
      <c r="AA200" s="92" t="str">
        <f ca="1"/>
        <v/>
      </c>
      <c r="AB200" s="62" t="str">
        <f t="shared" ca="1" si="39"/>
        <v/>
      </c>
      <c r="AC200" s="62" t="e">
        <f t="shared" ca="1" si="40"/>
        <v>#N/A</v>
      </c>
      <c r="AD200" s="62" t="e">
        <f t="shared" ca="1" si="41"/>
        <v>#N/A</v>
      </c>
      <c r="AE200" s="62" t="e">
        <f t="shared" ca="1" si="42"/>
        <v>#N/A</v>
      </c>
    </row>
    <row r="201" spans="18:31" x14ac:dyDescent="0.25">
      <c r="R201" s="92" t="str">
        <f ca="1"/>
        <v/>
      </c>
      <c r="S201" s="62" t="str">
        <f t="shared" ca="1" si="37"/>
        <v/>
      </c>
      <c r="T201" s="62" t="e">
        <f t="shared" ca="1" si="31"/>
        <v>#N/A</v>
      </c>
      <c r="U201" s="62" t="e">
        <f t="shared" ca="1" si="32"/>
        <v>#N/A</v>
      </c>
      <c r="V201" s="62" t="e">
        <f t="shared" ca="1" si="33"/>
        <v>#N/A</v>
      </c>
      <c r="W201" s="60" t="e">
        <f t="shared" ca="1" si="34"/>
        <v>#N/A</v>
      </c>
      <c r="X201" s="60" t="e">
        <f t="shared" ca="1" si="38"/>
        <v>#N/A</v>
      </c>
      <c r="Y201" s="60" t="e">
        <f t="shared" ca="1" si="35"/>
        <v>#N/A</v>
      </c>
      <c r="Z201" s="60" t="e">
        <f t="shared" ca="1" si="36"/>
        <v>#N/A</v>
      </c>
      <c r="AA201" s="92" t="str">
        <f ca="1"/>
        <v/>
      </c>
      <c r="AB201" s="62" t="str">
        <f t="shared" ca="1" si="39"/>
        <v/>
      </c>
      <c r="AC201" s="62" t="e">
        <f t="shared" ca="1" si="40"/>
        <v>#N/A</v>
      </c>
      <c r="AD201" s="62" t="e">
        <f t="shared" ca="1" si="41"/>
        <v>#N/A</v>
      </c>
      <c r="AE201" s="62" t="e">
        <f t="shared" ca="1" si="42"/>
        <v>#N/A</v>
      </c>
    </row>
    <row r="202" spans="18:31" x14ac:dyDescent="0.25">
      <c r="R202" s="92" t="str">
        <f ca="1"/>
        <v/>
      </c>
      <c r="S202" s="62" t="str">
        <f t="shared" ca="1" si="37"/>
        <v/>
      </c>
      <c r="T202" s="62" t="e">
        <f t="shared" ca="1" si="31"/>
        <v>#N/A</v>
      </c>
      <c r="U202" s="62" t="e">
        <f t="shared" ca="1" si="32"/>
        <v>#N/A</v>
      </c>
      <c r="V202" s="62" t="e">
        <f t="shared" ca="1" si="33"/>
        <v>#N/A</v>
      </c>
      <c r="W202" s="60" t="e">
        <f t="shared" ca="1" si="34"/>
        <v>#N/A</v>
      </c>
      <c r="X202" s="60" t="e">
        <f t="shared" ca="1" si="38"/>
        <v>#N/A</v>
      </c>
      <c r="Y202" s="60" t="e">
        <f t="shared" ca="1" si="35"/>
        <v>#N/A</v>
      </c>
      <c r="Z202" s="60" t="e">
        <f t="shared" ca="1" si="36"/>
        <v>#N/A</v>
      </c>
      <c r="AA202" s="92" t="str">
        <f ca="1"/>
        <v/>
      </c>
      <c r="AB202" s="62" t="str">
        <f t="shared" ca="1" si="39"/>
        <v/>
      </c>
      <c r="AC202" s="62" t="e">
        <f t="shared" ca="1" si="40"/>
        <v>#N/A</v>
      </c>
      <c r="AD202" s="62" t="e">
        <f t="shared" ca="1" si="41"/>
        <v>#N/A</v>
      </c>
      <c r="AE202" s="62" t="e">
        <f t="shared" ca="1" si="42"/>
        <v>#N/A</v>
      </c>
    </row>
    <row r="203" spans="18:31" x14ac:dyDescent="0.25">
      <c r="R203" s="92" t="str">
        <f ca="1"/>
        <v/>
      </c>
      <c r="S203" s="62" t="str">
        <f t="shared" ca="1" si="37"/>
        <v/>
      </c>
      <c r="T203" s="62" t="e">
        <f t="shared" ca="1" si="31"/>
        <v>#N/A</v>
      </c>
      <c r="U203" s="62" t="e">
        <f t="shared" ca="1" si="32"/>
        <v>#N/A</v>
      </c>
      <c r="V203" s="62" t="e">
        <f t="shared" ca="1" si="33"/>
        <v>#N/A</v>
      </c>
      <c r="W203" s="60" t="e">
        <f t="shared" ca="1" si="34"/>
        <v>#N/A</v>
      </c>
      <c r="X203" s="60" t="e">
        <f t="shared" ca="1" si="38"/>
        <v>#N/A</v>
      </c>
      <c r="Y203" s="60" t="e">
        <f t="shared" ca="1" si="35"/>
        <v>#N/A</v>
      </c>
      <c r="Z203" s="60" t="e">
        <f t="shared" ca="1" si="36"/>
        <v>#N/A</v>
      </c>
      <c r="AA203" s="92" t="str">
        <f ca="1"/>
        <v/>
      </c>
      <c r="AB203" s="62" t="str">
        <f t="shared" ca="1" si="39"/>
        <v/>
      </c>
      <c r="AC203" s="62" t="e">
        <f t="shared" ca="1" si="40"/>
        <v>#N/A</v>
      </c>
      <c r="AD203" s="62" t="e">
        <f t="shared" ca="1" si="41"/>
        <v>#N/A</v>
      </c>
      <c r="AE203" s="62" t="e">
        <f t="shared" ca="1" si="42"/>
        <v>#N/A</v>
      </c>
    </row>
    <row r="204" spans="18:31" x14ac:dyDescent="0.25">
      <c r="R204" s="92" t="str">
        <f ca="1"/>
        <v/>
      </c>
      <c r="S204" s="62" t="str">
        <f t="shared" ca="1" si="37"/>
        <v/>
      </c>
      <c r="T204" s="62" t="e">
        <f t="shared" ca="1" si="31"/>
        <v>#N/A</v>
      </c>
      <c r="U204" s="62" t="e">
        <f t="shared" ca="1" si="32"/>
        <v>#N/A</v>
      </c>
      <c r="V204" s="62" t="e">
        <f t="shared" ca="1" si="33"/>
        <v>#N/A</v>
      </c>
      <c r="W204" s="60" t="e">
        <f t="shared" ca="1" si="34"/>
        <v>#N/A</v>
      </c>
      <c r="X204" s="60" t="e">
        <f t="shared" ca="1" si="38"/>
        <v>#N/A</v>
      </c>
      <c r="Y204" s="60" t="e">
        <f t="shared" ca="1" si="35"/>
        <v>#N/A</v>
      </c>
      <c r="Z204" s="60" t="e">
        <f t="shared" ca="1" si="36"/>
        <v>#N/A</v>
      </c>
      <c r="AA204" s="92" t="str">
        <f ca="1"/>
        <v/>
      </c>
      <c r="AB204" s="62" t="str">
        <f t="shared" ca="1" si="39"/>
        <v/>
      </c>
      <c r="AC204" s="62" t="e">
        <f t="shared" ca="1" si="40"/>
        <v>#N/A</v>
      </c>
      <c r="AD204" s="62" t="e">
        <f t="shared" ca="1" si="41"/>
        <v>#N/A</v>
      </c>
      <c r="AE204" s="62" t="e">
        <f t="shared" ca="1" si="42"/>
        <v>#N/A</v>
      </c>
    </row>
    <row r="205" spans="18:31" x14ac:dyDescent="0.25">
      <c r="R205" s="92" t="str">
        <f ca="1"/>
        <v/>
      </c>
      <c r="S205" s="62" t="str">
        <f t="shared" ca="1" si="37"/>
        <v/>
      </c>
      <c r="T205" s="62" t="e">
        <f t="shared" ca="1" si="31"/>
        <v>#N/A</v>
      </c>
      <c r="U205" s="62" t="e">
        <f t="shared" ca="1" si="32"/>
        <v>#N/A</v>
      </c>
      <c r="V205" s="62" t="e">
        <f t="shared" ca="1" si="33"/>
        <v>#N/A</v>
      </c>
      <c r="W205" s="60" t="e">
        <f t="shared" ca="1" si="34"/>
        <v>#N/A</v>
      </c>
      <c r="X205" s="60" t="e">
        <f t="shared" ca="1" si="38"/>
        <v>#N/A</v>
      </c>
      <c r="Y205" s="60" t="e">
        <f t="shared" ca="1" si="35"/>
        <v>#N/A</v>
      </c>
      <c r="Z205" s="60" t="e">
        <f t="shared" ca="1" si="36"/>
        <v>#N/A</v>
      </c>
      <c r="AA205" s="92" t="str">
        <f ca="1"/>
        <v/>
      </c>
      <c r="AB205" s="62" t="str">
        <f t="shared" ca="1" si="39"/>
        <v/>
      </c>
      <c r="AC205" s="62" t="e">
        <f t="shared" ca="1" si="40"/>
        <v>#N/A</v>
      </c>
      <c r="AD205" s="62" t="e">
        <f t="shared" ca="1" si="41"/>
        <v>#N/A</v>
      </c>
      <c r="AE205" s="62" t="e">
        <f t="shared" ca="1" si="42"/>
        <v>#N/A</v>
      </c>
    </row>
    <row r="206" spans="18:31" x14ac:dyDescent="0.25">
      <c r="R206" s="92" t="str">
        <f ca="1"/>
        <v/>
      </c>
      <c r="S206" s="62" t="str">
        <f t="shared" ca="1" si="37"/>
        <v/>
      </c>
      <c r="T206" s="62" t="e">
        <f t="shared" ca="1" si="31"/>
        <v>#N/A</v>
      </c>
      <c r="U206" s="62" t="e">
        <f t="shared" ca="1" si="32"/>
        <v>#N/A</v>
      </c>
      <c r="V206" s="62" t="e">
        <f t="shared" ca="1" si="33"/>
        <v>#N/A</v>
      </c>
      <c r="W206" s="60" t="e">
        <f t="shared" ca="1" si="34"/>
        <v>#N/A</v>
      </c>
      <c r="X206" s="60" t="e">
        <f t="shared" ca="1" si="38"/>
        <v>#N/A</v>
      </c>
      <c r="Y206" s="60" t="e">
        <f t="shared" ca="1" si="35"/>
        <v>#N/A</v>
      </c>
      <c r="Z206" s="60" t="e">
        <f t="shared" ca="1" si="36"/>
        <v>#N/A</v>
      </c>
      <c r="AA206" s="92" t="str">
        <f ca="1"/>
        <v/>
      </c>
      <c r="AB206" s="62" t="str">
        <f t="shared" ca="1" si="39"/>
        <v/>
      </c>
      <c r="AC206" s="62" t="e">
        <f t="shared" ca="1" si="40"/>
        <v>#N/A</v>
      </c>
      <c r="AD206" s="62" t="e">
        <f t="shared" ca="1" si="41"/>
        <v>#N/A</v>
      </c>
      <c r="AE206" s="62" t="e">
        <f t="shared" ca="1" si="42"/>
        <v>#N/A</v>
      </c>
    </row>
    <row r="207" spans="18:31" x14ac:dyDescent="0.25">
      <c r="R207" s="92" t="str">
        <f ca="1"/>
        <v/>
      </c>
      <c r="S207" s="62" t="str">
        <f t="shared" ca="1" si="37"/>
        <v/>
      </c>
      <c r="T207" s="62" t="e">
        <f t="shared" ca="1" si="31"/>
        <v>#N/A</v>
      </c>
      <c r="U207" s="62" t="e">
        <f t="shared" ca="1" si="32"/>
        <v>#N/A</v>
      </c>
      <c r="V207" s="62" t="e">
        <f t="shared" ca="1" si="33"/>
        <v>#N/A</v>
      </c>
      <c r="W207" s="60" t="e">
        <f t="shared" ca="1" si="34"/>
        <v>#N/A</v>
      </c>
      <c r="X207" s="60" t="e">
        <f t="shared" ca="1" si="38"/>
        <v>#N/A</v>
      </c>
      <c r="Y207" s="60" t="e">
        <f t="shared" ca="1" si="35"/>
        <v>#N/A</v>
      </c>
      <c r="Z207" s="60" t="e">
        <f t="shared" ca="1" si="36"/>
        <v>#N/A</v>
      </c>
      <c r="AA207" s="92" t="str">
        <f ca="1"/>
        <v/>
      </c>
      <c r="AB207" s="62" t="str">
        <f t="shared" ca="1" si="39"/>
        <v/>
      </c>
      <c r="AC207" s="62" t="e">
        <f t="shared" ca="1" si="40"/>
        <v>#N/A</v>
      </c>
      <c r="AD207" s="62" t="e">
        <f t="shared" ca="1" si="41"/>
        <v>#N/A</v>
      </c>
      <c r="AE207" s="62" t="e">
        <f t="shared" ca="1" si="42"/>
        <v>#N/A</v>
      </c>
    </row>
    <row r="208" spans="18:31" x14ac:dyDescent="0.25">
      <c r="R208" s="92" t="str">
        <f ca="1"/>
        <v/>
      </c>
      <c r="S208" s="62" t="str">
        <f t="shared" ca="1" si="37"/>
        <v/>
      </c>
      <c r="T208" s="62" t="e">
        <f t="shared" ca="1" si="31"/>
        <v>#N/A</v>
      </c>
      <c r="U208" s="62" t="e">
        <f t="shared" ca="1" si="32"/>
        <v>#N/A</v>
      </c>
      <c r="V208" s="62" t="e">
        <f t="shared" ca="1" si="33"/>
        <v>#N/A</v>
      </c>
      <c r="W208" s="60" t="e">
        <f t="shared" ca="1" si="34"/>
        <v>#N/A</v>
      </c>
      <c r="X208" s="60" t="e">
        <f t="shared" ca="1" si="38"/>
        <v>#N/A</v>
      </c>
      <c r="Y208" s="60" t="e">
        <f t="shared" ca="1" si="35"/>
        <v>#N/A</v>
      </c>
      <c r="Z208" s="60" t="e">
        <f t="shared" ca="1" si="36"/>
        <v>#N/A</v>
      </c>
      <c r="AA208" s="92" t="str">
        <f ca="1"/>
        <v/>
      </c>
      <c r="AB208" s="62" t="str">
        <f t="shared" ca="1" si="39"/>
        <v/>
      </c>
      <c r="AC208" s="62" t="e">
        <f t="shared" ca="1" si="40"/>
        <v>#N/A</v>
      </c>
      <c r="AD208" s="62" t="e">
        <f t="shared" ca="1" si="41"/>
        <v>#N/A</v>
      </c>
      <c r="AE208" s="62" t="e">
        <f t="shared" ca="1" si="42"/>
        <v>#N/A</v>
      </c>
    </row>
    <row r="209" spans="18:31" x14ac:dyDescent="0.25">
      <c r="R209" s="92" t="str">
        <f ca="1"/>
        <v/>
      </c>
      <c r="S209" s="62" t="str">
        <f t="shared" ca="1" si="37"/>
        <v/>
      </c>
      <c r="T209" s="62" t="e">
        <f t="shared" ca="1" si="31"/>
        <v>#N/A</v>
      </c>
      <c r="U209" s="62" t="e">
        <f t="shared" ca="1" si="32"/>
        <v>#N/A</v>
      </c>
      <c r="V209" s="62" t="e">
        <f t="shared" ca="1" si="33"/>
        <v>#N/A</v>
      </c>
      <c r="W209" s="60" t="e">
        <f t="shared" ca="1" si="34"/>
        <v>#N/A</v>
      </c>
      <c r="X209" s="60" t="e">
        <f t="shared" ca="1" si="38"/>
        <v>#N/A</v>
      </c>
      <c r="Y209" s="60" t="e">
        <f t="shared" ca="1" si="35"/>
        <v>#N/A</v>
      </c>
      <c r="Z209" s="60" t="e">
        <f t="shared" ca="1" si="36"/>
        <v>#N/A</v>
      </c>
      <c r="AA209" s="92" t="str">
        <f ca="1"/>
        <v/>
      </c>
      <c r="AB209" s="62" t="str">
        <f t="shared" ca="1" si="39"/>
        <v/>
      </c>
      <c r="AC209" s="62" t="e">
        <f t="shared" ca="1" si="40"/>
        <v>#N/A</v>
      </c>
      <c r="AD209" s="62" t="e">
        <f t="shared" ca="1" si="41"/>
        <v>#N/A</v>
      </c>
      <c r="AE209" s="62" t="e">
        <f t="shared" ca="1" si="42"/>
        <v>#N/A</v>
      </c>
    </row>
    <row r="210" spans="18:31" x14ac:dyDescent="0.25">
      <c r="R210" s="92" t="str">
        <f ca="1"/>
        <v/>
      </c>
      <c r="S210" s="62" t="str">
        <f t="shared" ca="1" si="37"/>
        <v/>
      </c>
      <c r="T210" s="62" t="e">
        <f t="shared" ref="T210:T273" ca="1" si="43">VLOOKUP(S210,ModelOutputs,2,FALSE)</f>
        <v>#N/A</v>
      </c>
      <c r="U210" s="62" t="e">
        <f t="shared" ref="U210:U273" ca="1" si="44">VLOOKUP(S210,ModelOutputs,7,FALSE)</f>
        <v>#N/A</v>
      </c>
      <c r="V210" s="62" t="e">
        <f t="shared" ref="V210:V273" ca="1" si="45">VLOOKUP(S210,ModelOutputs,6,FALSE)</f>
        <v>#N/A</v>
      </c>
      <c r="W210" s="60" t="e">
        <f t="shared" ref="W210:W273" ca="1" si="46">VLOOKUP(S210,ModelOutputs,10,FALSE)*AWC</f>
        <v>#N/A</v>
      </c>
      <c r="X210" s="60" t="e">
        <f t="shared" ca="1" si="38"/>
        <v>#N/A</v>
      </c>
      <c r="Y210" s="60" t="e">
        <f t="shared" ref="Y210:Y273" ca="1" si="47">VLOOKUP(S210,ModelOutputs,12,FALSE)</f>
        <v>#N/A</v>
      </c>
      <c r="Z210" s="60" t="e">
        <f t="shared" ref="Z210:Z273" ca="1" si="48">VLOOKUP(S210,ModelOutputs,13,FALSE)</f>
        <v>#N/A</v>
      </c>
      <c r="AA210" s="92" t="str">
        <f ca="1"/>
        <v/>
      </c>
      <c r="AB210" s="62" t="str">
        <f t="shared" ca="1" si="39"/>
        <v/>
      </c>
      <c r="AC210" s="62" t="e">
        <f t="shared" ca="1" si="40"/>
        <v>#N/A</v>
      </c>
      <c r="AD210" s="62" t="e">
        <f t="shared" ca="1" si="41"/>
        <v>#N/A</v>
      </c>
      <c r="AE210" s="62" t="e">
        <f t="shared" ca="1" si="42"/>
        <v>#N/A</v>
      </c>
    </row>
    <row r="211" spans="18:31" x14ac:dyDescent="0.25">
      <c r="R211" s="92" t="str">
        <f ca="1"/>
        <v/>
      </c>
      <c r="S211" s="62" t="str">
        <f t="shared" ref="S211:S274" ca="1" si="49">IF(R211&gt;1,R211,"")</f>
        <v/>
      </c>
      <c r="T211" s="62" t="e">
        <f t="shared" ca="1" si="43"/>
        <v>#N/A</v>
      </c>
      <c r="U211" s="62" t="e">
        <f t="shared" ca="1" si="44"/>
        <v>#N/A</v>
      </c>
      <c r="V211" s="62" t="e">
        <f t="shared" ca="1" si="45"/>
        <v>#N/A</v>
      </c>
      <c r="W211" s="60" t="e">
        <f t="shared" ca="1" si="46"/>
        <v>#N/A</v>
      </c>
      <c r="X211" s="60" t="e">
        <f t="shared" ref="X211:X274" ca="1" si="50">VLOOKUP(S211,ModelOutputs,11,FALSE)+X210</f>
        <v>#N/A</v>
      </c>
      <c r="Y211" s="60" t="e">
        <f t="shared" ca="1" si="47"/>
        <v>#N/A</v>
      </c>
      <c r="Z211" s="60" t="e">
        <f t="shared" ca="1" si="48"/>
        <v>#N/A</v>
      </c>
      <c r="AA211" s="92" t="str">
        <f ca="1"/>
        <v/>
      </c>
      <c r="AB211" s="62" t="str">
        <f t="shared" ca="1" si="39"/>
        <v/>
      </c>
      <c r="AC211" s="62" t="e">
        <f t="shared" ca="1" si="40"/>
        <v>#N/A</v>
      </c>
      <c r="AD211" s="62" t="e">
        <f t="shared" ca="1" si="41"/>
        <v>#N/A</v>
      </c>
      <c r="AE211" s="62" t="e">
        <f t="shared" ca="1" si="42"/>
        <v>#N/A</v>
      </c>
    </row>
    <row r="212" spans="18:31" x14ac:dyDescent="0.25">
      <c r="R212" s="92" t="str">
        <f ca="1"/>
        <v/>
      </c>
      <c r="S212" s="62" t="str">
        <f t="shared" ca="1" si="49"/>
        <v/>
      </c>
      <c r="T212" s="62" t="e">
        <f t="shared" ca="1" si="43"/>
        <v>#N/A</v>
      </c>
      <c r="U212" s="62" t="e">
        <f t="shared" ca="1" si="44"/>
        <v>#N/A</v>
      </c>
      <c r="V212" s="62" t="e">
        <f t="shared" ca="1" si="45"/>
        <v>#N/A</v>
      </c>
      <c r="W212" s="60" t="e">
        <f t="shared" ca="1" si="46"/>
        <v>#N/A</v>
      </c>
      <c r="X212" s="60" t="e">
        <f t="shared" ca="1" si="50"/>
        <v>#N/A</v>
      </c>
      <c r="Y212" s="60" t="e">
        <f t="shared" ca="1" si="47"/>
        <v>#N/A</v>
      </c>
      <c r="Z212" s="60" t="e">
        <f t="shared" ca="1" si="48"/>
        <v>#N/A</v>
      </c>
      <c r="AA212" s="92" t="str">
        <f ca="1"/>
        <v/>
      </c>
      <c r="AB212" s="62" t="str">
        <f t="shared" ca="1" si="39"/>
        <v/>
      </c>
      <c r="AC212" s="62" t="e">
        <f t="shared" ca="1" si="40"/>
        <v>#N/A</v>
      </c>
      <c r="AD212" s="62" t="e">
        <f t="shared" ca="1" si="41"/>
        <v>#N/A</v>
      </c>
      <c r="AE212" s="62" t="e">
        <f t="shared" ca="1" si="42"/>
        <v>#N/A</v>
      </c>
    </row>
    <row r="213" spans="18:31" x14ac:dyDescent="0.25">
      <c r="R213" s="92" t="str">
        <f ca="1"/>
        <v/>
      </c>
      <c r="S213" s="62" t="str">
        <f t="shared" ca="1" si="49"/>
        <v/>
      </c>
      <c r="T213" s="62" t="e">
        <f t="shared" ca="1" si="43"/>
        <v>#N/A</v>
      </c>
      <c r="U213" s="62" t="e">
        <f t="shared" ca="1" si="44"/>
        <v>#N/A</v>
      </c>
      <c r="V213" s="62" t="e">
        <f t="shared" ca="1" si="45"/>
        <v>#N/A</v>
      </c>
      <c r="W213" s="60" t="e">
        <f t="shared" ca="1" si="46"/>
        <v>#N/A</v>
      </c>
      <c r="X213" s="60" t="e">
        <f t="shared" ca="1" si="50"/>
        <v>#N/A</v>
      </c>
      <c r="Y213" s="60" t="e">
        <f t="shared" ca="1" si="47"/>
        <v>#N/A</v>
      </c>
      <c r="Z213" s="60" t="e">
        <f t="shared" ca="1" si="48"/>
        <v>#N/A</v>
      </c>
      <c r="AA213" s="92" t="str">
        <f ca="1"/>
        <v/>
      </c>
      <c r="AB213" s="62" t="str">
        <f t="shared" ref="AB213:AB276" ca="1" si="51">IF(AA213&gt;1,AA213,"")</f>
        <v/>
      </c>
      <c r="AC213" s="62" t="e">
        <f t="shared" ref="AC213:AC276" ca="1" si="52">VLOOKUP(AB213,ModelOutputs,2,FALSE)</f>
        <v>#N/A</v>
      </c>
      <c r="AD213" s="62" t="e">
        <f t="shared" ref="AD213:AD276" ca="1" si="53">VLOOKUP(AB213,ModelOutputs,7,FALSE)</f>
        <v>#N/A</v>
      </c>
      <c r="AE213" s="62" t="e">
        <f t="shared" ref="AE213:AE276" ca="1" si="54">VLOOKUP(AB213,ModelOutputs,6,FALSE)</f>
        <v>#N/A</v>
      </c>
    </row>
    <row r="214" spans="18:31" x14ac:dyDescent="0.25">
      <c r="R214" s="92" t="str">
        <f ca="1"/>
        <v/>
      </c>
      <c r="S214" s="62" t="str">
        <f t="shared" ca="1" si="49"/>
        <v/>
      </c>
      <c r="T214" s="62" t="e">
        <f t="shared" ca="1" si="43"/>
        <v>#N/A</v>
      </c>
      <c r="U214" s="62" t="e">
        <f t="shared" ca="1" si="44"/>
        <v>#N/A</v>
      </c>
      <c r="V214" s="62" t="e">
        <f t="shared" ca="1" si="45"/>
        <v>#N/A</v>
      </c>
      <c r="W214" s="60" t="e">
        <f t="shared" ca="1" si="46"/>
        <v>#N/A</v>
      </c>
      <c r="X214" s="60" t="e">
        <f t="shared" ca="1" si="50"/>
        <v>#N/A</v>
      </c>
      <c r="Y214" s="60" t="e">
        <f t="shared" ca="1" si="47"/>
        <v>#N/A</v>
      </c>
      <c r="Z214" s="60" t="e">
        <f t="shared" ca="1" si="48"/>
        <v>#N/A</v>
      </c>
      <c r="AA214" s="92" t="str">
        <f ca="1"/>
        <v/>
      </c>
      <c r="AB214" s="62" t="str">
        <f t="shared" ca="1" si="51"/>
        <v/>
      </c>
      <c r="AC214" s="62" t="e">
        <f t="shared" ca="1" si="52"/>
        <v>#N/A</v>
      </c>
      <c r="AD214" s="62" t="e">
        <f t="shared" ca="1" si="53"/>
        <v>#N/A</v>
      </c>
      <c r="AE214" s="62" t="e">
        <f t="shared" ca="1" si="54"/>
        <v>#N/A</v>
      </c>
    </row>
    <row r="215" spans="18:31" x14ac:dyDescent="0.25">
      <c r="R215" s="92" t="str">
        <f ca="1"/>
        <v/>
      </c>
      <c r="S215" s="62" t="str">
        <f t="shared" ca="1" si="49"/>
        <v/>
      </c>
      <c r="T215" s="62" t="e">
        <f t="shared" ca="1" si="43"/>
        <v>#N/A</v>
      </c>
      <c r="U215" s="62" t="e">
        <f t="shared" ca="1" si="44"/>
        <v>#N/A</v>
      </c>
      <c r="V215" s="62" t="e">
        <f t="shared" ca="1" si="45"/>
        <v>#N/A</v>
      </c>
      <c r="W215" s="60" t="e">
        <f t="shared" ca="1" si="46"/>
        <v>#N/A</v>
      </c>
      <c r="X215" s="60" t="e">
        <f t="shared" ca="1" si="50"/>
        <v>#N/A</v>
      </c>
      <c r="Y215" s="60" t="e">
        <f t="shared" ca="1" si="47"/>
        <v>#N/A</v>
      </c>
      <c r="Z215" s="60" t="e">
        <f t="shared" ca="1" si="48"/>
        <v>#N/A</v>
      </c>
      <c r="AA215" s="92" t="str">
        <f ca="1"/>
        <v/>
      </c>
      <c r="AB215" s="62" t="str">
        <f t="shared" ca="1" si="51"/>
        <v/>
      </c>
      <c r="AC215" s="62" t="e">
        <f t="shared" ca="1" si="52"/>
        <v>#N/A</v>
      </c>
      <c r="AD215" s="62" t="e">
        <f t="shared" ca="1" si="53"/>
        <v>#N/A</v>
      </c>
      <c r="AE215" s="62" t="e">
        <f t="shared" ca="1" si="54"/>
        <v>#N/A</v>
      </c>
    </row>
    <row r="216" spans="18:31" x14ac:dyDescent="0.25">
      <c r="R216" s="92" t="str">
        <f ca="1"/>
        <v/>
      </c>
      <c r="S216" s="62" t="str">
        <f t="shared" ca="1" si="49"/>
        <v/>
      </c>
      <c r="T216" s="62" t="e">
        <f t="shared" ca="1" si="43"/>
        <v>#N/A</v>
      </c>
      <c r="U216" s="62" t="e">
        <f t="shared" ca="1" si="44"/>
        <v>#N/A</v>
      </c>
      <c r="V216" s="62" t="e">
        <f t="shared" ca="1" si="45"/>
        <v>#N/A</v>
      </c>
      <c r="W216" s="60" t="e">
        <f t="shared" ca="1" si="46"/>
        <v>#N/A</v>
      </c>
      <c r="X216" s="60" t="e">
        <f t="shared" ca="1" si="50"/>
        <v>#N/A</v>
      </c>
      <c r="Y216" s="60" t="e">
        <f t="shared" ca="1" si="47"/>
        <v>#N/A</v>
      </c>
      <c r="Z216" s="60" t="e">
        <f t="shared" ca="1" si="48"/>
        <v>#N/A</v>
      </c>
      <c r="AA216" s="92" t="str">
        <f ca="1"/>
        <v/>
      </c>
      <c r="AB216" s="62" t="str">
        <f t="shared" ca="1" si="51"/>
        <v/>
      </c>
      <c r="AC216" s="62" t="e">
        <f t="shared" ca="1" si="52"/>
        <v>#N/A</v>
      </c>
      <c r="AD216" s="62" t="e">
        <f t="shared" ca="1" si="53"/>
        <v>#N/A</v>
      </c>
      <c r="AE216" s="62" t="e">
        <f t="shared" ca="1" si="54"/>
        <v>#N/A</v>
      </c>
    </row>
    <row r="217" spans="18:31" x14ac:dyDescent="0.25">
      <c r="R217" s="92" t="str">
        <f ca="1"/>
        <v/>
      </c>
      <c r="S217" s="62" t="str">
        <f t="shared" ca="1" si="49"/>
        <v/>
      </c>
      <c r="T217" s="62" t="e">
        <f t="shared" ca="1" si="43"/>
        <v>#N/A</v>
      </c>
      <c r="U217" s="62" t="e">
        <f t="shared" ca="1" si="44"/>
        <v>#N/A</v>
      </c>
      <c r="V217" s="62" t="e">
        <f t="shared" ca="1" si="45"/>
        <v>#N/A</v>
      </c>
      <c r="W217" s="60" t="e">
        <f t="shared" ca="1" si="46"/>
        <v>#N/A</v>
      </c>
      <c r="X217" s="60" t="e">
        <f t="shared" ca="1" si="50"/>
        <v>#N/A</v>
      </c>
      <c r="Y217" s="60" t="e">
        <f t="shared" ca="1" si="47"/>
        <v>#N/A</v>
      </c>
      <c r="Z217" s="60" t="e">
        <f t="shared" ca="1" si="48"/>
        <v>#N/A</v>
      </c>
      <c r="AA217" s="92" t="str">
        <f ca="1"/>
        <v/>
      </c>
      <c r="AB217" s="62" t="str">
        <f t="shared" ca="1" si="51"/>
        <v/>
      </c>
      <c r="AC217" s="62" t="e">
        <f t="shared" ca="1" si="52"/>
        <v>#N/A</v>
      </c>
      <c r="AD217" s="62" t="e">
        <f t="shared" ca="1" si="53"/>
        <v>#N/A</v>
      </c>
      <c r="AE217" s="62" t="e">
        <f t="shared" ca="1" si="54"/>
        <v>#N/A</v>
      </c>
    </row>
    <row r="218" spans="18:31" x14ac:dyDescent="0.25">
      <c r="R218" s="92" t="str">
        <f ca="1"/>
        <v/>
      </c>
      <c r="S218" s="62" t="str">
        <f t="shared" ca="1" si="49"/>
        <v/>
      </c>
      <c r="T218" s="62" t="e">
        <f t="shared" ca="1" si="43"/>
        <v>#N/A</v>
      </c>
      <c r="U218" s="62" t="e">
        <f t="shared" ca="1" si="44"/>
        <v>#N/A</v>
      </c>
      <c r="V218" s="62" t="e">
        <f t="shared" ca="1" si="45"/>
        <v>#N/A</v>
      </c>
      <c r="W218" s="60" t="e">
        <f t="shared" ca="1" si="46"/>
        <v>#N/A</v>
      </c>
      <c r="X218" s="60" t="e">
        <f t="shared" ca="1" si="50"/>
        <v>#N/A</v>
      </c>
      <c r="Y218" s="60" t="e">
        <f t="shared" ca="1" si="47"/>
        <v>#N/A</v>
      </c>
      <c r="Z218" s="60" t="e">
        <f t="shared" ca="1" si="48"/>
        <v>#N/A</v>
      </c>
      <c r="AA218" s="92" t="str">
        <f ca="1"/>
        <v/>
      </c>
      <c r="AB218" s="62" t="str">
        <f t="shared" ca="1" si="51"/>
        <v/>
      </c>
      <c r="AC218" s="62" t="e">
        <f t="shared" ca="1" si="52"/>
        <v>#N/A</v>
      </c>
      <c r="AD218" s="62" t="e">
        <f t="shared" ca="1" si="53"/>
        <v>#N/A</v>
      </c>
      <c r="AE218" s="62" t="e">
        <f t="shared" ca="1" si="54"/>
        <v>#N/A</v>
      </c>
    </row>
    <row r="219" spans="18:31" x14ac:dyDescent="0.25">
      <c r="R219" s="92" t="str">
        <f ca="1"/>
        <v/>
      </c>
      <c r="S219" s="62" t="str">
        <f t="shared" ca="1" si="49"/>
        <v/>
      </c>
      <c r="T219" s="62" t="e">
        <f t="shared" ca="1" si="43"/>
        <v>#N/A</v>
      </c>
      <c r="U219" s="62" t="e">
        <f t="shared" ca="1" si="44"/>
        <v>#N/A</v>
      </c>
      <c r="V219" s="62" t="e">
        <f t="shared" ca="1" si="45"/>
        <v>#N/A</v>
      </c>
      <c r="W219" s="60" t="e">
        <f t="shared" ca="1" si="46"/>
        <v>#N/A</v>
      </c>
      <c r="X219" s="60" t="e">
        <f t="shared" ca="1" si="50"/>
        <v>#N/A</v>
      </c>
      <c r="Y219" s="60" t="e">
        <f t="shared" ca="1" si="47"/>
        <v>#N/A</v>
      </c>
      <c r="Z219" s="60" t="e">
        <f t="shared" ca="1" si="48"/>
        <v>#N/A</v>
      </c>
      <c r="AA219" s="92" t="str">
        <f ca="1"/>
        <v/>
      </c>
      <c r="AB219" s="62" t="str">
        <f t="shared" ca="1" si="51"/>
        <v/>
      </c>
      <c r="AC219" s="62" t="e">
        <f t="shared" ca="1" si="52"/>
        <v>#N/A</v>
      </c>
      <c r="AD219" s="62" t="e">
        <f t="shared" ca="1" si="53"/>
        <v>#N/A</v>
      </c>
      <c r="AE219" s="62" t="e">
        <f t="shared" ca="1" si="54"/>
        <v>#N/A</v>
      </c>
    </row>
    <row r="220" spans="18:31" x14ac:dyDescent="0.25">
      <c r="R220" s="92" t="str">
        <f ca="1"/>
        <v/>
      </c>
      <c r="S220" s="62" t="str">
        <f t="shared" ca="1" si="49"/>
        <v/>
      </c>
      <c r="T220" s="62" t="e">
        <f t="shared" ca="1" si="43"/>
        <v>#N/A</v>
      </c>
      <c r="U220" s="62" t="e">
        <f t="shared" ca="1" si="44"/>
        <v>#N/A</v>
      </c>
      <c r="V220" s="62" t="e">
        <f t="shared" ca="1" si="45"/>
        <v>#N/A</v>
      </c>
      <c r="W220" s="60" t="e">
        <f t="shared" ca="1" si="46"/>
        <v>#N/A</v>
      </c>
      <c r="X220" s="60" t="e">
        <f t="shared" ca="1" si="50"/>
        <v>#N/A</v>
      </c>
      <c r="Y220" s="60" t="e">
        <f t="shared" ca="1" si="47"/>
        <v>#N/A</v>
      </c>
      <c r="Z220" s="60" t="e">
        <f t="shared" ca="1" si="48"/>
        <v>#N/A</v>
      </c>
      <c r="AA220" s="92" t="str">
        <f ca="1"/>
        <v/>
      </c>
      <c r="AB220" s="62" t="str">
        <f t="shared" ca="1" si="51"/>
        <v/>
      </c>
      <c r="AC220" s="62" t="e">
        <f t="shared" ca="1" si="52"/>
        <v>#N/A</v>
      </c>
      <c r="AD220" s="62" t="e">
        <f t="shared" ca="1" si="53"/>
        <v>#N/A</v>
      </c>
      <c r="AE220" s="62" t="e">
        <f t="shared" ca="1" si="54"/>
        <v>#N/A</v>
      </c>
    </row>
    <row r="221" spans="18:31" x14ac:dyDescent="0.25">
      <c r="R221" s="92" t="str">
        <f ca="1"/>
        <v/>
      </c>
      <c r="S221" s="62" t="str">
        <f t="shared" ca="1" si="49"/>
        <v/>
      </c>
      <c r="T221" s="62" t="e">
        <f t="shared" ca="1" si="43"/>
        <v>#N/A</v>
      </c>
      <c r="U221" s="62" t="e">
        <f t="shared" ca="1" si="44"/>
        <v>#N/A</v>
      </c>
      <c r="V221" s="62" t="e">
        <f t="shared" ca="1" si="45"/>
        <v>#N/A</v>
      </c>
      <c r="W221" s="60" t="e">
        <f t="shared" ca="1" si="46"/>
        <v>#N/A</v>
      </c>
      <c r="X221" s="60" t="e">
        <f t="shared" ca="1" si="50"/>
        <v>#N/A</v>
      </c>
      <c r="Y221" s="60" t="e">
        <f t="shared" ca="1" si="47"/>
        <v>#N/A</v>
      </c>
      <c r="Z221" s="60" t="e">
        <f t="shared" ca="1" si="48"/>
        <v>#N/A</v>
      </c>
      <c r="AA221" s="92" t="str">
        <f ca="1"/>
        <v/>
      </c>
      <c r="AB221" s="62" t="str">
        <f t="shared" ca="1" si="51"/>
        <v/>
      </c>
      <c r="AC221" s="62" t="e">
        <f t="shared" ca="1" si="52"/>
        <v>#N/A</v>
      </c>
      <c r="AD221" s="62" t="e">
        <f t="shared" ca="1" si="53"/>
        <v>#N/A</v>
      </c>
      <c r="AE221" s="62" t="e">
        <f t="shared" ca="1" si="54"/>
        <v>#N/A</v>
      </c>
    </row>
    <row r="222" spans="18:31" x14ac:dyDescent="0.25">
      <c r="R222" s="92" t="str">
        <f ca="1"/>
        <v/>
      </c>
      <c r="S222" s="62" t="str">
        <f t="shared" ca="1" si="49"/>
        <v/>
      </c>
      <c r="T222" s="62" t="e">
        <f t="shared" ca="1" si="43"/>
        <v>#N/A</v>
      </c>
      <c r="U222" s="62" t="e">
        <f t="shared" ca="1" si="44"/>
        <v>#N/A</v>
      </c>
      <c r="V222" s="62" t="e">
        <f t="shared" ca="1" si="45"/>
        <v>#N/A</v>
      </c>
      <c r="W222" s="60" t="e">
        <f t="shared" ca="1" si="46"/>
        <v>#N/A</v>
      </c>
      <c r="X222" s="60" t="e">
        <f t="shared" ca="1" si="50"/>
        <v>#N/A</v>
      </c>
      <c r="Y222" s="60" t="e">
        <f t="shared" ca="1" si="47"/>
        <v>#N/A</v>
      </c>
      <c r="Z222" s="60" t="e">
        <f t="shared" ca="1" si="48"/>
        <v>#N/A</v>
      </c>
      <c r="AA222" s="92" t="str">
        <f ca="1"/>
        <v/>
      </c>
      <c r="AB222" s="62" t="str">
        <f t="shared" ca="1" si="51"/>
        <v/>
      </c>
      <c r="AC222" s="62" t="e">
        <f t="shared" ca="1" si="52"/>
        <v>#N/A</v>
      </c>
      <c r="AD222" s="62" t="e">
        <f t="shared" ca="1" si="53"/>
        <v>#N/A</v>
      </c>
      <c r="AE222" s="62" t="e">
        <f t="shared" ca="1" si="54"/>
        <v>#N/A</v>
      </c>
    </row>
    <row r="223" spans="18:31" x14ac:dyDescent="0.25">
      <c r="R223" s="92" t="str">
        <f ca="1"/>
        <v/>
      </c>
      <c r="S223" s="62" t="str">
        <f t="shared" ca="1" si="49"/>
        <v/>
      </c>
      <c r="T223" s="62" t="e">
        <f t="shared" ca="1" si="43"/>
        <v>#N/A</v>
      </c>
      <c r="U223" s="62" t="e">
        <f t="shared" ca="1" si="44"/>
        <v>#N/A</v>
      </c>
      <c r="V223" s="62" t="e">
        <f t="shared" ca="1" si="45"/>
        <v>#N/A</v>
      </c>
      <c r="W223" s="60" t="e">
        <f t="shared" ca="1" si="46"/>
        <v>#N/A</v>
      </c>
      <c r="X223" s="60" t="e">
        <f t="shared" ca="1" si="50"/>
        <v>#N/A</v>
      </c>
      <c r="Y223" s="60" t="e">
        <f t="shared" ca="1" si="47"/>
        <v>#N/A</v>
      </c>
      <c r="Z223" s="60" t="e">
        <f t="shared" ca="1" si="48"/>
        <v>#N/A</v>
      </c>
      <c r="AA223" s="92" t="str">
        <f ca="1"/>
        <v/>
      </c>
      <c r="AB223" s="62" t="str">
        <f t="shared" ca="1" si="51"/>
        <v/>
      </c>
      <c r="AC223" s="62" t="e">
        <f t="shared" ca="1" si="52"/>
        <v>#N/A</v>
      </c>
      <c r="AD223" s="62" t="e">
        <f t="shared" ca="1" si="53"/>
        <v>#N/A</v>
      </c>
      <c r="AE223" s="62" t="e">
        <f t="shared" ca="1" si="54"/>
        <v>#N/A</v>
      </c>
    </row>
    <row r="224" spans="18:31" x14ac:dyDescent="0.25">
      <c r="R224" s="92" t="str">
        <f ca="1"/>
        <v/>
      </c>
      <c r="S224" s="62" t="str">
        <f t="shared" ca="1" si="49"/>
        <v/>
      </c>
      <c r="T224" s="62" t="e">
        <f t="shared" ca="1" si="43"/>
        <v>#N/A</v>
      </c>
      <c r="U224" s="62" t="e">
        <f t="shared" ca="1" si="44"/>
        <v>#N/A</v>
      </c>
      <c r="V224" s="62" t="e">
        <f t="shared" ca="1" si="45"/>
        <v>#N/A</v>
      </c>
      <c r="W224" s="60" t="e">
        <f t="shared" ca="1" si="46"/>
        <v>#N/A</v>
      </c>
      <c r="X224" s="60" t="e">
        <f t="shared" ca="1" si="50"/>
        <v>#N/A</v>
      </c>
      <c r="Y224" s="60" t="e">
        <f t="shared" ca="1" si="47"/>
        <v>#N/A</v>
      </c>
      <c r="Z224" s="60" t="e">
        <f t="shared" ca="1" si="48"/>
        <v>#N/A</v>
      </c>
      <c r="AA224" s="92" t="str">
        <f ca="1"/>
        <v/>
      </c>
      <c r="AB224" s="62" t="str">
        <f t="shared" ca="1" si="51"/>
        <v/>
      </c>
      <c r="AC224" s="62" t="e">
        <f t="shared" ca="1" si="52"/>
        <v>#N/A</v>
      </c>
      <c r="AD224" s="62" t="e">
        <f t="shared" ca="1" si="53"/>
        <v>#N/A</v>
      </c>
      <c r="AE224" s="62" t="e">
        <f t="shared" ca="1" si="54"/>
        <v>#N/A</v>
      </c>
    </row>
    <row r="225" spans="18:31" x14ac:dyDescent="0.25">
      <c r="R225" s="92" t="str">
        <f ca="1"/>
        <v/>
      </c>
      <c r="S225" s="62" t="str">
        <f t="shared" ca="1" si="49"/>
        <v/>
      </c>
      <c r="T225" s="62" t="e">
        <f t="shared" ca="1" si="43"/>
        <v>#N/A</v>
      </c>
      <c r="U225" s="62" t="e">
        <f t="shared" ca="1" si="44"/>
        <v>#N/A</v>
      </c>
      <c r="V225" s="62" t="e">
        <f t="shared" ca="1" si="45"/>
        <v>#N/A</v>
      </c>
      <c r="W225" s="60" t="e">
        <f t="shared" ca="1" si="46"/>
        <v>#N/A</v>
      </c>
      <c r="X225" s="60" t="e">
        <f t="shared" ca="1" si="50"/>
        <v>#N/A</v>
      </c>
      <c r="Y225" s="60" t="e">
        <f t="shared" ca="1" si="47"/>
        <v>#N/A</v>
      </c>
      <c r="Z225" s="60" t="e">
        <f t="shared" ca="1" si="48"/>
        <v>#N/A</v>
      </c>
      <c r="AA225" s="92" t="str">
        <f ca="1"/>
        <v/>
      </c>
      <c r="AB225" s="62" t="str">
        <f t="shared" ca="1" si="51"/>
        <v/>
      </c>
      <c r="AC225" s="62" t="e">
        <f t="shared" ca="1" si="52"/>
        <v>#N/A</v>
      </c>
      <c r="AD225" s="62" t="e">
        <f t="shared" ca="1" si="53"/>
        <v>#N/A</v>
      </c>
      <c r="AE225" s="62" t="e">
        <f t="shared" ca="1" si="54"/>
        <v>#N/A</v>
      </c>
    </row>
    <row r="226" spans="18:31" x14ac:dyDescent="0.25">
      <c r="R226" s="92" t="str">
        <f ca="1"/>
        <v/>
      </c>
      <c r="S226" s="62" t="str">
        <f t="shared" ca="1" si="49"/>
        <v/>
      </c>
      <c r="T226" s="62" t="e">
        <f t="shared" ca="1" si="43"/>
        <v>#N/A</v>
      </c>
      <c r="U226" s="62" t="e">
        <f t="shared" ca="1" si="44"/>
        <v>#N/A</v>
      </c>
      <c r="V226" s="62" t="e">
        <f t="shared" ca="1" si="45"/>
        <v>#N/A</v>
      </c>
      <c r="W226" s="60" t="e">
        <f t="shared" ca="1" si="46"/>
        <v>#N/A</v>
      </c>
      <c r="X226" s="60" t="e">
        <f t="shared" ca="1" si="50"/>
        <v>#N/A</v>
      </c>
      <c r="Y226" s="60" t="e">
        <f t="shared" ca="1" si="47"/>
        <v>#N/A</v>
      </c>
      <c r="Z226" s="60" t="e">
        <f t="shared" ca="1" si="48"/>
        <v>#N/A</v>
      </c>
      <c r="AA226" s="92" t="str">
        <f ca="1"/>
        <v/>
      </c>
      <c r="AB226" s="62" t="str">
        <f t="shared" ca="1" si="51"/>
        <v/>
      </c>
      <c r="AC226" s="62" t="e">
        <f t="shared" ca="1" si="52"/>
        <v>#N/A</v>
      </c>
      <c r="AD226" s="62" t="e">
        <f t="shared" ca="1" si="53"/>
        <v>#N/A</v>
      </c>
      <c r="AE226" s="62" t="e">
        <f t="shared" ca="1" si="54"/>
        <v>#N/A</v>
      </c>
    </row>
    <row r="227" spans="18:31" x14ac:dyDescent="0.25">
      <c r="R227" s="92" t="str">
        <f ca="1"/>
        <v/>
      </c>
      <c r="S227" s="62" t="str">
        <f t="shared" ca="1" si="49"/>
        <v/>
      </c>
      <c r="T227" s="62" t="e">
        <f t="shared" ca="1" si="43"/>
        <v>#N/A</v>
      </c>
      <c r="U227" s="62" t="e">
        <f t="shared" ca="1" si="44"/>
        <v>#N/A</v>
      </c>
      <c r="V227" s="62" t="e">
        <f t="shared" ca="1" si="45"/>
        <v>#N/A</v>
      </c>
      <c r="W227" s="60" t="e">
        <f t="shared" ca="1" si="46"/>
        <v>#N/A</v>
      </c>
      <c r="X227" s="60" t="e">
        <f t="shared" ca="1" si="50"/>
        <v>#N/A</v>
      </c>
      <c r="Y227" s="60" t="e">
        <f t="shared" ca="1" si="47"/>
        <v>#N/A</v>
      </c>
      <c r="Z227" s="60" t="e">
        <f t="shared" ca="1" si="48"/>
        <v>#N/A</v>
      </c>
      <c r="AA227" s="92" t="str">
        <f ca="1"/>
        <v/>
      </c>
      <c r="AB227" s="62" t="str">
        <f t="shared" ca="1" si="51"/>
        <v/>
      </c>
      <c r="AC227" s="62" t="e">
        <f t="shared" ca="1" si="52"/>
        <v>#N/A</v>
      </c>
      <c r="AD227" s="62" t="e">
        <f t="shared" ca="1" si="53"/>
        <v>#N/A</v>
      </c>
      <c r="AE227" s="62" t="e">
        <f t="shared" ca="1" si="54"/>
        <v>#N/A</v>
      </c>
    </row>
    <row r="228" spans="18:31" x14ac:dyDescent="0.25">
      <c r="R228" s="92" t="str">
        <f ca="1"/>
        <v/>
      </c>
      <c r="S228" s="62" t="str">
        <f t="shared" ca="1" si="49"/>
        <v/>
      </c>
      <c r="T228" s="62" t="e">
        <f t="shared" ca="1" si="43"/>
        <v>#N/A</v>
      </c>
      <c r="U228" s="62" t="e">
        <f t="shared" ca="1" si="44"/>
        <v>#N/A</v>
      </c>
      <c r="V228" s="62" t="e">
        <f t="shared" ca="1" si="45"/>
        <v>#N/A</v>
      </c>
      <c r="W228" s="60" t="e">
        <f t="shared" ca="1" si="46"/>
        <v>#N/A</v>
      </c>
      <c r="X228" s="60" t="e">
        <f t="shared" ca="1" si="50"/>
        <v>#N/A</v>
      </c>
      <c r="Y228" s="60" t="e">
        <f t="shared" ca="1" si="47"/>
        <v>#N/A</v>
      </c>
      <c r="Z228" s="60" t="e">
        <f t="shared" ca="1" si="48"/>
        <v>#N/A</v>
      </c>
      <c r="AA228" s="92" t="str">
        <f ca="1"/>
        <v/>
      </c>
      <c r="AB228" s="62" t="str">
        <f t="shared" ca="1" si="51"/>
        <v/>
      </c>
      <c r="AC228" s="62" t="e">
        <f t="shared" ca="1" si="52"/>
        <v>#N/A</v>
      </c>
      <c r="AD228" s="62" t="e">
        <f t="shared" ca="1" si="53"/>
        <v>#N/A</v>
      </c>
      <c r="AE228" s="62" t="e">
        <f t="shared" ca="1" si="54"/>
        <v>#N/A</v>
      </c>
    </row>
    <row r="229" spans="18:31" x14ac:dyDescent="0.25">
      <c r="R229" s="92" t="str">
        <f ca="1"/>
        <v/>
      </c>
      <c r="S229" s="62" t="str">
        <f t="shared" ca="1" si="49"/>
        <v/>
      </c>
      <c r="T229" s="62" t="e">
        <f t="shared" ca="1" si="43"/>
        <v>#N/A</v>
      </c>
      <c r="U229" s="62" t="e">
        <f t="shared" ca="1" si="44"/>
        <v>#N/A</v>
      </c>
      <c r="V229" s="62" t="e">
        <f t="shared" ca="1" si="45"/>
        <v>#N/A</v>
      </c>
      <c r="W229" s="60" t="e">
        <f t="shared" ca="1" si="46"/>
        <v>#N/A</v>
      </c>
      <c r="X229" s="60" t="e">
        <f t="shared" ca="1" si="50"/>
        <v>#N/A</v>
      </c>
      <c r="Y229" s="60" t="e">
        <f t="shared" ca="1" si="47"/>
        <v>#N/A</v>
      </c>
      <c r="Z229" s="60" t="e">
        <f t="shared" ca="1" si="48"/>
        <v>#N/A</v>
      </c>
      <c r="AA229" s="92" t="str">
        <f ca="1"/>
        <v/>
      </c>
      <c r="AB229" s="62" t="str">
        <f t="shared" ca="1" si="51"/>
        <v/>
      </c>
      <c r="AC229" s="62" t="e">
        <f t="shared" ca="1" si="52"/>
        <v>#N/A</v>
      </c>
      <c r="AD229" s="62" t="e">
        <f t="shared" ca="1" si="53"/>
        <v>#N/A</v>
      </c>
      <c r="AE229" s="62" t="e">
        <f t="shared" ca="1" si="54"/>
        <v>#N/A</v>
      </c>
    </row>
    <row r="230" spans="18:31" x14ac:dyDescent="0.25">
      <c r="R230" s="92" t="str">
        <f ca="1"/>
        <v/>
      </c>
      <c r="S230" s="62" t="str">
        <f t="shared" ca="1" si="49"/>
        <v/>
      </c>
      <c r="T230" s="62" t="e">
        <f t="shared" ca="1" si="43"/>
        <v>#N/A</v>
      </c>
      <c r="U230" s="62" t="e">
        <f t="shared" ca="1" si="44"/>
        <v>#N/A</v>
      </c>
      <c r="V230" s="62" t="e">
        <f t="shared" ca="1" si="45"/>
        <v>#N/A</v>
      </c>
      <c r="W230" s="60" t="e">
        <f t="shared" ca="1" si="46"/>
        <v>#N/A</v>
      </c>
      <c r="X230" s="60" t="e">
        <f t="shared" ca="1" si="50"/>
        <v>#N/A</v>
      </c>
      <c r="Y230" s="60" t="e">
        <f t="shared" ca="1" si="47"/>
        <v>#N/A</v>
      </c>
      <c r="Z230" s="60" t="e">
        <f t="shared" ca="1" si="48"/>
        <v>#N/A</v>
      </c>
      <c r="AA230" s="92" t="str">
        <f ca="1"/>
        <v/>
      </c>
      <c r="AB230" s="62" t="str">
        <f t="shared" ca="1" si="51"/>
        <v/>
      </c>
      <c r="AC230" s="62" t="e">
        <f t="shared" ca="1" si="52"/>
        <v>#N/A</v>
      </c>
      <c r="AD230" s="62" t="e">
        <f t="shared" ca="1" si="53"/>
        <v>#N/A</v>
      </c>
      <c r="AE230" s="62" t="e">
        <f t="shared" ca="1" si="54"/>
        <v>#N/A</v>
      </c>
    </row>
    <row r="231" spans="18:31" x14ac:dyDescent="0.25">
      <c r="R231" s="92" t="str">
        <f ca="1"/>
        <v/>
      </c>
      <c r="S231" s="62" t="str">
        <f t="shared" ca="1" si="49"/>
        <v/>
      </c>
      <c r="T231" s="62" t="e">
        <f t="shared" ca="1" si="43"/>
        <v>#N/A</v>
      </c>
      <c r="U231" s="62" t="e">
        <f t="shared" ca="1" si="44"/>
        <v>#N/A</v>
      </c>
      <c r="V231" s="62" t="e">
        <f t="shared" ca="1" si="45"/>
        <v>#N/A</v>
      </c>
      <c r="W231" s="60" t="e">
        <f t="shared" ca="1" si="46"/>
        <v>#N/A</v>
      </c>
      <c r="X231" s="60" t="e">
        <f t="shared" ca="1" si="50"/>
        <v>#N/A</v>
      </c>
      <c r="Y231" s="60" t="e">
        <f t="shared" ca="1" si="47"/>
        <v>#N/A</v>
      </c>
      <c r="Z231" s="60" t="e">
        <f t="shared" ca="1" si="48"/>
        <v>#N/A</v>
      </c>
      <c r="AA231" s="92" t="str">
        <f ca="1"/>
        <v/>
      </c>
      <c r="AB231" s="62" t="str">
        <f t="shared" ca="1" si="51"/>
        <v/>
      </c>
      <c r="AC231" s="62" t="e">
        <f t="shared" ca="1" si="52"/>
        <v>#N/A</v>
      </c>
      <c r="AD231" s="62" t="e">
        <f t="shared" ca="1" si="53"/>
        <v>#N/A</v>
      </c>
      <c r="AE231" s="62" t="e">
        <f t="shared" ca="1" si="54"/>
        <v>#N/A</v>
      </c>
    </row>
    <row r="232" spans="18:31" x14ac:dyDescent="0.25">
      <c r="R232" s="92" t="str">
        <f ca="1"/>
        <v/>
      </c>
      <c r="S232" s="62" t="str">
        <f t="shared" ca="1" si="49"/>
        <v/>
      </c>
      <c r="T232" s="62" t="e">
        <f t="shared" ca="1" si="43"/>
        <v>#N/A</v>
      </c>
      <c r="U232" s="62" t="e">
        <f t="shared" ca="1" si="44"/>
        <v>#N/A</v>
      </c>
      <c r="V232" s="62" t="e">
        <f t="shared" ca="1" si="45"/>
        <v>#N/A</v>
      </c>
      <c r="W232" s="60" t="e">
        <f t="shared" ca="1" si="46"/>
        <v>#N/A</v>
      </c>
      <c r="X232" s="60" t="e">
        <f t="shared" ca="1" si="50"/>
        <v>#N/A</v>
      </c>
      <c r="Y232" s="60" t="e">
        <f t="shared" ca="1" si="47"/>
        <v>#N/A</v>
      </c>
      <c r="Z232" s="60" t="e">
        <f t="shared" ca="1" si="48"/>
        <v>#N/A</v>
      </c>
      <c r="AA232" s="92" t="str">
        <f ca="1"/>
        <v/>
      </c>
      <c r="AB232" s="62" t="str">
        <f t="shared" ca="1" si="51"/>
        <v/>
      </c>
      <c r="AC232" s="62" t="e">
        <f t="shared" ca="1" si="52"/>
        <v>#N/A</v>
      </c>
      <c r="AD232" s="62" t="e">
        <f t="shared" ca="1" si="53"/>
        <v>#N/A</v>
      </c>
      <c r="AE232" s="62" t="e">
        <f t="shared" ca="1" si="54"/>
        <v>#N/A</v>
      </c>
    </row>
    <row r="233" spans="18:31" x14ac:dyDescent="0.25">
      <c r="R233" s="92" t="str">
        <f ca="1"/>
        <v/>
      </c>
      <c r="S233" s="62" t="str">
        <f t="shared" ca="1" si="49"/>
        <v/>
      </c>
      <c r="T233" s="62" t="e">
        <f t="shared" ca="1" si="43"/>
        <v>#N/A</v>
      </c>
      <c r="U233" s="62" t="e">
        <f t="shared" ca="1" si="44"/>
        <v>#N/A</v>
      </c>
      <c r="V233" s="62" t="e">
        <f t="shared" ca="1" si="45"/>
        <v>#N/A</v>
      </c>
      <c r="W233" s="60" t="e">
        <f t="shared" ca="1" si="46"/>
        <v>#N/A</v>
      </c>
      <c r="X233" s="60" t="e">
        <f t="shared" ca="1" si="50"/>
        <v>#N/A</v>
      </c>
      <c r="Y233" s="60" t="e">
        <f t="shared" ca="1" si="47"/>
        <v>#N/A</v>
      </c>
      <c r="Z233" s="60" t="e">
        <f t="shared" ca="1" si="48"/>
        <v>#N/A</v>
      </c>
      <c r="AA233" s="92" t="str">
        <f ca="1"/>
        <v/>
      </c>
      <c r="AB233" s="62" t="str">
        <f t="shared" ca="1" si="51"/>
        <v/>
      </c>
      <c r="AC233" s="62" t="e">
        <f t="shared" ca="1" si="52"/>
        <v>#N/A</v>
      </c>
      <c r="AD233" s="62" t="e">
        <f t="shared" ca="1" si="53"/>
        <v>#N/A</v>
      </c>
      <c r="AE233" s="62" t="e">
        <f t="shared" ca="1" si="54"/>
        <v>#N/A</v>
      </c>
    </row>
    <row r="234" spans="18:31" x14ac:dyDescent="0.25">
      <c r="R234" s="92" t="str">
        <f ca="1"/>
        <v/>
      </c>
      <c r="S234" s="62" t="str">
        <f t="shared" ca="1" si="49"/>
        <v/>
      </c>
      <c r="T234" s="62" t="e">
        <f t="shared" ca="1" si="43"/>
        <v>#N/A</v>
      </c>
      <c r="U234" s="62" t="e">
        <f t="shared" ca="1" si="44"/>
        <v>#N/A</v>
      </c>
      <c r="V234" s="62" t="e">
        <f t="shared" ca="1" si="45"/>
        <v>#N/A</v>
      </c>
      <c r="W234" s="60" t="e">
        <f t="shared" ca="1" si="46"/>
        <v>#N/A</v>
      </c>
      <c r="X234" s="60" t="e">
        <f t="shared" ca="1" si="50"/>
        <v>#N/A</v>
      </c>
      <c r="Y234" s="60" t="e">
        <f t="shared" ca="1" si="47"/>
        <v>#N/A</v>
      </c>
      <c r="Z234" s="60" t="e">
        <f t="shared" ca="1" si="48"/>
        <v>#N/A</v>
      </c>
      <c r="AA234" s="92" t="str">
        <f ca="1"/>
        <v/>
      </c>
      <c r="AB234" s="62" t="str">
        <f t="shared" ca="1" si="51"/>
        <v/>
      </c>
      <c r="AC234" s="62" t="e">
        <f t="shared" ca="1" si="52"/>
        <v>#N/A</v>
      </c>
      <c r="AD234" s="62" t="e">
        <f t="shared" ca="1" si="53"/>
        <v>#N/A</v>
      </c>
      <c r="AE234" s="62" t="e">
        <f t="shared" ca="1" si="54"/>
        <v>#N/A</v>
      </c>
    </row>
    <row r="235" spans="18:31" x14ac:dyDescent="0.25">
      <c r="R235" s="92" t="str">
        <f ca="1"/>
        <v/>
      </c>
      <c r="S235" s="62" t="str">
        <f t="shared" ca="1" si="49"/>
        <v/>
      </c>
      <c r="T235" s="62" t="e">
        <f t="shared" ca="1" si="43"/>
        <v>#N/A</v>
      </c>
      <c r="U235" s="62" t="e">
        <f t="shared" ca="1" si="44"/>
        <v>#N/A</v>
      </c>
      <c r="V235" s="62" t="e">
        <f t="shared" ca="1" si="45"/>
        <v>#N/A</v>
      </c>
      <c r="W235" s="60" t="e">
        <f t="shared" ca="1" si="46"/>
        <v>#N/A</v>
      </c>
      <c r="X235" s="60" t="e">
        <f t="shared" ca="1" si="50"/>
        <v>#N/A</v>
      </c>
      <c r="Y235" s="60" t="e">
        <f t="shared" ca="1" si="47"/>
        <v>#N/A</v>
      </c>
      <c r="Z235" s="60" t="e">
        <f t="shared" ca="1" si="48"/>
        <v>#N/A</v>
      </c>
      <c r="AA235" s="92" t="str">
        <f ca="1"/>
        <v/>
      </c>
      <c r="AB235" s="62" t="str">
        <f t="shared" ca="1" si="51"/>
        <v/>
      </c>
      <c r="AC235" s="62" t="e">
        <f t="shared" ca="1" si="52"/>
        <v>#N/A</v>
      </c>
      <c r="AD235" s="62" t="e">
        <f t="shared" ca="1" si="53"/>
        <v>#N/A</v>
      </c>
      <c r="AE235" s="62" t="e">
        <f t="shared" ca="1" si="54"/>
        <v>#N/A</v>
      </c>
    </row>
    <row r="236" spans="18:31" x14ac:dyDescent="0.25">
      <c r="R236" s="92" t="str">
        <f ca="1"/>
        <v/>
      </c>
      <c r="S236" s="62" t="str">
        <f t="shared" ca="1" si="49"/>
        <v/>
      </c>
      <c r="T236" s="62" t="e">
        <f t="shared" ca="1" si="43"/>
        <v>#N/A</v>
      </c>
      <c r="U236" s="62" t="e">
        <f t="shared" ca="1" si="44"/>
        <v>#N/A</v>
      </c>
      <c r="V236" s="62" t="e">
        <f t="shared" ca="1" si="45"/>
        <v>#N/A</v>
      </c>
      <c r="W236" s="60" t="e">
        <f t="shared" ca="1" si="46"/>
        <v>#N/A</v>
      </c>
      <c r="X236" s="60" t="e">
        <f t="shared" ca="1" si="50"/>
        <v>#N/A</v>
      </c>
      <c r="Y236" s="60" t="e">
        <f t="shared" ca="1" si="47"/>
        <v>#N/A</v>
      </c>
      <c r="Z236" s="60" t="e">
        <f t="shared" ca="1" si="48"/>
        <v>#N/A</v>
      </c>
      <c r="AA236" s="92" t="str">
        <f ca="1"/>
        <v/>
      </c>
      <c r="AB236" s="62" t="str">
        <f t="shared" ca="1" si="51"/>
        <v/>
      </c>
      <c r="AC236" s="62" t="e">
        <f t="shared" ca="1" si="52"/>
        <v>#N/A</v>
      </c>
      <c r="AD236" s="62" t="e">
        <f t="shared" ca="1" si="53"/>
        <v>#N/A</v>
      </c>
      <c r="AE236" s="62" t="e">
        <f t="shared" ca="1" si="54"/>
        <v>#N/A</v>
      </c>
    </row>
    <row r="237" spans="18:31" x14ac:dyDescent="0.25">
      <c r="R237" s="92" t="str">
        <f ca="1"/>
        <v/>
      </c>
      <c r="S237" s="62" t="str">
        <f t="shared" ca="1" si="49"/>
        <v/>
      </c>
      <c r="T237" s="62" t="e">
        <f t="shared" ca="1" si="43"/>
        <v>#N/A</v>
      </c>
      <c r="U237" s="62" t="e">
        <f t="shared" ca="1" si="44"/>
        <v>#N/A</v>
      </c>
      <c r="V237" s="62" t="e">
        <f t="shared" ca="1" si="45"/>
        <v>#N/A</v>
      </c>
      <c r="W237" s="60" t="e">
        <f t="shared" ca="1" si="46"/>
        <v>#N/A</v>
      </c>
      <c r="X237" s="60" t="e">
        <f t="shared" ca="1" si="50"/>
        <v>#N/A</v>
      </c>
      <c r="Y237" s="60" t="e">
        <f t="shared" ca="1" si="47"/>
        <v>#N/A</v>
      </c>
      <c r="Z237" s="60" t="e">
        <f t="shared" ca="1" si="48"/>
        <v>#N/A</v>
      </c>
      <c r="AA237" s="92" t="str">
        <f ca="1"/>
        <v/>
      </c>
      <c r="AB237" s="62" t="str">
        <f t="shared" ca="1" si="51"/>
        <v/>
      </c>
      <c r="AC237" s="62" t="e">
        <f t="shared" ca="1" si="52"/>
        <v>#N/A</v>
      </c>
      <c r="AD237" s="62" t="e">
        <f t="shared" ca="1" si="53"/>
        <v>#N/A</v>
      </c>
      <c r="AE237" s="62" t="e">
        <f t="shared" ca="1" si="54"/>
        <v>#N/A</v>
      </c>
    </row>
    <row r="238" spans="18:31" x14ac:dyDescent="0.25">
      <c r="R238" s="92" t="str">
        <f ca="1"/>
        <v/>
      </c>
      <c r="S238" s="62" t="str">
        <f t="shared" ca="1" si="49"/>
        <v/>
      </c>
      <c r="T238" s="62" t="e">
        <f t="shared" ca="1" si="43"/>
        <v>#N/A</v>
      </c>
      <c r="U238" s="62" t="e">
        <f t="shared" ca="1" si="44"/>
        <v>#N/A</v>
      </c>
      <c r="V238" s="62" t="e">
        <f t="shared" ca="1" si="45"/>
        <v>#N/A</v>
      </c>
      <c r="W238" s="60" t="e">
        <f t="shared" ca="1" si="46"/>
        <v>#N/A</v>
      </c>
      <c r="X238" s="60" t="e">
        <f t="shared" ca="1" si="50"/>
        <v>#N/A</v>
      </c>
      <c r="Y238" s="60" t="e">
        <f t="shared" ca="1" si="47"/>
        <v>#N/A</v>
      </c>
      <c r="Z238" s="60" t="e">
        <f t="shared" ca="1" si="48"/>
        <v>#N/A</v>
      </c>
      <c r="AA238" s="92" t="str">
        <f ca="1"/>
        <v/>
      </c>
      <c r="AB238" s="62" t="str">
        <f t="shared" ca="1" si="51"/>
        <v/>
      </c>
      <c r="AC238" s="62" t="e">
        <f t="shared" ca="1" si="52"/>
        <v>#N/A</v>
      </c>
      <c r="AD238" s="62" t="e">
        <f t="shared" ca="1" si="53"/>
        <v>#N/A</v>
      </c>
      <c r="AE238" s="62" t="e">
        <f t="shared" ca="1" si="54"/>
        <v>#N/A</v>
      </c>
    </row>
    <row r="239" spans="18:31" x14ac:dyDescent="0.25">
      <c r="R239" s="92" t="str">
        <f ca="1"/>
        <v/>
      </c>
      <c r="S239" s="62" t="str">
        <f t="shared" ca="1" si="49"/>
        <v/>
      </c>
      <c r="T239" s="62" t="e">
        <f t="shared" ca="1" si="43"/>
        <v>#N/A</v>
      </c>
      <c r="U239" s="62" t="e">
        <f t="shared" ca="1" si="44"/>
        <v>#N/A</v>
      </c>
      <c r="V239" s="62" t="e">
        <f t="shared" ca="1" si="45"/>
        <v>#N/A</v>
      </c>
      <c r="W239" s="60" t="e">
        <f t="shared" ca="1" si="46"/>
        <v>#N/A</v>
      </c>
      <c r="X239" s="60" t="e">
        <f t="shared" ca="1" si="50"/>
        <v>#N/A</v>
      </c>
      <c r="Y239" s="60" t="e">
        <f t="shared" ca="1" si="47"/>
        <v>#N/A</v>
      </c>
      <c r="Z239" s="60" t="e">
        <f t="shared" ca="1" si="48"/>
        <v>#N/A</v>
      </c>
      <c r="AA239" s="92" t="str">
        <f ca="1"/>
        <v/>
      </c>
      <c r="AB239" s="62" t="str">
        <f t="shared" ca="1" si="51"/>
        <v/>
      </c>
      <c r="AC239" s="62" t="e">
        <f t="shared" ca="1" si="52"/>
        <v>#N/A</v>
      </c>
      <c r="AD239" s="62" t="e">
        <f t="shared" ca="1" si="53"/>
        <v>#N/A</v>
      </c>
      <c r="AE239" s="62" t="e">
        <f t="shared" ca="1" si="54"/>
        <v>#N/A</v>
      </c>
    </row>
    <row r="240" spans="18:31" x14ac:dyDescent="0.25">
      <c r="R240" s="92" t="str">
        <f ca="1"/>
        <v/>
      </c>
      <c r="S240" s="62" t="str">
        <f t="shared" ca="1" si="49"/>
        <v/>
      </c>
      <c r="T240" s="62" t="e">
        <f t="shared" ca="1" si="43"/>
        <v>#N/A</v>
      </c>
      <c r="U240" s="62" t="e">
        <f t="shared" ca="1" si="44"/>
        <v>#N/A</v>
      </c>
      <c r="V240" s="62" t="e">
        <f t="shared" ca="1" si="45"/>
        <v>#N/A</v>
      </c>
      <c r="W240" s="60" t="e">
        <f t="shared" ca="1" si="46"/>
        <v>#N/A</v>
      </c>
      <c r="X240" s="60" t="e">
        <f t="shared" ca="1" si="50"/>
        <v>#N/A</v>
      </c>
      <c r="Y240" s="60" t="e">
        <f t="shared" ca="1" si="47"/>
        <v>#N/A</v>
      </c>
      <c r="Z240" s="60" t="e">
        <f t="shared" ca="1" si="48"/>
        <v>#N/A</v>
      </c>
      <c r="AA240" s="92" t="str">
        <f ca="1"/>
        <v/>
      </c>
      <c r="AB240" s="62" t="str">
        <f t="shared" ca="1" si="51"/>
        <v/>
      </c>
      <c r="AC240" s="62" t="e">
        <f t="shared" ca="1" si="52"/>
        <v>#N/A</v>
      </c>
      <c r="AD240" s="62" t="e">
        <f t="shared" ca="1" si="53"/>
        <v>#N/A</v>
      </c>
      <c r="AE240" s="62" t="e">
        <f t="shared" ca="1" si="54"/>
        <v>#N/A</v>
      </c>
    </row>
    <row r="241" spans="18:31" x14ac:dyDescent="0.25">
      <c r="R241" s="92" t="str">
        <f ca="1"/>
        <v/>
      </c>
      <c r="S241" s="62" t="str">
        <f t="shared" ca="1" si="49"/>
        <v/>
      </c>
      <c r="T241" s="62" t="e">
        <f t="shared" ca="1" si="43"/>
        <v>#N/A</v>
      </c>
      <c r="U241" s="62" t="e">
        <f t="shared" ca="1" si="44"/>
        <v>#N/A</v>
      </c>
      <c r="V241" s="62" t="e">
        <f t="shared" ca="1" si="45"/>
        <v>#N/A</v>
      </c>
      <c r="W241" s="60" t="e">
        <f t="shared" ca="1" si="46"/>
        <v>#N/A</v>
      </c>
      <c r="X241" s="60" t="e">
        <f t="shared" ca="1" si="50"/>
        <v>#N/A</v>
      </c>
      <c r="Y241" s="60" t="e">
        <f t="shared" ca="1" si="47"/>
        <v>#N/A</v>
      </c>
      <c r="Z241" s="60" t="e">
        <f t="shared" ca="1" si="48"/>
        <v>#N/A</v>
      </c>
      <c r="AA241" s="92" t="str">
        <f ca="1"/>
        <v/>
      </c>
      <c r="AB241" s="62" t="str">
        <f t="shared" ca="1" si="51"/>
        <v/>
      </c>
      <c r="AC241" s="62" t="e">
        <f t="shared" ca="1" si="52"/>
        <v>#N/A</v>
      </c>
      <c r="AD241" s="62" t="e">
        <f t="shared" ca="1" si="53"/>
        <v>#N/A</v>
      </c>
      <c r="AE241" s="62" t="e">
        <f t="shared" ca="1" si="54"/>
        <v>#N/A</v>
      </c>
    </row>
    <row r="242" spans="18:31" x14ac:dyDescent="0.25">
      <c r="R242" s="92" t="str">
        <f ca="1"/>
        <v/>
      </c>
      <c r="S242" s="62" t="str">
        <f t="shared" ca="1" si="49"/>
        <v/>
      </c>
      <c r="T242" s="62" t="e">
        <f t="shared" ca="1" si="43"/>
        <v>#N/A</v>
      </c>
      <c r="U242" s="62" t="e">
        <f t="shared" ca="1" si="44"/>
        <v>#N/A</v>
      </c>
      <c r="V242" s="62" t="e">
        <f t="shared" ca="1" si="45"/>
        <v>#N/A</v>
      </c>
      <c r="W242" s="60" t="e">
        <f t="shared" ca="1" si="46"/>
        <v>#N/A</v>
      </c>
      <c r="X242" s="60" t="e">
        <f t="shared" ca="1" si="50"/>
        <v>#N/A</v>
      </c>
      <c r="Y242" s="60" t="e">
        <f t="shared" ca="1" si="47"/>
        <v>#N/A</v>
      </c>
      <c r="Z242" s="60" t="e">
        <f t="shared" ca="1" si="48"/>
        <v>#N/A</v>
      </c>
      <c r="AA242" s="92" t="str">
        <f ca="1"/>
        <v/>
      </c>
      <c r="AB242" s="62" t="str">
        <f t="shared" ca="1" si="51"/>
        <v/>
      </c>
      <c r="AC242" s="62" t="e">
        <f t="shared" ca="1" si="52"/>
        <v>#N/A</v>
      </c>
      <c r="AD242" s="62" t="e">
        <f t="shared" ca="1" si="53"/>
        <v>#N/A</v>
      </c>
      <c r="AE242" s="62" t="e">
        <f t="shared" ca="1" si="54"/>
        <v>#N/A</v>
      </c>
    </row>
    <row r="243" spans="18:31" x14ac:dyDescent="0.25">
      <c r="R243" s="92" t="str">
        <f ca="1"/>
        <v/>
      </c>
      <c r="S243" s="62" t="str">
        <f t="shared" ca="1" si="49"/>
        <v/>
      </c>
      <c r="T243" s="62" t="e">
        <f t="shared" ca="1" si="43"/>
        <v>#N/A</v>
      </c>
      <c r="U243" s="62" t="e">
        <f t="shared" ca="1" si="44"/>
        <v>#N/A</v>
      </c>
      <c r="V243" s="62" t="e">
        <f t="shared" ca="1" si="45"/>
        <v>#N/A</v>
      </c>
      <c r="W243" s="60" t="e">
        <f t="shared" ca="1" si="46"/>
        <v>#N/A</v>
      </c>
      <c r="X243" s="60" t="e">
        <f t="shared" ca="1" si="50"/>
        <v>#N/A</v>
      </c>
      <c r="Y243" s="60" t="e">
        <f t="shared" ca="1" si="47"/>
        <v>#N/A</v>
      </c>
      <c r="Z243" s="60" t="e">
        <f t="shared" ca="1" si="48"/>
        <v>#N/A</v>
      </c>
      <c r="AA243" s="92" t="str">
        <f ca="1"/>
        <v/>
      </c>
      <c r="AB243" s="62" t="str">
        <f t="shared" ca="1" si="51"/>
        <v/>
      </c>
      <c r="AC243" s="62" t="e">
        <f t="shared" ca="1" si="52"/>
        <v>#N/A</v>
      </c>
      <c r="AD243" s="62" t="e">
        <f t="shared" ca="1" si="53"/>
        <v>#N/A</v>
      </c>
      <c r="AE243" s="62" t="e">
        <f t="shared" ca="1" si="54"/>
        <v>#N/A</v>
      </c>
    </row>
    <row r="244" spans="18:31" x14ac:dyDescent="0.25">
      <c r="R244" s="92" t="str">
        <f ca="1"/>
        <v/>
      </c>
      <c r="S244" s="62" t="str">
        <f t="shared" ca="1" si="49"/>
        <v/>
      </c>
      <c r="T244" s="62" t="e">
        <f t="shared" ca="1" si="43"/>
        <v>#N/A</v>
      </c>
      <c r="U244" s="62" t="e">
        <f t="shared" ca="1" si="44"/>
        <v>#N/A</v>
      </c>
      <c r="V244" s="62" t="e">
        <f t="shared" ca="1" si="45"/>
        <v>#N/A</v>
      </c>
      <c r="W244" s="60" t="e">
        <f t="shared" ca="1" si="46"/>
        <v>#N/A</v>
      </c>
      <c r="X244" s="60" t="e">
        <f t="shared" ca="1" si="50"/>
        <v>#N/A</v>
      </c>
      <c r="Y244" s="60" t="e">
        <f t="shared" ca="1" si="47"/>
        <v>#N/A</v>
      </c>
      <c r="Z244" s="60" t="e">
        <f t="shared" ca="1" si="48"/>
        <v>#N/A</v>
      </c>
      <c r="AA244" s="92" t="str">
        <f ca="1"/>
        <v/>
      </c>
      <c r="AB244" s="62" t="str">
        <f t="shared" ca="1" si="51"/>
        <v/>
      </c>
      <c r="AC244" s="62" t="e">
        <f t="shared" ca="1" si="52"/>
        <v>#N/A</v>
      </c>
      <c r="AD244" s="62" t="e">
        <f t="shared" ca="1" si="53"/>
        <v>#N/A</v>
      </c>
      <c r="AE244" s="62" t="e">
        <f t="shared" ca="1" si="54"/>
        <v>#N/A</v>
      </c>
    </row>
    <row r="245" spans="18:31" x14ac:dyDescent="0.25">
      <c r="R245" s="92" t="str">
        <f ca="1"/>
        <v/>
      </c>
      <c r="S245" s="62" t="str">
        <f t="shared" ca="1" si="49"/>
        <v/>
      </c>
      <c r="T245" s="62" t="e">
        <f t="shared" ca="1" si="43"/>
        <v>#N/A</v>
      </c>
      <c r="U245" s="62" t="e">
        <f t="shared" ca="1" si="44"/>
        <v>#N/A</v>
      </c>
      <c r="V245" s="62" t="e">
        <f t="shared" ca="1" si="45"/>
        <v>#N/A</v>
      </c>
      <c r="W245" s="60" t="e">
        <f t="shared" ca="1" si="46"/>
        <v>#N/A</v>
      </c>
      <c r="X245" s="60" t="e">
        <f t="shared" ca="1" si="50"/>
        <v>#N/A</v>
      </c>
      <c r="Y245" s="60" t="e">
        <f t="shared" ca="1" si="47"/>
        <v>#N/A</v>
      </c>
      <c r="Z245" s="60" t="e">
        <f t="shared" ca="1" si="48"/>
        <v>#N/A</v>
      </c>
      <c r="AA245" s="92" t="str">
        <f ca="1"/>
        <v/>
      </c>
      <c r="AB245" s="62" t="str">
        <f t="shared" ca="1" si="51"/>
        <v/>
      </c>
      <c r="AC245" s="62" t="e">
        <f t="shared" ca="1" si="52"/>
        <v>#N/A</v>
      </c>
      <c r="AD245" s="62" t="e">
        <f t="shared" ca="1" si="53"/>
        <v>#N/A</v>
      </c>
      <c r="AE245" s="62" t="e">
        <f t="shared" ca="1" si="54"/>
        <v>#N/A</v>
      </c>
    </row>
    <row r="246" spans="18:31" x14ac:dyDescent="0.25">
      <c r="R246" s="92" t="str">
        <f ca="1"/>
        <v/>
      </c>
      <c r="S246" s="62" t="str">
        <f t="shared" ca="1" si="49"/>
        <v/>
      </c>
      <c r="T246" s="62" t="e">
        <f t="shared" ca="1" si="43"/>
        <v>#N/A</v>
      </c>
      <c r="U246" s="62" t="e">
        <f t="shared" ca="1" si="44"/>
        <v>#N/A</v>
      </c>
      <c r="V246" s="62" t="e">
        <f t="shared" ca="1" si="45"/>
        <v>#N/A</v>
      </c>
      <c r="W246" s="60" t="e">
        <f t="shared" ca="1" si="46"/>
        <v>#N/A</v>
      </c>
      <c r="X246" s="60" t="e">
        <f t="shared" ca="1" si="50"/>
        <v>#N/A</v>
      </c>
      <c r="Y246" s="60" t="e">
        <f t="shared" ca="1" si="47"/>
        <v>#N/A</v>
      </c>
      <c r="Z246" s="60" t="e">
        <f t="shared" ca="1" si="48"/>
        <v>#N/A</v>
      </c>
      <c r="AA246" s="92" t="str">
        <f ca="1"/>
        <v/>
      </c>
      <c r="AB246" s="62" t="str">
        <f t="shared" ca="1" si="51"/>
        <v/>
      </c>
      <c r="AC246" s="62" t="e">
        <f t="shared" ca="1" si="52"/>
        <v>#N/A</v>
      </c>
      <c r="AD246" s="62" t="e">
        <f t="shared" ca="1" si="53"/>
        <v>#N/A</v>
      </c>
      <c r="AE246" s="62" t="e">
        <f t="shared" ca="1" si="54"/>
        <v>#N/A</v>
      </c>
    </row>
    <row r="247" spans="18:31" x14ac:dyDescent="0.25">
      <c r="R247" s="92" t="str">
        <f ca="1"/>
        <v/>
      </c>
      <c r="S247" s="62" t="str">
        <f t="shared" ca="1" si="49"/>
        <v/>
      </c>
      <c r="T247" s="62" t="e">
        <f t="shared" ca="1" si="43"/>
        <v>#N/A</v>
      </c>
      <c r="U247" s="62" t="e">
        <f t="shared" ca="1" si="44"/>
        <v>#N/A</v>
      </c>
      <c r="V247" s="62" t="e">
        <f t="shared" ca="1" si="45"/>
        <v>#N/A</v>
      </c>
      <c r="W247" s="60" t="e">
        <f t="shared" ca="1" si="46"/>
        <v>#N/A</v>
      </c>
      <c r="X247" s="60" t="e">
        <f t="shared" ca="1" si="50"/>
        <v>#N/A</v>
      </c>
      <c r="Y247" s="60" t="e">
        <f t="shared" ca="1" si="47"/>
        <v>#N/A</v>
      </c>
      <c r="Z247" s="60" t="e">
        <f t="shared" ca="1" si="48"/>
        <v>#N/A</v>
      </c>
      <c r="AA247" s="92" t="str">
        <f ca="1"/>
        <v/>
      </c>
      <c r="AB247" s="62" t="str">
        <f t="shared" ca="1" si="51"/>
        <v/>
      </c>
      <c r="AC247" s="62" t="e">
        <f t="shared" ca="1" si="52"/>
        <v>#N/A</v>
      </c>
      <c r="AD247" s="62" t="e">
        <f t="shared" ca="1" si="53"/>
        <v>#N/A</v>
      </c>
      <c r="AE247" s="62" t="e">
        <f t="shared" ca="1" si="54"/>
        <v>#N/A</v>
      </c>
    </row>
    <row r="248" spans="18:31" x14ac:dyDescent="0.25">
      <c r="R248" s="92" t="str">
        <f ca="1"/>
        <v/>
      </c>
      <c r="S248" s="62" t="str">
        <f t="shared" ca="1" si="49"/>
        <v/>
      </c>
      <c r="T248" s="62" t="e">
        <f t="shared" ca="1" si="43"/>
        <v>#N/A</v>
      </c>
      <c r="U248" s="62" t="e">
        <f t="shared" ca="1" si="44"/>
        <v>#N/A</v>
      </c>
      <c r="V248" s="62" t="e">
        <f t="shared" ca="1" si="45"/>
        <v>#N/A</v>
      </c>
      <c r="W248" s="60" t="e">
        <f t="shared" ca="1" si="46"/>
        <v>#N/A</v>
      </c>
      <c r="X248" s="60" t="e">
        <f t="shared" ca="1" si="50"/>
        <v>#N/A</v>
      </c>
      <c r="Y248" s="60" t="e">
        <f t="shared" ca="1" si="47"/>
        <v>#N/A</v>
      </c>
      <c r="Z248" s="60" t="e">
        <f t="shared" ca="1" si="48"/>
        <v>#N/A</v>
      </c>
      <c r="AA248" s="92" t="str">
        <f ca="1"/>
        <v/>
      </c>
      <c r="AB248" s="62" t="str">
        <f t="shared" ca="1" si="51"/>
        <v/>
      </c>
      <c r="AC248" s="62" t="e">
        <f t="shared" ca="1" si="52"/>
        <v>#N/A</v>
      </c>
      <c r="AD248" s="62" t="e">
        <f t="shared" ca="1" si="53"/>
        <v>#N/A</v>
      </c>
      <c r="AE248" s="62" t="e">
        <f t="shared" ca="1" si="54"/>
        <v>#N/A</v>
      </c>
    </row>
    <row r="249" spans="18:31" x14ac:dyDescent="0.25">
      <c r="R249" s="92" t="str">
        <f ca="1"/>
        <v/>
      </c>
      <c r="S249" s="62" t="str">
        <f t="shared" ca="1" si="49"/>
        <v/>
      </c>
      <c r="T249" s="62" t="e">
        <f t="shared" ca="1" si="43"/>
        <v>#N/A</v>
      </c>
      <c r="U249" s="62" t="e">
        <f t="shared" ca="1" si="44"/>
        <v>#N/A</v>
      </c>
      <c r="V249" s="62" t="e">
        <f t="shared" ca="1" si="45"/>
        <v>#N/A</v>
      </c>
      <c r="W249" s="60" t="e">
        <f t="shared" ca="1" si="46"/>
        <v>#N/A</v>
      </c>
      <c r="X249" s="60" t="e">
        <f t="shared" ca="1" si="50"/>
        <v>#N/A</v>
      </c>
      <c r="Y249" s="60" t="e">
        <f t="shared" ca="1" si="47"/>
        <v>#N/A</v>
      </c>
      <c r="Z249" s="60" t="e">
        <f t="shared" ca="1" si="48"/>
        <v>#N/A</v>
      </c>
      <c r="AA249" s="92" t="str">
        <f ca="1"/>
        <v/>
      </c>
      <c r="AB249" s="62" t="str">
        <f t="shared" ca="1" si="51"/>
        <v/>
      </c>
      <c r="AC249" s="62" t="e">
        <f t="shared" ca="1" si="52"/>
        <v>#N/A</v>
      </c>
      <c r="AD249" s="62" t="e">
        <f t="shared" ca="1" si="53"/>
        <v>#N/A</v>
      </c>
      <c r="AE249" s="62" t="e">
        <f t="shared" ca="1" si="54"/>
        <v>#N/A</v>
      </c>
    </row>
    <row r="250" spans="18:31" x14ac:dyDescent="0.25">
      <c r="R250" s="92" t="str">
        <f ca="1"/>
        <v/>
      </c>
      <c r="S250" s="62" t="str">
        <f t="shared" ca="1" si="49"/>
        <v/>
      </c>
      <c r="T250" s="62" t="e">
        <f t="shared" ca="1" si="43"/>
        <v>#N/A</v>
      </c>
      <c r="U250" s="62" t="e">
        <f t="shared" ca="1" si="44"/>
        <v>#N/A</v>
      </c>
      <c r="V250" s="62" t="e">
        <f t="shared" ca="1" si="45"/>
        <v>#N/A</v>
      </c>
      <c r="W250" s="60" t="e">
        <f t="shared" ca="1" si="46"/>
        <v>#N/A</v>
      </c>
      <c r="X250" s="60" t="e">
        <f t="shared" ca="1" si="50"/>
        <v>#N/A</v>
      </c>
      <c r="Y250" s="60" t="e">
        <f t="shared" ca="1" si="47"/>
        <v>#N/A</v>
      </c>
      <c r="Z250" s="60" t="e">
        <f t="shared" ca="1" si="48"/>
        <v>#N/A</v>
      </c>
      <c r="AA250" s="92" t="str">
        <f ca="1"/>
        <v/>
      </c>
      <c r="AB250" s="62" t="str">
        <f t="shared" ca="1" si="51"/>
        <v/>
      </c>
      <c r="AC250" s="62" t="e">
        <f t="shared" ca="1" si="52"/>
        <v>#N/A</v>
      </c>
      <c r="AD250" s="62" t="e">
        <f t="shared" ca="1" si="53"/>
        <v>#N/A</v>
      </c>
      <c r="AE250" s="62" t="e">
        <f t="shared" ca="1" si="54"/>
        <v>#N/A</v>
      </c>
    </row>
    <row r="251" spans="18:31" x14ac:dyDescent="0.25">
      <c r="R251" s="92" t="str">
        <f ca="1"/>
        <v/>
      </c>
      <c r="S251" s="62" t="str">
        <f t="shared" ca="1" si="49"/>
        <v/>
      </c>
      <c r="T251" s="62" t="e">
        <f t="shared" ca="1" si="43"/>
        <v>#N/A</v>
      </c>
      <c r="U251" s="62" t="e">
        <f t="shared" ca="1" si="44"/>
        <v>#N/A</v>
      </c>
      <c r="V251" s="62" t="e">
        <f t="shared" ca="1" si="45"/>
        <v>#N/A</v>
      </c>
      <c r="W251" s="60" t="e">
        <f t="shared" ca="1" si="46"/>
        <v>#N/A</v>
      </c>
      <c r="X251" s="60" t="e">
        <f t="shared" ca="1" si="50"/>
        <v>#N/A</v>
      </c>
      <c r="Y251" s="60" t="e">
        <f t="shared" ca="1" si="47"/>
        <v>#N/A</v>
      </c>
      <c r="Z251" s="60" t="e">
        <f t="shared" ca="1" si="48"/>
        <v>#N/A</v>
      </c>
      <c r="AA251" s="92" t="str">
        <f ca="1"/>
        <v/>
      </c>
      <c r="AB251" s="62" t="str">
        <f t="shared" ca="1" si="51"/>
        <v/>
      </c>
      <c r="AC251" s="62" t="e">
        <f t="shared" ca="1" si="52"/>
        <v>#N/A</v>
      </c>
      <c r="AD251" s="62" t="e">
        <f t="shared" ca="1" si="53"/>
        <v>#N/A</v>
      </c>
      <c r="AE251" s="62" t="e">
        <f t="shared" ca="1" si="54"/>
        <v>#N/A</v>
      </c>
    </row>
    <row r="252" spans="18:31" x14ac:dyDescent="0.25">
      <c r="R252" s="92" t="str">
        <f ca="1"/>
        <v/>
      </c>
      <c r="S252" s="62" t="str">
        <f t="shared" ca="1" si="49"/>
        <v/>
      </c>
      <c r="T252" s="62" t="e">
        <f t="shared" ca="1" si="43"/>
        <v>#N/A</v>
      </c>
      <c r="U252" s="62" t="e">
        <f t="shared" ca="1" si="44"/>
        <v>#N/A</v>
      </c>
      <c r="V252" s="62" t="e">
        <f t="shared" ca="1" si="45"/>
        <v>#N/A</v>
      </c>
      <c r="W252" s="60" t="e">
        <f t="shared" ca="1" si="46"/>
        <v>#N/A</v>
      </c>
      <c r="X252" s="60" t="e">
        <f t="shared" ca="1" si="50"/>
        <v>#N/A</v>
      </c>
      <c r="Y252" s="60" t="e">
        <f t="shared" ca="1" si="47"/>
        <v>#N/A</v>
      </c>
      <c r="Z252" s="60" t="e">
        <f t="shared" ca="1" si="48"/>
        <v>#N/A</v>
      </c>
      <c r="AA252" s="92" t="str">
        <f ca="1"/>
        <v/>
      </c>
      <c r="AB252" s="62" t="str">
        <f t="shared" ca="1" si="51"/>
        <v/>
      </c>
      <c r="AC252" s="62" t="e">
        <f t="shared" ca="1" si="52"/>
        <v>#N/A</v>
      </c>
      <c r="AD252" s="62" t="e">
        <f t="shared" ca="1" si="53"/>
        <v>#N/A</v>
      </c>
      <c r="AE252" s="62" t="e">
        <f t="shared" ca="1" si="54"/>
        <v>#N/A</v>
      </c>
    </row>
    <row r="253" spans="18:31" x14ac:dyDescent="0.25">
      <c r="R253" s="92" t="str">
        <f ca="1"/>
        <v/>
      </c>
      <c r="S253" s="62" t="str">
        <f t="shared" ca="1" si="49"/>
        <v/>
      </c>
      <c r="T253" s="62" t="e">
        <f t="shared" ca="1" si="43"/>
        <v>#N/A</v>
      </c>
      <c r="U253" s="62" t="e">
        <f t="shared" ca="1" si="44"/>
        <v>#N/A</v>
      </c>
      <c r="V253" s="62" t="e">
        <f t="shared" ca="1" si="45"/>
        <v>#N/A</v>
      </c>
      <c r="W253" s="60" t="e">
        <f t="shared" ca="1" si="46"/>
        <v>#N/A</v>
      </c>
      <c r="X253" s="60" t="e">
        <f t="shared" ca="1" si="50"/>
        <v>#N/A</v>
      </c>
      <c r="Y253" s="60" t="e">
        <f t="shared" ca="1" si="47"/>
        <v>#N/A</v>
      </c>
      <c r="Z253" s="60" t="e">
        <f t="shared" ca="1" si="48"/>
        <v>#N/A</v>
      </c>
      <c r="AA253" s="92" t="str">
        <f ca="1"/>
        <v/>
      </c>
      <c r="AB253" s="62" t="str">
        <f t="shared" ca="1" si="51"/>
        <v/>
      </c>
      <c r="AC253" s="62" t="e">
        <f t="shared" ca="1" si="52"/>
        <v>#N/A</v>
      </c>
      <c r="AD253" s="62" t="e">
        <f t="shared" ca="1" si="53"/>
        <v>#N/A</v>
      </c>
      <c r="AE253" s="62" t="e">
        <f t="shared" ca="1" si="54"/>
        <v>#N/A</v>
      </c>
    </row>
    <row r="254" spans="18:31" x14ac:dyDescent="0.25">
      <c r="R254" s="92" t="str">
        <f ca="1"/>
        <v/>
      </c>
      <c r="S254" s="62" t="str">
        <f t="shared" ca="1" si="49"/>
        <v/>
      </c>
      <c r="T254" s="62" t="e">
        <f t="shared" ca="1" si="43"/>
        <v>#N/A</v>
      </c>
      <c r="U254" s="62" t="e">
        <f t="shared" ca="1" si="44"/>
        <v>#N/A</v>
      </c>
      <c r="V254" s="62" t="e">
        <f t="shared" ca="1" si="45"/>
        <v>#N/A</v>
      </c>
      <c r="W254" s="60" t="e">
        <f t="shared" ca="1" si="46"/>
        <v>#N/A</v>
      </c>
      <c r="X254" s="60" t="e">
        <f t="shared" ca="1" si="50"/>
        <v>#N/A</v>
      </c>
      <c r="Y254" s="60" t="e">
        <f t="shared" ca="1" si="47"/>
        <v>#N/A</v>
      </c>
      <c r="Z254" s="60" t="e">
        <f t="shared" ca="1" si="48"/>
        <v>#N/A</v>
      </c>
      <c r="AA254" s="92" t="str">
        <f ca="1"/>
        <v/>
      </c>
      <c r="AB254" s="62" t="str">
        <f t="shared" ca="1" si="51"/>
        <v/>
      </c>
      <c r="AC254" s="62" t="e">
        <f t="shared" ca="1" si="52"/>
        <v>#N/A</v>
      </c>
      <c r="AD254" s="62" t="e">
        <f t="shared" ca="1" si="53"/>
        <v>#N/A</v>
      </c>
      <c r="AE254" s="62" t="e">
        <f t="shared" ca="1" si="54"/>
        <v>#N/A</v>
      </c>
    </row>
    <row r="255" spans="18:31" x14ac:dyDescent="0.25">
      <c r="R255" s="92" t="str">
        <f ca="1"/>
        <v/>
      </c>
      <c r="S255" s="62" t="str">
        <f t="shared" ca="1" si="49"/>
        <v/>
      </c>
      <c r="T255" s="62" t="e">
        <f t="shared" ca="1" si="43"/>
        <v>#N/A</v>
      </c>
      <c r="U255" s="62" t="e">
        <f t="shared" ca="1" si="44"/>
        <v>#N/A</v>
      </c>
      <c r="V255" s="62" t="e">
        <f t="shared" ca="1" si="45"/>
        <v>#N/A</v>
      </c>
      <c r="W255" s="60" t="e">
        <f t="shared" ca="1" si="46"/>
        <v>#N/A</v>
      </c>
      <c r="X255" s="60" t="e">
        <f t="shared" ca="1" si="50"/>
        <v>#N/A</v>
      </c>
      <c r="Y255" s="60" t="e">
        <f t="shared" ca="1" si="47"/>
        <v>#N/A</v>
      </c>
      <c r="Z255" s="60" t="e">
        <f t="shared" ca="1" si="48"/>
        <v>#N/A</v>
      </c>
      <c r="AA255" s="92" t="str">
        <f ca="1"/>
        <v/>
      </c>
      <c r="AB255" s="62" t="str">
        <f t="shared" ca="1" si="51"/>
        <v/>
      </c>
      <c r="AC255" s="62" t="e">
        <f t="shared" ca="1" si="52"/>
        <v>#N/A</v>
      </c>
      <c r="AD255" s="62" t="e">
        <f t="shared" ca="1" si="53"/>
        <v>#N/A</v>
      </c>
      <c r="AE255" s="62" t="e">
        <f t="shared" ca="1" si="54"/>
        <v>#N/A</v>
      </c>
    </row>
    <row r="256" spans="18:31" x14ac:dyDescent="0.25">
      <c r="R256" s="92" t="str">
        <f ca="1"/>
        <v/>
      </c>
      <c r="S256" s="62" t="str">
        <f t="shared" ca="1" si="49"/>
        <v/>
      </c>
      <c r="T256" s="62" t="e">
        <f t="shared" ca="1" si="43"/>
        <v>#N/A</v>
      </c>
      <c r="U256" s="62" t="e">
        <f t="shared" ca="1" si="44"/>
        <v>#N/A</v>
      </c>
      <c r="V256" s="62" t="e">
        <f t="shared" ca="1" si="45"/>
        <v>#N/A</v>
      </c>
      <c r="W256" s="60" t="e">
        <f t="shared" ca="1" si="46"/>
        <v>#N/A</v>
      </c>
      <c r="X256" s="60" t="e">
        <f t="shared" ca="1" si="50"/>
        <v>#N/A</v>
      </c>
      <c r="Y256" s="60" t="e">
        <f t="shared" ca="1" si="47"/>
        <v>#N/A</v>
      </c>
      <c r="Z256" s="60" t="e">
        <f t="shared" ca="1" si="48"/>
        <v>#N/A</v>
      </c>
      <c r="AA256" s="92" t="str">
        <f ca="1"/>
        <v/>
      </c>
      <c r="AB256" s="62" t="str">
        <f t="shared" ca="1" si="51"/>
        <v/>
      </c>
      <c r="AC256" s="62" t="e">
        <f t="shared" ca="1" si="52"/>
        <v>#N/A</v>
      </c>
      <c r="AD256" s="62" t="e">
        <f t="shared" ca="1" si="53"/>
        <v>#N/A</v>
      </c>
      <c r="AE256" s="62" t="e">
        <f t="shared" ca="1" si="54"/>
        <v>#N/A</v>
      </c>
    </row>
    <row r="257" spans="18:31" x14ac:dyDescent="0.25">
      <c r="R257" s="92" t="str">
        <f ca="1"/>
        <v/>
      </c>
      <c r="S257" s="62" t="str">
        <f t="shared" ca="1" si="49"/>
        <v/>
      </c>
      <c r="T257" s="62" t="e">
        <f t="shared" ca="1" si="43"/>
        <v>#N/A</v>
      </c>
      <c r="U257" s="62" t="e">
        <f t="shared" ca="1" si="44"/>
        <v>#N/A</v>
      </c>
      <c r="V257" s="62" t="e">
        <f t="shared" ca="1" si="45"/>
        <v>#N/A</v>
      </c>
      <c r="W257" s="60" t="e">
        <f t="shared" ca="1" si="46"/>
        <v>#N/A</v>
      </c>
      <c r="X257" s="60" t="e">
        <f t="shared" ca="1" si="50"/>
        <v>#N/A</v>
      </c>
      <c r="Y257" s="60" t="e">
        <f t="shared" ca="1" si="47"/>
        <v>#N/A</v>
      </c>
      <c r="Z257" s="60" t="e">
        <f t="shared" ca="1" si="48"/>
        <v>#N/A</v>
      </c>
      <c r="AA257" s="92" t="str">
        <f ca="1"/>
        <v/>
      </c>
      <c r="AB257" s="62" t="str">
        <f t="shared" ca="1" si="51"/>
        <v/>
      </c>
      <c r="AC257" s="62" t="e">
        <f t="shared" ca="1" si="52"/>
        <v>#N/A</v>
      </c>
      <c r="AD257" s="62" t="e">
        <f t="shared" ca="1" si="53"/>
        <v>#N/A</v>
      </c>
      <c r="AE257" s="62" t="e">
        <f t="shared" ca="1" si="54"/>
        <v>#N/A</v>
      </c>
    </row>
    <row r="258" spans="18:31" x14ac:dyDescent="0.25">
      <c r="R258" s="92" t="str">
        <f ca="1"/>
        <v/>
      </c>
      <c r="S258" s="62" t="str">
        <f t="shared" ca="1" si="49"/>
        <v/>
      </c>
      <c r="T258" s="62" t="e">
        <f t="shared" ca="1" si="43"/>
        <v>#N/A</v>
      </c>
      <c r="U258" s="62" t="e">
        <f t="shared" ca="1" si="44"/>
        <v>#N/A</v>
      </c>
      <c r="V258" s="62" t="e">
        <f t="shared" ca="1" si="45"/>
        <v>#N/A</v>
      </c>
      <c r="W258" s="60" t="e">
        <f t="shared" ca="1" si="46"/>
        <v>#N/A</v>
      </c>
      <c r="X258" s="60" t="e">
        <f t="shared" ca="1" si="50"/>
        <v>#N/A</v>
      </c>
      <c r="Y258" s="60" t="e">
        <f t="shared" ca="1" si="47"/>
        <v>#N/A</v>
      </c>
      <c r="Z258" s="60" t="e">
        <f t="shared" ca="1" si="48"/>
        <v>#N/A</v>
      </c>
      <c r="AA258" s="92" t="str">
        <f ca="1"/>
        <v/>
      </c>
      <c r="AB258" s="62" t="str">
        <f t="shared" ca="1" si="51"/>
        <v/>
      </c>
      <c r="AC258" s="62" t="e">
        <f t="shared" ca="1" si="52"/>
        <v>#N/A</v>
      </c>
      <c r="AD258" s="62" t="e">
        <f t="shared" ca="1" si="53"/>
        <v>#N/A</v>
      </c>
      <c r="AE258" s="62" t="e">
        <f t="shared" ca="1" si="54"/>
        <v>#N/A</v>
      </c>
    </row>
    <row r="259" spans="18:31" x14ac:dyDescent="0.25">
      <c r="R259" s="92" t="str">
        <f ca="1"/>
        <v/>
      </c>
      <c r="S259" s="62" t="str">
        <f t="shared" ca="1" si="49"/>
        <v/>
      </c>
      <c r="T259" s="62" t="e">
        <f t="shared" ca="1" si="43"/>
        <v>#N/A</v>
      </c>
      <c r="U259" s="62" t="e">
        <f t="shared" ca="1" si="44"/>
        <v>#N/A</v>
      </c>
      <c r="V259" s="62" t="e">
        <f t="shared" ca="1" si="45"/>
        <v>#N/A</v>
      </c>
      <c r="W259" s="60" t="e">
        <f t="shared" ca="1" si="46"/>
        <v>#N/A</v>
      </c>
      <c r="X259" s="60" t="e">
        <f t="shared" ca="1" si="50"/>
        <v>#N/A</v>
      </c>
      <c r="Y259" s="60" t="e">
        <f t="shared" ca="1" si="47"/>
        <v>#N/A</v>
      </c>
      <c r="Z259" s="60" t="e">
        <f t="shared" ca="1" si="48"/>
        <v>#N/A</v>
      </c>
      <c r="AA259" s="92" t="str">
        <f ca="1"/>
        <v/>
      </c>
      <c r="AB259" s="62" t="str">
        <f t="shared" ca="1" si="51"/>
        <v/>
      </c>
      <c r="AC259" s="62" t="e">
        <f t="shared" ca="1" si="52"/>
        <v>#N/A</v>
      </c>
      <c r="AD259" s="62" t="e">
        <f t="shared" ca="1" si="53"/>
        <v>#N/A</v>
      </c>
      <c r="AE259" s="62" t="e">
        <f t="shared" ca="1" si="54"/>
        <v>#N/A</v>
      </c>
    </row>
    <row r="260" spans="18:31" x14ac:dyDescent="0.25">
      <c r="R260" s="92" t="str">
        <f ca="1"/>
        <v/>
      </c>
      <c r="S260" s="62" t="str">
        <f t="shared" ca="1" si="49"/>
        <v/>
      </c>
      <c r="T260" s="62" t="e">
        <f t="shared" ca="1" si="43"/>
        <v>#N/A</v>
      </c>
      <c r="U260" s="62" t="e">
        <f t="shared" ca="1" si="44"/>
        <v>#N/A</v>
      </c>
      <c r="V260" s="62" t="e">
        <f t="shared" ca="1" si="45"/>
        <v>#N/A</v>
      </c>
      <c r="W260" s="60" t="e">
        <f t="shared" ca="1" si="46"/>
        <v>#N/A</v>
      </c>
      <c r="X260" s="60" t="e">
        <f t="shared" ca="1" si="50"/>
        <v>#N/A</v>
      </c>
      <c r="Y260" s="60" t="e">
        <f t="shared" ca="1" si="47"/>
        <v>#N/A</v>
      </c>
      <c r="Z260" s="60" t="e">
        <f t="shared" ca="1" si="48"/>
        <v>#N/A</v>
      </c>
      <c r="AA260" s="92" t="str">
        <f ca="1"/>
        <v/>
      </c>
      <c r="AB260" s="62" t="str">
        <f t="shared" ca="1" si="51"/>
        <v/>
      </c>
      <c r="AC260" s="62" t="e">
        <f t="shared" ca="1" si="52"/>
        <v>#N/A</v>
      </c>
      <c r="AD260" s="62" t="e">
        <f t="shared" ca="1" si="53"/>
        <v>#N/A</v>
      </c>
      <c r="AE260" s="62" t="e">
        <f t="shared" ca="1" si="54"/>
        <v>#N/A</v>
      </c>
    </row>
    <row r="261" spans="18:31" x14ac:dyDescent="0.25">
      <c r="R261" s="92" t="str">
        <f ca="1"/>
        <v/>
      </c>
      <c r="S261" s="62" t="str">
        <f t="shared" ca="1" si="49"/>
        <v/>
      </c>
      <c r="T261" s="62" t="e">
        <f t="shared" ca="1" si="43"/>
        <v>#N/A</v>
      </c>
      <c r="U261" s="62" t="e">
        <f t="shared" ca="1" si="44"/>
        <v>#N/A</v>
      </c>
      <c r="V261" s="62" t="e">
        <f t="shared" ca="1" si="45"/>
        <v>#N/A</v>
      </c>
      <c r="W261" s="60" t="e">
        <f t="shared" ca="1" si="46"/>
        <v>#N/A</v>
      </c>
      <c r="X261" s="60" t="e">
        <f t="shared" ca="1" si="50"/>
        <v>#N/A</v>
      </c>
      <c r="Y261" s="60" t="e">
        <f t="shared" ca="1" si="47"/>
        <v>#N/A</v>
      </c>
      <c r="Z261" s="60" t="e">
        <f t="shared" ca="1" si="48"/>
        <v>#N/A</v>
      </c>
      <c r="AA261" s="92" t="str">
        <f ca="1"/>
        <v/>
      </c>
      <c r="AB261" s="62" t="str">
        <f t="shared" ca="1" si="51"/>
        <v/>
      </c>
      <c r="AC261" s="62" t="e">
        <f t="shared" ca="1" si="52"/>
        <v>#N/A</v>
      </c>
      <c r="AD261" s="62" t="e">
        <f t="shared" ca="1" si="53"/>
        <v>#N/A</v>
      </c>
      <c r="AE261" s="62" t="e">
        <f t="shared" ca="1" si="54"/>
        <v>#N/A</v>
      </c>
    </row>
    <row r="262" spans="18:31" x14ac:dyDescent="0.25">
      <c r="R262" s="92" t="str">
        <f ca="1"/>
        <v/>
      </c>
      <c r="S262" s="62" t="str">
        <f t="shared" ca="1" si="49"/>
        <v/>
      </c>
      <c r="T262" s="62" t="e">
        <f t="shared" ca="1" si="43"/>
        <v>#N/A</v>
      </c>
      <c r="U262" s="62" t="e">
        <f t="shared" ca="1" si="44"/>
        <v>#N/A</v>
      </c>
      <c r="V262" s="62" t="e">
        <f t="shared" ca="1" si="45"/>
        <v>#N/A</v>
      </c>
      <c r="W262" s="60" t="e">
        <f t="shared" ca="1" si="46"/>
        <v>#N/A</v>
      </c>
      <c r="X262" s="60" t="e">
        <f t="shared" ca="1" si="50"/>
        <v>#N/A</v>
      </c>
      <c r="Y262" s="60" t="e">
        <f t="shared" ca="1" si="47"/>
        <v>#N/A</v>
      </c>
      <c r="Z262" s="60" t="e">
        <f t="shared" ca="1" si="48"/>
        <v>#N/A</v>
      </c>
      <c r="AA262" s="92" t="str">
        <f ca="1"/>
        <v/>
      </c>
      <c r="AB262" s="62" t="str">
        <f t="shared" ca="1" si="51"/>
        <v/>
      </c>
      <c r="AC262" s="62" t="e">
        <f t="shared" ca="1" si="52"/>
        <v>#N/A</v>
      </c>
      <c r="AD262" s="62" t="e">
        <f t="shared" ca="1" si="53"/>
        <v>#N/A</v>
      </c>
      <c r="AE262" s="62" t="e">
        <f t="shared" ca="1" si="54"/>
        <v>#N/A</v>
      </c>
    </row>
    <row r="263" spans="18:31" x14ac:dyDescent="0.25">
      <c r="R263" s="92" t="str">
        <f ca="1"/>
        <v/>
      </c>
      <c r="S263" s="62" t="str">
        <f t="shared" ca="1" si="49"/>
        <v/>
      </c>
      <c r="T263" s="62" t="e">
        <f t="shared" ca="1" si="43"/>
        <v>#N/A</v>
      </c>
      <c r="U263" s="62" t="e">
        <f t="shared" ca="1" si="44"/>
        <v>#N/A</v>
      </c>
      <c r="V263" s="62" t="e">
        <f t="shared" ca="1" si="45"/>
        <v>#N/A</v>
      </c>
      <c r="W263" s="60" t="e">
        <f t="shared" ca="1" si="46"/>
        <v>#N/A</v>
      </c>
      <c r="X263" s="60" t="e">
        <f t="shared" ca="1" si="50"/>
        <v>#N/A</v>
      </c>
      <c r="Y263" s="60" t="e">
        <f t="shared" ca="1" si="47"/>
        <v>#N/A</v>
      </c>
      <c r="Z263" s="60" t="e">
        <f t="shared" ca="1" si="48"/>
        <v>#N/A</v>
      </c>
      <c r="AA263" s="92" t="str">
        <f ca="1"/>
        <v/>
      </c>
      <c r="AB263" s="62" t="str">
        <f t="shared" ca="1" si="51"/>
        <v/>
      </c>
      <c r="AC263" s="62" t="e">
        <f t="shared" ca="1" si="52"/>
        <v>#N/A</v>
      </c>
      <c r="AD263" s="62" t="e">
        <f t="shared" ca="1" si="53"/>
        <v>#N/A</v>
      </c>
      <c r="AE263" s="62" t="e">
        <f t="shared" ca="1" si="54"/>
        <v>#N/A</v>
      </c>
    </row>
    <row r="264" spans="18:31" x14ac:dyDescent="0.25">
      <c r="R264" s="92" t="str">
        <f ca="1"/>
        <v/>
      </c>
      <c r="S264" s="62" t="str">
        <f t="shared" ca="1" si="49"/>
        <v/>
      </c>
      <c r="T264" s="62" t="e">
        <f t="shared" ca="1" si="43"/>
        <v>#N/A</v>
      </c>
      <c r="U264" s="62" t="e">
        <f t="shared" ca="1" si="44"/>
        <v>#N/A</v>
      </c>
      <c r="V264" s="62" t="e">
        <f t="shared" ca="1" si="45"/>
        <v>#N/A</v>
      </c>
      <c r="W264" s="60" t="e">
        <f t="shared" ca="1" si="46"/>
        <v>#N/A</v>
      </c>
      <c r="X264" s="60" t="e">
        <f t="shared" ca="1" si="50"/>
        <v>#N/A</v>
      </c>
      <c r="Y264" s="60" t="e">
        <f t="shared" ca="1" si="47"/>
        <v>#N/A</v>
      </c>
      <c r="Z264" s="60" t="e">
        <f t="shared" ca="1" si="48"/>
        <v>#N/A</v>
      </c>
      <c r="AA264" s="92" t="str">
        <f ca="1"/>
        <v/>
      </c>
      <c r="AB264" s="62" t="str">
        <f t="shared" ca="1" si="51"/>
        <v/>
      </c>
      <c r="AC264" s="62" t="e">
        <f t="shared" ca="1" si="52"/>
        <v>#N/A</v>
      </c>
      <c r="AD264" s="62" t="e">
        <f t="shared" ca="1" si="53"/>
        <v>#N/A</v>
      </c>
      <c r="AE264" s="62" t="e">
        <f t="shared" ca="1" si="54"/>
        <v>#N/A</v>
      </c>
    </row>
    <row r="265" spans="18:31" x14ac:dyDescent="0.25">
      <c r="R265" s="92" t="str">
        <f ca="1"/>
        <v/>
      </c>
      <c r="S265" s="62" t="str">
        <f t="shared" ca="1" si="49"/>
        <v/>
      </c>
      <c r="T265" s="62" t="e">
        <f t="shared" ca="1" si="43"/>
        <v>#N/A</v>
      </c>
      <c r="U265" s="62" t="e">
        <f t="shared" ca="1" si="44"/>
        <v>#N/A</v>
      </c>
      <c r="V265" s="62" t="e">
        <f t="shared" ca="1" si="45"/>
        <v>#N/A</v>
      </c>
      <c r="W265" s="60" t="e">
        <f t="shared" ca="1" si="46"/>
        <v>#N/A</v>
      </c>
      <c r="X265" s="60" t="e">
        <f t="shared" ca="1" si="50"/>
        <v>#N/A</v>
      </c>
      <c r="Y265" s="60" t="e">
        <f t="shared" ca="1" si="47"/>
        <v>#N/A</v>
      </c>
      <c r="Z265" s="60" t="e">
        <f t="shared" ca="1" si="48"/>
        <v>#N/A</v>
      </c>
      <c r="AA265" s="92" t="str">
        <f ca="1"/>
        <v/>
      </c>
      <c r="AB265" s="62" t="str">
        <f t="shared" ca="1" si="51"/>
        <v/>
      </c>
      <c r="AC265" s="62" t="e">
        <f t="shared" ca="1" si="52"/>
        <v>#N/A</v>
      </c>
      <c r="AD265" s="62" t="e">
        <f t="shared" ca="1" si="53"/>
        <v>#N/A</v>
      </c>
      <c r="AE265" s="62" t="e">
        <f t="shared" ca="1" si="54"/>
        <v>#N/A</v>
      </c>
    </row>
    <row r="266" spans="18:31" x14ac:dyDescent="0.25">
      <c r="R266" s="92" t="str">
        <f ca="1"/>
        <v/>
      </c>
      <c r="S266" s="62" t="str">
        <f t="shared" ca="1" si="49"/>
        <v/>
      </c>
      <c r="T266" s="62" t="e">
        <f t="shared" ca="1" si="43"/>
        <v>#N/A</v>
      </c>
      <c r="U266" s="62" t="e">
        <f t="shared" ca="1" si="44"/>
        <v>#N/A</v>
      </c>
      <c r="V266" s="62" t="e">
        <f t="shared" ca="1" si="45"/>
        <v>#N/A</v>
      </c>
      <c r="W266" s="60" t="e">
        <f t="shared" ca="1" si="46"/>
        <v>#N/A</v>
      </c>
      <c r="X266" s="60" t="e">
        <f t="shared" ca="1" si="50"/>
        <v>#N/A</v>
      </c>
      <c r="Y266" s="60" t="e">
        <f t="shared" ca="1" si="47"/>
        <v>#N/A</v>
      </c>
      <c r="Z266" s="60" t="e">
        <f t="shared" ca="1" si="48"/>
        <v>#N/A</v>
      </c>
      <c r="AA266" s="92" t="str">
        <f ca="1"/>
        <v/>
      </c>
      <c r="AB266" s="62" t="str">
        <f t="shared" ca="1" si="51"/>
        <v/>
      </c>
      <c r="AC266" s="62" t="e">
        <f t="shared" ca="1" si="52"/>
        <v>#N/A</v>
      </c>
      <c r="AD266" s="62" t="e">
        <f t="shared" ca="1" si="53"/>
        <v>#N/A</v>
      </c>
      <c r="AE266" s="62" t="e">
        <f t="shared" ca="1" si="54"/>
        <v>#N/A</v>
      </c>
    </row>
    <row r="267" spans="18:31" x14ac:dyDescent="0.25">
      <c r="R267" s="92" t="str">
        <f ca="1"/>
        <v/>
      </c>
      <c r="S267" s="62" t="str">
        <f t="shared" ca="1" si="49"/>
        <v/>
      </c>
      <c r="T267" s="62" t="e">
        <f t="shared" ca="1" si="43"/>
        <v>#N/A</v>
      </c>
      <c r="U267" s="62" t="e">
        <f t="shared" ca="1" si="44"/>
        <v>#N/A</v>
      </c>
      <c r="V267" s="62" t="e">
        <f t="shared" ca="1" si="45"/>
        <v>#N/A</v>
      </c>
      <c r="W267" s="60" t="e">
        <f t="shared" ca="1" si="46"/>
        <v>#N/A</v>
      </c>
      <c r="X267" s="60" t="e">
        <f t="shared" ca="1" si="50"/>
        <v>#N/A</v>
      </c>
      <c r="Y267" s="60" t="e">
        <f t="shared" ca="1" si="47"/>
        <v>#N/A</v>
      </c>
      <c r="Z267" s="60" t="e">
        <f t="shared" ca="1" si="48"/>
        <v>#N/A</v>
      </c>
      <c r="AA267" s="92" t="str">
        <f ca="1"/>
        <v/>
      </c>
      <c r="AB267" s="62" t="str">
        <f t="shared" ca="1" si="51"/>
        <v/>
      </c>
      <c r="AC267" s="62" t="e">
        <f t="shared" ca="1" si="52"/>
        <v>#N/A</v>
      </c>
      <c r="AD267" s="62" t="e">
        <f t="shared" ca="1" si="53"/>
        <v>#N/A</v>
      </c>
      <c r="AE267" s="62" t="e">
        <f t="shared" ca="1" si="54"/>
        <v>#N/A</v>
      </c>
    </row>
    <row r="268" spans="18:31" x14ac:dyDescent="0.25">
      <c r="R268" s="92" t="str">
        <f ca="1"/>
        <v/>
      </c>
      <c r="S268" s="62" t="str">
        <f t="shared" ca="1" si="49"/>
        <v/>
      </c>
      <c r="T268" s="62" t="e">
        <f t="shared" ca="1" si="43"/>
        <v>#N/A</v>
      </c>
      <c r="U268" s="62" t="e">
        <f t="shared" ca="1" si="44"/>
        <v>#N/A</v>
      </c>
      <c r="V268" s="62" t="e">
        <f t="shared" ca="1" si="45"/>
        <v>#N/A</v>
      </c>
      <c r="W268" s="60" t="e">
        <f t="shared" ca="1" si="46"/>
        <v>#N/A</v>
      </c>
      <c r="X268" s="60" t="e">
        <f t="shared" ca="1" si="50"/>
        <v>#N/A</v>
      </c>
      <c r="Y268" s="60" t="e">
        <f t="shared" ca="1" si="47"/>
        <v>#N/A</v>
      </c>
      <c r="Z268" s="60" t="e">
        <f t="shared" ca="1" si="48"/>
        <v>#N/A</v>
      </c>
      <c r="AA268" s="92" t="str">
        <f ca="1"/>
        <v/>
      </c>
      <c r="AB268" s="62" t="str">
        <f t="shared" ca="1" si="51"/>
        <v/>
      </c>
      <c r="AC268" s="62" t="e">
        <f t="shared" ca="1" si="52"/>
        <v>#N/A</v>
      </c>
      <c r="AD268" s="62" t="e">
        <f t="shared" ca="1" si="53"/>
        <v>#N/A</v>
      </c>
      <c r="AE268" s="62" t="e">
        <f t="shared" ca="1" si="54"/>
        <v>#N/A</v>
      </c>
    </row>
    <row r="269" spans="18:31" x14ac:dyDescent="0.25">
      <c r="R269" s="92" t="str">
        <f ca="1"/>
        <v/>
      </c>
      <c r="S269" s="62" t="str">
        <f t="shared" ca="1" si="49"/>
        <v/>
      </c>
      <c r="T269" s="62" t="e">
        <f t="shared" ca="1" si="43"/>
        <v>#N/A</v>
      </c>
      <c r="U269" s="62" t="e">
        <f t="shared" ca="1" si="44"/>
        <v>#N/A</v>
      </c>
      <c r="V269" s="62" t="e">
        <f t="shared" ca="1" si="45"/>
        <v>#N/A</v>
      </c>
      <c r="W269" s="60" t="e">
        <f t="shared" ca="1" si="46"/>
        <v>#N/A</v>
      </c>
      <c r="X269" s="60" t="e">
        <f t="shared" ca="1" si="50"/>
        <v>#N/A</v>
      </c>
      <c r="Y269" s="60" t="e">
        <f t="shared" ca="1" si="47"/>
        <v>#N/A</v>
      </c>
      <c r="Z269" s="60" t="e">
        <f t="shared" ca="1" si="48"/>
        <v>#N/A</v>
      </c>
      <c r="AA269" s="92" t="str">
        <f ca="1"/>
        <v/>
      </c>
      <c r="AB269" s="62" t="str">
        <f t="shared" ca="1" si="51"/>
        <v/>
      </c>
      <c r="AC269" s="62" t="e">
        <f t="shared" ca="1" si="52"/>
        <v>#N/A</v>
      </c>
      <c r="AD269" s="62" t="e">
        <f t="shared" ca="1" si="53"/>
        <v>#N/A</v>
      </c>
      <c r="AE269" s="62" t="e">
        <f t="shared" ca="1" si="54"/>
        <v>#N/A</v>
      </c>
    </row>
    <row r="270" spans="18:31" x14ac:dyDescent="0.25">
      <c r="R270" s="92" t="str">
        <f ca="1"/>
        <v/>
      </c>
      <c r="S270" s="62" t="str">
        <f t="shared" ca="1" si="49"/>
        <v/>
      </c>
      <c r="T270" s="62" t="e">
        <f t="shared" ca="1" si="43"/>
        <v>#N/A</v>
      </c>
      <c r="U270" s="62" t="e">
        <f t="shared" ca="1" si="44"/>
        <v>#N/A</v>
      </c>
      <c r="V270" s="62" t="e">
        <f t="shared" ca="1" si="45"/>
        <v>#N/A</v>
      </c>
      <c r="W270" s="60" t="e">
        <f t="shared" ca="1" si="46"/>
        <v>#N/A</v>
      </c>
      <c r="X270" s="60" t="e">
        <f t="shared" ca="1" si="50"/>
        <v>#N/A</v>
      </c>
      <c r="Y270" s="60" t="e">
        <f t="shared" ca="1" si="47"/>
        <v>#N/A</v>
      </c>
      <c r="Z270" s="60" t="e">
        <f t="shared" ca="1" si="48"/>
        <v>#N/A</v>
      </c>
      <c r="AA270" s="92" t="str">
        <f ca="1"/>
        <v/>
      </c>
      <c r="AB270" s="62" t="str">
        <f t="shared" ca="1" si="51"/>
        <v/>
      </c>
      <c r="AC270" s="62" t="e">
        <f t="shared" ca="1" si="52"/>
        <v>#N/A</v>
      </c>
      <c r="AD270" s="62" t="e">
        <f t="shared" ca="1" si="53"/>
        <v>#N/A</v>
      </c>
      <c r="AE270" s="62" t="e">
        <f t="shared" ca="1" si="54"/>
        <v>#N/A</v>
      </c>
    </row>
    <row r="271" spans="18:31" x14ac:dyDescent="0.25">
      <c r="R271" s="92" t="str">
        <f ca="1"/>
        <v/>
      </c>
      <c r="S271" s="62" t="str">
        <f t="shared" ca="1" si="49"/>
        <v/>
      </c>
      <c r="T271" s="62" t="e">
        <f t="shared" ca="1" si="43"/>
        <v>#N/A</v>
      </c>
      <c r="U271" s="62" t="e">
        <f t="shared" ca="1" si="44"/>
        <v>#N/A</v>
      </c>
      <c r="V271" s="62" t="e">
        <f t="shared" ca="1" si="45"/>
        <v>#N/A</v>
      </c>
      <c r="W271" s="60" t="e">
        <f t="shared" ca="1" si="46"/>
        <v>#N/A</v>
      </c>
      <c r="X271" s="60" t="e">
        <f t="shared" ca="1" si="50"/>
        <v>#N/A</v>
      </c>
      <c r="Y271" s="60" t="e">
        <f t="shared" ca="1" si="47"/>
        <v>#N/A</v>
      </c>
      <c r="Z271" s="60" t="e">
        <f t="shared" ca="1" si="48"/>
        <v>#N/A</v>
      </c>
      <c r="AA271" s="92" t="str">
        <f ca="1"/>
        <v/>
      </c>
      <c r="AB271" s="62" t="str">
        <f t="shared" ca="1" si="51"/>
        <v/>
      </c>
      <c r="AC271" s="62" t="e">
        <f t="shared" ca="1" si="52"/>
        <v>#N/A</v>
      </c>
      <c r="AD271" s="62" t="e">
        <f t="shared" ca="1" si="53"/>
        <v>#N/A</v>
      </c>
      <c r="AE271" s="62" t="e">
        <f t="shared" ca="1" si="54"/>
        <v>#N/A</v>
      </c>
    </row>
    <row r="272" spans="18:31" x14ac:dyDescent="0.25">
      <c r="R272" s="92" t="str">
        <f ca="1"/>
        <v/>
      </c>
      <c r="S272" s="62" t="str">
        <f t="shared" ca="1" si="49"/>
        <v/>
      </c>
      <c r="T272" s="62" t="e">
        <f t="shared" ca="1" si="43"/>
        <v>#N/A</v>
      </c>
      <c r="U272" s="62" t="e">
        <f t="shared" ca="1" si="44"/>
        <v>#N/A</v>
      </c>
      <c r="V272" s="62" t="e">
        <f t="shared" ca="1" si="45"/>
        <v>#N/A</v>
      </c>
      <c r="W272" s="60" t="e">
        <f t="shared" ca="1" si="46"/>
        <v>#N/A</v>
      </c>
      <c r="X272" s="60" t="e">
        <f t="shared" ca="1" si="50"/>
        <v>#N/A</v>
      </c>
      <c r="Y272" s="60" t="e">
        <f t="shared" ca="1" si="47"/>
        <v>#N/A</v>
      </c>
      <c r="Z272" s="60" t="e">
        <f t="shared" ca="1" si="48"/>
        <v>#N/A</v>
      </c>
      <c r="AA272" s="92" t="str">
        <f ca="1"/>
        <v/>
      </c>
      <c r="AB272" s="62" t="str">
        <f t="shared" ca="1" si="51"/>
        <v/>
      </c>
      <c r="AC272" s="62" t="e">
        <f t="shared" ca="1" si="52"/>
        <v>#N/A</v>
      </c>
      <c r="AD272" s="62" t="e">
        <f t="shared" ca="1" si="53"/>
        <v>#N/A</v>
      </c>
      <c r="AE272" s="62" t="e">
        <f t="shared" ca="1" si="54"/>
        <v>#N/A</v>
      </c>
    </row>
    <row r="273" spans="18:31" x14ac:dyDescent="0.25">
      <c r="R273" s="92" t="str">
        <f ca="1"/>
        <v/>
      </c>
      <c r="S273" s="62" t="str">
        <f t="shared" ca="1" si="49"/>
        <v/>
      </c>
      <c r="T273" s="62" t="e">
        <f t="shared" ca="1" si="43"/>
        <v>#N/A</v>
      </c>
      <c r="U273" s="62" t="e">
        <f t="shared" ca="1" si="44"/>
        <v>#N/A</v>
      </c>
      <c r="V273" s="62" t="e">
        <f t="shared" ca="1" si="45"/>
        <v>#N/A</v>
      </c>
      <c r="W273" s="60" t="e">
        <f t="shared" ca="1" si="46"/>
        <v>#N/A</v>
      </c>
      <c r="X273" s="60" t="e">
        <f t="shared" ca="1" si="50"/>
        <v>#N/A</v>
      </c>
      <c r="Y273" s="60" t="e">
        <f t="shared" ca="1" si="47"/>
        <v>#N/A</v>
      </c>
      <c r="Z273" s="60" t="e">
        <f t="shared" ca="1" si="48"/>
        <v>#N/A</v>
      </c>
      <c r="AA273" s="92" t="str">
        <f ca="1"/>
        <v/>
      </c>
      <c r="AB273" s="62" t="str">
        <f t="shared" ca="1" si="51"/>
        <v/>
      </c>
      <c r="AC273" s="62" t="e">
        <f t="shared" ca="1" si="52"/>
        <v>#N/A</v>
      </c>
      <c r="AD273" s="62" t="e">
        <f t="shared" ca="1" si="53"/>
        <v>#N/A</v>
      </c>
      <c r="AE273" s="62" t="e">
        <f t="shared" ca="1" si="54"/>
        <v>#N/A</v>
      </c>
    </row>
    <row r="274" spans="18:31" x14ac:dyDescent="0.25">
      <c r="R274" s="92" t="str">
        <f ca="1"/>
        <v/>
      </c>
      <c r="S274" s="62" t="str">
        <f t="shared" ca="1" si="49"/>
        <v/>
      </c>
      <c r="T274" s="62" t="e">
        <f t="shared" ref="T274:T337" ca="1" si="55">VLOOKUP(S274,ModelOutputs,2,FALSE)</f>
        <v>#N/A</v>
      </c>
      <c r="U274" s="62" t="e">
        <f t="shared" ref="U274:U337" ca="1" si="56">VLOOKUP(S274,ModelOutputs,7,FALSE)</f>
        <v>#N/A</v>
      </c>
      <c r="V274" s="62" t="e">
        <f t="shared" ref="V274:V337" ca="1" si="57">VLOOKUP(S274,ModelOutputs,6,FALSE)</f>
        <v>#N/A</v>
      </c>
      <c r="W274" s="60" t="e">
        <f t="shared" ref="W274:W337" ca="1" si="58">VLOOKUP(S274,ModelOutputs,10,FALSE)*AWC</f>
        <v>#N/A</v>
      </c>
      <c r="X274" s="60" t="e">
        <f t="shared" ca="1" si="50"/>
        <v>#N/A</v>
      </c>
      <c r="Y274" s="60" t="e">
        <f t="shared" ref="Y274:Y337" ca="1" si="59">VLOOKUP(S274,ModelOutputs,12,FALSE)</f>
        <v>#N/A</v>
      </c>
      <c r="Z274" s="60" t="e">
        <f t="shared" ref="Z274:Z337" ca="1" si="60">VLOOKUP(S274,ModelOutputs,13,FALSE)</f>
        <v>#N/A</v>
      </c>
      <c r="AA274" s="92" t="str">
        <f ca="1"/>
        <v/>
      </c>
      <c r="AB274" s="62" t="str">
        <f t="shared" ca="1" si="51"/>
        <v/>
      </c>
      <c r="AC274" s="62" t="e">
        <f t="shared" ca="1" si="52"/>
        <v>#N/A</v>
      </c>
      <c r="AD274" s="62" t="e">
        <f t="shared" ca="1" si="53"/>
        <v>#N/A</v>
      </c>
      <c r="AE274" s="62" t="e">
        <f t="shared" ca="1" si="54"/>
        <v>#N/A</v>
      </c>
    </row>
    <row r="275" spans="18:31" x14ac:dyDescent="0.25">
      <c r="R275" s="92" t="str">
        <f ca="1"/>
        <v/>
      </c>
      <c r="S275" s="62" t="str">
        <f t="shared" ref="S275:S338" ca="1" si="61">IF(R275&gt;1,R275,"")</f>
        <v/>
      </c>
      <c r="T275" s="62" t="e">
        <f t="shared" ca="1" si="55"/>
        <v>#N/A</v>
      </c>
      <c r="U275" s="62" t="e">
        <f t="shared" ca="1" si="56"/>
        <v>#N/A</v>
      </c>
      <c r="V275" s="62" t="e">
        <f t="shared" ca="1" si="57"/>
        <v>#N/A</v>
      </c>
      <c r="W275" s="60" t="e">
        <f t="shared" ca="1" si="58"/>
        <v>#N/A</v>
      </c>
      <c r="X275" s="60" t="e">
        <f t="shared" ref="X275:X338" ca="1" si="62">VLOOKUP(S275,ModelOutputs,11,FALSE)+X274</f>
        <v>#N/A</v>
      </c>
      <c r="Y275" s="60" t="e">
        <f t="shared" ca="1" si="59"/>
        <v>#N/A</v>
      </c>
      <c r="Z275" s="60" t="e">
        <f t="shared" ca="1" si="60"/>
        <v>#N/A</v>
      </c>
      <c r="AA275" s="92" t="str">
        <f ca="1"/>
        <v/>
      </c>
      <c r="AB275" s="62" t="str">
        <f t="shared" ca="1" si="51"/>
        <v/>
      </c>
      <c r="AC275" s="62" t="e">
        <f t="shared" ca="1" si="52"/>
        <v>#N/A</v>
      </c>
      <c r="AD275" s="62" t="e">
        <f t="shared" ca="1" si="53"/>
        <v>#N/A</v>
      </c>
      <c r="AE275" s="62" t="e">
        <f t="shared" ca="1" si="54"/>
        <v>#N/A</v>
      </c>
    </row>
    <row r="276" spans="18:31" x14ac:dyDescent="0.25">
      <c r="R276" s="92" t="str">
        <f ca="1"/>
        <v/>
      </c>
      <c r="S276" s="62" t="str">
        <f t="shared" ca="1" si="61"/>
        <v/>
      </c>
      <c r="T276" s="62" t="e">
        <f t="shared" ca="1" si="55"/>
        <v>#N/A</v>
      </c>
      <c r="U276" s="62" t="e">
        <f t="shared" ca="1" si="56"/>
        <v>#N/A</v>
      </c>
      <c r="V276" s="62" t="e">
        <f t="shared" ca="1" si="57"/>
        <v>#N/A</v>
      </c>
      <c r="W276" s="60" t="e">
        <f t="shared" ca="1" si="58"/>
        <v>#N/A</v>
      </c>
      <c r="X276" s="60" t="e">
        <f t="shared" ca="1" si="62"/>
        <v>#N/A</v>
      </c>
      <c r="Y276" s="60" t="e">
        <f t="shared" ca="1" si="59"/>
        <v>#N/A</v>
      </c>
      <c r="Z276" s="60" t="e">
        <f t="shared" ca="1" si="60"/>
        <v>#N/A</v>
      </c>
      <c r="AA276" s="92" t="str">
        <f ca="1"/>
        <v/>
      </c>
      <c r="AB276" s="62" t="str">
        <f t="shared" ca="1" si="51"/>
        <v/>
      </c>
      <c r="AC276" s="62" t="e">
        <f t="shared" ca="1" si="52"/>
        <v>#N/A</v>
      </c>
      <c r="AD276" s="62" t="e">
        <f t="shared" ca="1" si="53"/>
        <v>#N/A</v>
      </c>
      <c r="AE276" s="62" t="e">
        <f t="shared" ca="1" si="54"/>
        <v>#N/A</v>
      </c>
    </row>
    <row r="277" spans="18:31" x14ac:dyDescent="0.25">
      <c r="R277" s="92" t="str">
        <f ca="1"/>
        <v/>
      </c>
      <c r="S277" s="62" t="str">
        <f t="shared" ca="1" si="61"/>
        <v/>
      </c>
      <c r="T277" s="62" t="e">
        <f t="shared" ca="1" si="55"/>
        <v>#N/A</v>
      </c>
      <c r="U277" s="62" t="e">
        <f t="shared" ca="1" si="56"/>
        <v>#N/A</v>
      </c>
      <c r="V277" s="62" t="e">
        <f t="shared" ca="1" si="57"/>
        <v>#N/A</v>
      </c>
      <c r="W277" s="60" t="e">
        <f t="shared" ca="1" si="58"/>
        <v>#N/A</v>
      </c>
      <c r="X277" s="60" t="e">
        <f t="shared" ca="1" si="62"/>
        <v>#N/A</v>
      </c>
      <c r="Y277" s="60" t="e">
        <f t="shared" ca="1" si="59"/>
        <v>#N/A</v>
      </c>
      <c r="Z277" s="60" t="e">
        <f t="shared" ca="1" si="60"/>
        <v>#N/A</v>
      </c>
      <c r="AA277" s="92" t="str">
        <f ca="1"/>
        <v/>
      </c>
      <c r="AB277" s="62" t="str">
        <f t="shared" ref="AB277:AB340" ca="1" si="63">IF(AA277&gt;1,AA277,"")</f>
        <v/>
      </c>
      <c r="AC277" s="62" t="e">
        <f t="shared" ref="AC277:AC340" ca="1" si="64">VLOOKUP(AB277,ModelOutputs,2,FALSE)</f>
        <v>#N/A</v>
      </c>
      <c r="AD277" s="62" t="e">
        <f t="shared" ref="AD277:AD340" ca="1" si="65">VLOOKUP(AB277,ModelOutputs,7,FALSE)</f>
        <v>#N/A</v>
      </c>
      <c r="AE277" s="62" t="e">
        <f t="shared" ref="AE277:AE340" ca="1" si="66">VLOOKUP(AB277,ModelOutputs,6,FALSE)</f>
        <v>#N/A</v>
      </c>
    </row>
    <row r="278" spans="18:31" x14ac:dyDescent="0.25">
      <c r="R278" s="92" t="str">
        <f ca="1"/>
        <v/>
      </c>
      <c r="S278" s="62" t="str">
        <f t="shared" ca="1" si="61"/>
        <v/>
      </c>
      <c r="T278" s="62" t="e">
        <f t="shared" ca="1" si="55"/>
        <v>#N/A</v>
      </c>
      <c r="U278" s="62" t="e">
        <f t="shared" ca="1" si="56"/>
        <v>#N/A</v>
      </c>
      <c r="V278" s="62" t="e">
        <f t="shared" ca="1" si="57"/>
        <v>#N/A</v>
      </c>
      <c r="W278" s="60" t="e">
        <f t="shared" ca="1" si="58"/>
        <v>#N/A</v>
      </c>
      <c r="X278" s="60" t="e">
        <f t="shared" ca="1" si="62"/>
        <v>#N/A</v>
      </c>
      <c r="Y278" s="60" t="e">
        <f t="shared" ca="1" si="59"/>
        <v>#N/A</v>
      </c>
      <c r="Z278" s="60" t="e">
        <f t="shared" ca="1" si="60"/>
        <v>#N/A</v>
      </c>
      <c r="AA278" s="92" t="str">
        <f ca="1"/>
        <v/>
      </c>
      <c r="AB278" s="62" t="str">
        <f t="shared" ca="1" si="63"/>
        <v/>
      </c>
      <c r="AC278" s="62" t="e">
        <f t="shared" ca="1" si="64"/>
        <v>#N/A</v>
      </c>
      <c r="AD278" s="62" t="e">
        <f t="shared" ca="1" si="65"/>
        <v>#N/A</v>
      </c>
      <c r="AE278" s="62" t="e">
        <f t="shared" ca="1" si="66"/>
        <v>#N/A</v>
      </c>
    </row>
    <row r="279" spans="18:31" x14ac:dyDescent="0.25">
      <c r="R279" s="92" t="str">
        <f ca="1"/>
        <v/>
      </c>
      <c r="S279" s="62" t="str">
        <f t="shared" ca="1" si="61"/>
        <v/>
      </c>
      <c r="T279" s="62" t="e">
        <f t="shared" ca="1" si="55"/>
        <v>#N/A</v>
      </c>
      <c r="U279" s="62" t="e">
        <f t="shared" ca="1" si="56"/>
        <v>#N/A</v>
      </c>
      <c r="V279" s="62" t="e">
        <f t="shared" ca="1" si="57"/>
        <v>#N/A</v>
      </c>
      <c r="W279" s="60" t="e">
        <f t="shared" ca="1" si="58"/>
        <v>#N/A</v>
      </c>
      <c r="X279" s="60" t="e">
        <f t="shared" ca="1" si="62"/>
        <v>#N/A</v>
      </c>
      <c r="Y279" s="60" t="e">
        <f t="shared" ca="1" si="59"/>
        <v>#N/A</v>
      </c>
      <c r="Z279" s="60" t="e">
        <f t="shared" ca="1" si="60"/>
        <v>#N/A</v>
      </c>
      <c r="AA279" s="92" t="str">
        <f ca="1"/>
        <v/>
      </c>
      <c r="AB279" s="62" t="str">
        <f t="shared" ca="1" si="63"/>
        <v/>
      </c>
      <c r="AC279" s="62" t="e">
        <f t="shared" ca="1" si="64"/>
        <v>#N/A</v>
      </c>
      <c r="AD279" s="62" t="e">
        <f t="shared" ca="1" si="65"/>
        <v>#N/A</v>
      </c>
      <c r="AE279" s="62" t="e">
        <f t="shared" ca="1" si="66"/>
        <v>#N/A</v>
      </c>
    </row>
    <row r="280" spans="18:31" x14ac:dyDescent="0.25">
      <c r="R280" s="92" t="str">
        <f ca="1"/>
        <v/>
      </c>
      <c r="S280" s="62" t="str">
        <f t="shared" ca="1" si="61"/>
        <v/>
      </c>
      <c r="T280" s="62" t="e">
        <f t="shared" ca="1" si="55"/>
        <v>#N/A</v>
      </c>
      <c r="U280" s="62" t="e">
        <f t="shared" ca="1" si="56"/>
        <v>#N/A</v>
      </c>
      <c r="V280" s="62" t="e">
        <f t="shared" ca="1" si="57"/>
        <v>#N/A</v>
      </c>
      <c r="W280" s="60" t="e">
        <f t="shared" ca="1" si="58"/>
        <v>#N/A</v>
      </c>
      <c r="X280" s="60" t="e">
        <f t="shared" ca="1" si="62"/>
        <v>#N/A</v>
      </c>
      <c r="Y280" s="60" t="e">
        <f t="shared" ca="1" si="59"/>
        <v>#N/A</v>
      </c>
      <c r="Z280" s="60" t="e">
        <f t="shared" ca="1" si="60"/>
        <v>#N/A</v>
      </c>
      <c r="AA280" s="92" t="str">
        <f ca="1"/>
        <v/>
      </c>
      <c r="AB280" s="62" t="str">
        <f t="shared" ca="1" si="63"/>
        <v/>
      </c>
      <c r="AC280" s="62" t="e">
        <f t="shared" ca="1" si="64"/>
        <v>#N/A</v>
      </c>
      <c r="AD280" s="62" t="e">
        <f t="shared" ca="1" si="65"/>
        <v>#N/A</v>
      </c>
      <c r="AE280" s="62" t="e">
        <f t="shared" ca="1" si="66"/>
        <v>#N/A</v>
      </c>
    </row>
    <row r="281" spans="18:31" x14ac:dyDescent="0.25">
      <c r="R281" s="92" t="str">
        <f ca="1"/>
        <v/>
      </c>
      <c r="S281" s="62" t="str">
        <f t="shared" ca="1" si="61"/>
        <v/>
      </c>
      <c r="T281" s="62" t="e">
        <f t="shared" ca="1" si="55"/>
        <v>#N/A</v>
      </c>
      <c r="U281" s="62" t="e">
        <f t="shared" ca="1" si="56"/>
        <v>#N/A</v>
      </c>
      <c r="V281" s="62" t="e">
        <f t="shared" ca="1" si="57"/>
        <v>#N/A</v>
      </c>
      <c r="W281" s="60" t="e">
        <f t="shared" ca="1" si="58"/>
        <v>#N/A</v>
      </c>
      <c r="X281" s="60" t="e">
        <f t="shared" ca="1" si="62"/>
        <v>#N/A</v>
      </c>
      <c r="Y281" s="60" t="e">
        <f t="shared" ca="1" si="59"/>
        <v>#N/A</v>
      </c>
      <c r="Z281" s="60" t="e">
        <f t="shared" ca="1" si="60"/>
        <v>#N/A</v>
      </c>
      <c r="AA281" s="92" t="str">
        <f ca="1"/>
        <v/>
      </c>
      <c r="AB281" s="62" t="str">
        <f t="shared" ca="1" si="63"/>
        <v/>
      </c>
      <c r="AC281" s="62" t="e">
        <f t="shared" ca="1" si="64"/>
        <v>#N/A</v>
      </c>
      <c r="AD281" s="62" t="e">
        <f t="shared" ca="1" si="65"/>
        <v>#N/A</v>
      </c>
      <c r="AE281" s="62" t="e">
        <f t="shared" ca="1" si="66"/>
        <v>#N/A</v>
      </c>
    </row>
    <row r="282" spans="18:31" x14ac:dyDescent="0.25">
      <c r="R282" s="92" t="str">
        <f ca="1"/>
        <v/>
      </c>
      <c r="S282" s="62" t="str">
        <f t="shared" ca="1" si="61"/>
        <v/>
      </c>
      <c r="T282" s="62" t="e">
        <f t="shared" ca="1" si="55"/>
        <v>#N/A</v>
      </c>
      <c r="U282" s="62" t="e">
        <f t="shared" ca="1" si="56"/>
        <v>#N/A</v>
      </c>
      <c r="V282" s="62" t="e">
        <f t="shared" ca="1" si="57"/>
        <v>#N/A</v>
      </c>
      <c r="W282" s="60" t="e">
        <f t="shared" ca="1" si="58"/>
        <v>#N/A</v>
      </c>
      <c r="X282" s="60" t="e">
        <f t="shared" ca="1" si="62"/>
        <v>#N/A</v>
      </c>
      <c r="Y282" s="60" t="e">
        <f t="shared" ca="1" si="59"/>
        <v>#N/A</v>
      </c>
      <c r="Z282" s="60" t="e">
        <f t="shared" ca="1" si="60"/>
        <v>#N/A</v>
      </c>
      <c r="AA282" s="92" t="str">
        <f ca="1"/>
        <v/>
      </c>
      <c r="AB282" s="62" t="str">
        <f t="shared" ca="1" si="63"/>
        <v/>
      </c>
      <c r="AC282" s="62" t="e">
        <f t="shared" ca="1" si="64"/>
        <v>#N/A</v>
      </c>
      <c r="AD282" s="62" t="e">
        <f t="shared" ca="1" si="65"/>
        <v>#N/A</v>
      </c>
      <c r="AE282" s="62" t="e">
        <f t="shared" ca="1" si="66"/>
        <v>#N/A</v>
      </c>
    </row>
    <row r="283" spans="18:31" x14ac:dyDescent="0.25">
      <c r="R283" s="92" t="str">
        <f ca="1"/>
        <v/>
      </c>
      <c r="S283" s="62" t="str">
        <f t="shared" ca="1" si="61"/>
        <v/>
      </c>
      <c r="T283" s="62" t="e">
        <f t="shared" ca="1" si="55"/>
        <v>#N/A</v>
      </c>
      <c r="U283" s="62" t="e">
        <f t="shared" ca="1" si="56"/>
        <v>#N/A</v>
      </c>
      <c r="V283" s="62" t="e">
        <f t="shared" ca="1" si="57"/>
        <v>#N/A</v>
      </c>
      <c r="W283" s="60" t="e">
        <f t="shared" ca="1" si="58"/>
        <v>#N/A</v>
      </c>
      <c r="X283" s="60" t="e">
        <f t="shared" ca="1" si="62"/>
        <v>#N/A</v>
      </c>
      <c r="Y283" s="60" t="e">
        <f t="shared" ca="1" si="59"/>
        <v>#N/A</v>
      </c>
      <c r="Z283" s="60" t="e">
        <f t="shared" ca="1" si="60"/>
        <v>#N/A</v>
      </c>
      <c r="AA283" s="92" t="str">
        <f ca="1"/>
        <v/>
      </c>
      <c r="AB283" s="62" t="str">
        <f t="shared" ca="1" si="63"/>
        <v/>
      </c>
      <c r="AC283" s="62" t="e">
        <f t="shared" ca="1" si="64"/>
        <v>#N/A</v>
      </c>
      <c r="AD283" s="62" t="e">
        <f t="shared" ca="1" si="65"/>
        <v>#N/A</v>
      </c>
      <c r="AE283" s="62" t="e">
        <f t="shared" ca="1" si="66"/>
        <v>#N/A</v>
      </c>
    </row>
    <row r="284" spans="18:31" x14ac:dyDescent="0.25">
      <c r="R284" s="92" t="str">
        <f ca="1"/>
        <v/>
      </c>
      <c r="S284" s="62" t="str">
        <f t="shared" ca="1" si="61"/>
        <v/>
      </c>
      <c r="T284" s="62" t="e">
        <f t="shared" ca="1" si="55"/>
        <v>#N/A</v>
      </c>
      <c r="U284" s="62" t="e">
        <f t="shared" ca="1" si="56"/>
        <v>#N/A</v>
      </c>
      <c r="V284" s="62" t="e">
        <f t="shared" ca="1" si="57"/>
        <v>#N/A</v>
      </c>
      <c r="W284" s="60" t="e">
        <f t="shared" ca="1" si="58"/>
        <v>#N/A</v>
      </c>
      <c r="X284" s="60" t="e">
        <f t="shared" ca="1" si="62"/>
        <v>#N/A</v>
      </c>
      <c r="Y284" s="60" t="e">
        <f t="shared" ca="1" si="59"/>
        <v>#N/A</v>
      </c>
      <c r="Z284" s="60" t="e">
        <f t="shared" ca="1" si="60"/>
        <v>#N/A</v>
      </c>
      <c r="AA284" s="92" t="str">
        <f ca="1"/>
        <v/>
      </c>
      <c r="AB284" s="62" t="str">
        <f t="shared" ca="1" si="63"/>
        <v/>
      </c>
      <c r="AC284" s="62" t="e">
        <f t="shared" ca="1" si="64"/>
        <v>#N/A</v>
      </c>
      <c r="AD284" s="62" t="e">
        <f t="shared" ca="1" si="65"/>
        <v>#N/A</v>
      </c>
      <c r="AE284" s="62" t="e">
        <f t="shared" ca="1" si="66"/>
        <v>#N/A</v>
      </c>
    </row>
    <row r="285" spans="18:31" x14ac:dyDescent="0.25">
      <c r="R285" s="92" t="str">
        <f ca="1"/>
        <v/>
      </c>
      <c r="S285" s="62" t="str">
        <f t="shared" ca="1" si="61"/>
        <v/>
      </c>
      <c r="T285" s="62" t="e">
        <f t="shared" ca="1" si="55"/>
        <v>#N/A</v>
      </c>
      <c r="U285" s="62" t="e">
        <f t="shared" ca="1" si="56"/>
        <v>#N/A</v>
      </c>
      <c r="V285" s="62" t="e">
        <f t="shared" ca="1" si="57"/>
        <v>#N/A</v>
      </c>
      <c r="W285" s="60" t="e">
        <f t="shared" ca="1" si="58"/>
        <v>#N/A</v>
      </c>
      <c r="X285" s="60" t="e">
        <f t="shared" ca="1" si="62"/>
        <v>#N/A</v>
      </c>
      <c r="Y285" s="60" t="e">
        <f t="shared" ca="1" si="59"/>
        <v>#N/A</v>
      </c>
      <c r="Z285" s="60" t="e">
        <f t="shared" ca="1" si="60"/>
        <v>#N/A</v>
      </c>
      <c r="AA285" s="92" t="str">
        <f ca="1"/>
        <v/>
      </c>
      <c r="AB285" s="62" t="str">
        <f t="shared" ca="1" si="63"/>
        <v/>
      </c>
      <c r="AC285" s="62" t="e">
        <f t="shared" ca="1" si="64"/>
        <v>#N/A</v>
      </c>
      <c r="AD285" s="62" t="e">
        <f t="shared" ca="1" si="65"/>
        <v>#N/A</v>
      </c>
      <c r="AE285" s="62" t="e">
        <f t="shared" ca="1" si="66"/>
        <v>#N/A</v>
      </c>
    </row>
    <row r="286" spans="18:31" x14ac:dyDescent="0.25">
      <c r="R286" s="92" t="str">
        <f ca="1"/>
        <v/>
      </c>
      <c r="S286" s="62" t="str">
        <f t="shared" ca="1" si="61"/>
        <v/>
      </c>
      <c r="T286" s="62" t="e">
        <f t="shared" ca="1" si="55"/>
        <v>#N/A</v>
      </c>
      <c r="U286" s="62" t="e">
        <f t="shared" ca="1" si="56"/>
        <v>#N/A</v>
      </c>
      <c r="V286" s="62" t="e">
        <f t="shared" ca="1" si="57"/>
        <v>#N/A</v>
      </c>
      <c r="W286" s="60" t="e">
        <f t="shared" ca="1" si="58"/>
        <v>#N/A</v>
      </c>
      <c r="X286" s="60" t="e">
        <f t="shared" ca="1" si="62"/>
        <v>#N/A</v>
      </c>
      <c r="Y286" s="60" t="e">
        <f t="shared" ca="1" si="59"/>
        <v>#N/A</v>
      </c>
      <c r="Z286" s="60" t="e">
        <f t="shared" ca="1" si="60"/>
        <v>#N/A</v>
      </c>
      <c r="AA286" s="92" t="str">
        <f ca="1"/>
        <v/>
      </c>
      <c r="AB286" s="62" t="str">
        <f t="shared" ca="1" si="63"/>
        <v/>
      </c>
      <c r="AC286" s="62" t="e">
        <f t="shared" ca="1" si="64"/>
        <v>#N/A</v>
      </c>
      <c r="AD286" s="62" t="e">
        <f t="shared" ca="1" si="65"/>
        <v>#N/A</v>
      </c>
      <c r="AE286" s="62" t="e">
        <f t="shared" ca="1" si="66"/>
        <v>#N/A</v>
      </c>
    </row>
    <row r="287" spans="18:31" x14ac:dyDescent="0.25">
      <c r="R287" s="92" t="str">
        <f ca="1"/>
        <v/>
      </c>
      <c r="S287" s="62" t="str">
        <f t="shared" ca="1" si="61"/>
        <v/>
      </c>
      <c r="T287" s="62" t="e">
        <f t="shared" ca="1" si="55"/>
        <v>#N/A</v>
      </c>
      <c r="U287" s="62" t="e">
        <f t="shared" ca="1" si="56"/>
        <v>#N/A</v>
      </c>
      <c r="V287" s="62" t="e">
        <f t="shared" ca="1" si="57"/>
        <v>#N/A</v>
      </c>
      <c r="W287" s="60" t="e">
        <f t="shared" ca="1" si="58"/>
        <v>#N/A</v>
      </c>
      <c r="X287" s="60" t="e">
        <f t="shared" ca="1" si="62"/>
        <v>#N/A</v>
      </c>
      <c r="Y287" s="60" t="e">
        <f t="shared" ca="1" si="59"/>
        <v>#N/A</v>
      </c>
      <c r="Z287" s="60" t="e">
        <f t="shared" ca="1" si="60"/>
        <v>#N/A</v>
      </c>
      <c r="AA287" s="92" t="str">
        <f ca="1"/>
        <v/>
      </c>
      <c r="AB287" s="62" t="str">
        <f t="shared" ca="1" si="63"/>
        <v/>
      </c>
      <c r="AC287" s="62" t="e">
        <f t="shared" ca="1" si="64"/>
        <v>#N/A</v>
      </c>
      <c r="AD287" s="62" t="e">
        <f t="shared" ca="1" si="65"/>
        <v>#N/A</v>
      </c>
      <c r="AE287" s="62" t="e">
        <f t="shared" ca="1" si="66"/>
        <v>#N/A</v>
      </c>
    </row>
    <row r="288" spans="18:31" x14ac:dyDescent="0.25">
      <c r="R288" s="92" t="str">
        <f ca="1"/>
        <v/>
      </c>
      <c r="S288" s="62" t="str">
        <f t="shared" ca="1" si="61"/>
        <v/>
      </c>
      <c r="T288" s="62" t="e">
        <f t="shared" ca="1" si="55"/>
        <v>#N/A</v>
      </c>
      <c r="U288" s="62" t="e">
        <f t="shared" ca="1" si="56"/>
        <v>#N/A</v>
      </c>
      <c r="V288" s="62" t="e">
        <f t="shared" ca="1" si="57"/>
        <v>#N/A</v>
      </c>
      <c r="W288" s="60" t="e">
        <f t="shared" ca="1" si="58"/>
        <v>#N/A</v>
      </c>
      <c r="X288" s="60" t="e">
        <f t="shared" ca="1" si="62"/>
        <v>#N/A</v>
      </c>
      <c r="Y288" s="60" t="e">
        <f t="shared" ca="1" si="59"/>
        <v>#N/A</v>
      </c>
      <c r="Z288" s="60" t="e">
        <f t="shared" ca="1" si="60"/>
        <v>#N/A</v>
      </c>
      <c r="AA288" s="92" t="str">
        <f ca="1"/>
        <v/>
      </c>
      <c r="AB288" s="62" t="str">
        <f t="shared" ca="1" si="63"/>
        <v/>
      </c>
      <c r="AC288" s="62" t="e">
        <f t="shared" ca="1" si="64"/>
        <v>#N/A</v>
      </c>
      <c r="AD288" s="62" t="e">
        <f t="shared" ca="1" si="65"/>
        <v>#N/A</v>
      </c>
      <c r="AE288" s="62" t="e">
        <f t="shared" ca="1" si="66"/>
        <v>#N/A</v>
      </c>
    </row>
    <row r="289" spans="18:31" x14ac:dyDescent="0.25">
      <c r="R289" s="92" t="str">
        <f ca="1"/>
        <v/>
      </c>
      <c r="S289" s="62" t="str">
        <f t="shared" ca="1" si="61"/>
        <v/>
      </c>
      <c r="T289" s="62" t="e">
        <f t="shared" ca="1" si="55"/>
        <v>#N/A</v>
      </c>
      <c r="U289" s="62" t="e">
        <f t="shared" ca="1" si="56"/>
        <v>#N/A</v>
      </c>
      <c r="V289" s="62" t="e">
        <f t="shared" ca="1" si="57"/>
        <v>#N/A</v>
      </c>
      <c r="W289" s="60" t="e">
        <f t="shared" ca="1" si="58"/>
        <v>#N/A</v>
      </c>
      <c r="X289" s="60" t="e">
        <f t="shared" ca="1" si="62"/>
        <v>#N/A</v>
      </c>
      <c r="Y289" s="60" t="e">
        <f t="shared" ca="1" si="59"/>
        <v>#N/A</v>
      </c>
      <c r="Z289" s="60" t="e">
        <f t="shared" ca="1" si="60"/>
        <v>#N/A</v>
      </c>
      <c r="AA289" s="92" t="str">
        <f ca="1"/>
        <v/>
      </c>
      <c r="AB289" s="62" t="str">
        <f t="shared" ca="1" si="63"/>
        <v/>
      </c>
      <c r="AC289" s="62" t="e">
        <f t="shared" ca="1" si="64"/>
        <v>#N/A</v>
      </c>
      <c r="AD289" s="62" t="e">
        <f t="shared" ca="1" si="65"/>
        <v>#N/A</v>
      </c>
      <c r="AE289" s="62" t="e">
        <f t="shared" ca="1" si="66"/>
        <v>#N/A</v>
      </c>
    </row>
    <row r="290" spans="18:31" x14ac:dyDescent="0.25">
      <c r="R290" s="92" t="str">
        <f ca="1"/>
        <v/>
      </c>
      <c r="S290" s="62" t="str">
        <f t="shared" ca="1" si="61"/>
        <v/>
      </c>
      <c r="T290" s="62" t="e">
        <f t="shared" ca="1" si="55"/>
        <v>#N/A</v>
      </c>
      <c r="U290" s="62" t="e">
        <f t="shared" ca="1" si="56"/>
        <v>#N/A</v>
      </c>
      <c r="V290" s="62" t="e">
        <f t="shared" ca="1" si="57"/>
        <v>#N/A</v>
      </c>
      <c r="W290" s="60" t="e">
        <f t="shared" ca="1" si="58"/>
        <v>#N/A</v>
      </c>
      <c r="X290" s="60" t="e">
        <f t="shared" ca="1" si="62"/>
        <v>#N/A</v>
      </c>
      <c r="Y290" s="60" t="e">
        <f t="shared" ca="1" si="59"/>
        <v>#N/A</v>
      </c>
      <c r="Z290" s="60" t="e">
        <f t="shared" ca="1" si="60"/>
        <v>#N/A</v>
      </c>
      <c r="AA290" s="92" t="str">
        <f ca="1"/>
        <v/>
      </c>
      <c r="AB290" s="62" t="str">
        <f t="shared" ca="1" si="63"/>
        <v/>
      </c>
      <c r="AC290" s="62" t="e">
        <f t="shared" ca="1" si="64"/>
        <v>#N/A</v>
      </c>
      <c r="AD290" s="62" t="e">
        <f t="shared" ca="1" si="65"/>
        <v>#N/A</v>
      </c>
      <c r="AE290" s="62" t="e">
        <f t="shared" ca="1" si="66"/>
        <v>#N/A</v>
      </c>
    </row>
    <row r="291" spans="18:31" x14ac:dyDescent="0.25">
      <c r="R291" s="92" t="str">
        <f ca="1"/>
        <v/>
      </c>
      <c r="S291" s="62" t="str">
        <f t="shared" ca="1" si="61"/>
        <v/>
      </c>
      <c r="T291" s="62" t="e">
        <f t="shared" ca="1" si="55"/>
        <v>#N/A</v>
      </c>
      <c r="U291" s="62" t="e">
        <f t="shared" ca="1" si="56"/>
        <v>#N/A</v>
      </c>
      <c r="V291" s="62" t="e">
        <f t="shared" ca="1" si="57"/>
        <v>#N/A</v>
      </c>
      <c r="W291" s="60" t="e">
        <f t="shared" ca="1" si="58"/>
        <v>#N/A</v>
      </c>
      <c r="X291" s="60" t="e">
        <f t="shared" ca="1" si="62"/>
        <v>#N/A</v>
      </c>
      <c r="Y291" s="60" t="e">
        <f t="shared" ca="1" si="59"/>
        <v>#N/A</v>
      </c>
      <c r="Z291" s="60" t="e">
        <f t="shared" ca="1" si="60"/>
        <v>#N/A</v>
      </c>
      <c r="AA291" s="92" t="str">
        <f ca="1"/>
        <v/>
      </c>
      <c r="AB291" s="62" t="str">
        <f t="shared" ca="1" si="63"/>
        <v/>
      </c>
      <c r="AC291" s="62" t="e">
        <f t="shared" ca="1" si="64"/>
        <v>#N/A</v>
      </c>
      <c r="AD291" s="62" t="e">
        <f t="shared" ca="1" si="65"/>
        <v>#N/A</v>
      </c>
      <c r="AE291" s="62" t="e">
        <f t="shared" ca="1" si="66"/>
        <v>#N/A</v>
      </c>
    </row>
    <row r="292" spans="18:31" x14ac:dyDescent="0.25">
      <c r="R292" s="92" t="str">
        <f ca="1"/>
        <v/>
      </c>
      <c r="S292" s="62" t="str">
        <f t="shared" ca="1" si="61"/>
        <v/>
      </c>
      <c r="T292" s="62" t="e">
        <f t="shared" ca="1" si="55"/>
        <v>#N/A</v>
      </c>
      <c r="U292" s="62" t="e">
        <f t="shared" ca="1" si="56"/>
        <v>#N/A</v>
      </c>
      <c r="V292" s="62" t="e">
        <f t="shared" ca="1" si="57"/>
        <v>#N/A</v>
      </c>
      <c r="W292" s="60" t="e">
        <f t="shared" ca="1" si="58"/>
        <v>#N/A</v>
      </c>
      <c r="X292" s="60" t="e">
        <f t="shared" ca="1" si="62"/>
        <v>#N/A</v>
      </c>
      <c r="Y292" s="60" t="e">
        <f t="shared" ca="1" si="59"/>
        <v>#N/A</v>
      </c>
      <c r="Z292" s="60" t="e">
        <f t="shared" ca="1" si="60"/>
        <v>#N/A</v>
      </c>
      <c r="AA292" s="92" t="str">
        <f ca="1"/>
        <v/>
      </c>
      <c r="AB292" s="62" t="str">
        <f t="shared" ca="1" si="63"/>
        <v/>
      </c>
      <c r="AC292" s="62" t="e">
        <f t="shared" ca="1" si="64"/>
        <v>#N/A</v>
      </c>
      <c r="AD292" s="62" t="e">
        <f t="shared" ca="1" si="65"/>
        <v>#N/A</v>
      </c>
      <c r="AE292" s="62" t="e">
        <f t="shared" ca="1" si="66"/>
        <v>#N/A</v>
      </c>
    </row>
    <row r="293" spans="18:31" x14ac:dyDescent="0.25">
      <c r="R293" s="92" t="str">
        <f ca="1"/>
        <v/>
      </c>
      <c r="S293" s="62" t="str">
        <f t="shared" ca="1" si="61"/>
        <v/>
      </c>
      <c r="T293" s="62" t="e">
        <f t="shared" ca="1" si="55"/>
        <v>#N/A</v>
      </c>
      <c r="U293" s="62" t="e">
        <f t="shared" ca="1" si="56"/>
        <v>#N/A</v>
      </c>
      <c r="V293" s="62" t="e">
        <f t="shared" ca="1" si="57"/>
        <v>#N/A</v>
      </c>
      <c r="W293" s="60" t="e">
        <f t="shared" ca="1" si="58"/>
        <v>#N/A</v>
      </c>
      <c r="X293" s="60" t="e">
        <f t="shared" ca="1" si="62"/>
        <v>#N/A</v>
      </c>
      <c r="Y293" s="60" t="e">
        <f t="shared" ca="1" si="59"/>
        <v>#N/A</v>
      </c>
      <c r="Z293" s="60" t="e">
        <f t="shared" ca="1" si="60"/>
        <v>#N/A</v>
      </c>
      <c r="AA293" s="92" t="str">
        <f ca="1"/>
        <v/>
      </c>
      <c r="AB293" s="62" t="str">
        <f t="shared" ca="1" si="63"/>
        <v/>
      </c>
      <c r="AC293" s="62" t="e">
        <f t="shared" ca="1" si="64"/>
        <v>#N/A</v>
      </c>
      <c r="AD293" s="62" t="e">
        <f t="shared" ca="1" si="65"/>
        <v>#N/A</v>
      </c>
      <c r="AE293" s="62" t="e">
        <f t="shared" ca="1" si="66"/>
        <v>#N/A</v>
      </c>
    </row>
    <row r="294" spans="18:31" x14ac:dyDescent="0.25">
      <c r="R294" s="92" t="str">
        <f ca="1"/>
        <v/>
      </c>
      <c r="S294" s="62" t="str">
        <f t="shared" ca="1" si="61"/>
        <v/>
      </c>
      <c r="T294" s="62" t="e">
        <f t="shared" ca="1" si="55"/>
        <v>#N/A</v>
      </c>
      <c r="U294" s="62" t="e">
        <f t="shared" ca="1" si="56"/>
        <v>#N/A</v>
      </c>
      <c r="V294" s="62" t="e">
        <f t="shared" ca="1" si="57"/>
        <v>#N/A</v>
      </c>
      <c r="W294" s="60" t="e">
        <f t="shared" ca="1" si="58"/>
        <v>#N/A</v>
      </c>
      <c r="X294" s="60" t="e">
        <f t="shared" ca="1" si="62"/>
        <v>#N/A</v>
      </c>
      <c r="Y294" s="60" t="e">
        <f t="shared" ca="1" si="59"/>
        <v>#N/A</v>
      </c>
      <c r="Z294" s="60" t="e">
        <f t="shared" ca="1" si="60"/>
        <v>#N/A</v>
      </c>
      <c r="AA294" s="92" t="str">
        <f ca="1"/>
        <v/>
      </c>
      <c r="AB294" s="62" t="str">
        <f t="shared" ca="1" si="63"/>
        <v/>
      </c>
      <c r="AC294" s="62" t="e">
        <f t="shared" ca="1" si="64"/>
        <v>#N/A</v>
      </c>
      <c r="AD294" s="62" t="e">
        <f t="shared" ca="1" si="65"/>
        <v>#N/A</v>
      </c>
      <c r="AE294" s="62" t="e">
        <f t="shared" ca="1" si="66"/>
        <v>#N/A</v>
      </c>
    </row>
    <row r="295" spans="18:31" x14ac:dyDescent="0.25">
      <c r="R295" s="92" t="str">
        <f ca="1"/>
        <v/>
      </c>
      <c r="S295" s="62" t="str">
        <f t="shared" ca="1" si="61"/>
        <v/>
      </c>
      <c r="T295" s="62" t="e">
        <f t="shared" ca="1" si="55"/>
        <v>#N/A</v>
      </c>
      <c r="U295" s="62" t="e">
        <f t="shared" ca="1" si="56"/>
        <v>#N/A</v>
      </c>
      <c r="V295" s="62" t="e">
        <f t="shared" ca="1" si="57"/>
        <v>#N/A</v>
      </c>
      <c r="W295" s="60" t="e">
        <f t="shared" ca="1" si="58"/>
        <v>#N/A</v>
      </c>
      <c r="X295" s="60" t="e">
        <f t="shared" ca="1" si="62"/>
        <v>#N/A</v>
      </c>
      <c r="Y295" s="60" t="e">
        <f t="shared" ca="1" si="59"/>
        <v>#N/A</v>
      </c>
      <c r="Z295" s="60" t="e">
        <f t="shared" ca="1" si="60"/>
        <v>#N/A</v>
      </c>
      <c r="AA295" s="92" t="str">
        <f ca="1"/>
        <v/>
      </c>
      <c r="AB295" s="62" t="str">
        <f t="shared" ca="1" si="63"/>
        <v/>
      </c>
      <c r="AC295" s="62" t="e">
        <f t="shared" ca="1" si="64"/>
        <v>#N/A</v>
      </c>
      <c r="AD295" s="62" t="e">
        <f t="shared" ca="1" si="65"/>
        <v>#N/A</v>
      </c>
      <c r="AE295" s="62" t="e">
        <f t="shared" ca="1" si="66"/>
        <v>#N/A</v>
      </c>
    </row>
    <row r="296" spans="18:31" x14ac:dyDescent="0.25">
      <c r="R296" s="92" t="str">
        <f ca="1"/>
        <v/>
      </c>
      <c r="S296" s="62" t="str">
        <f t="shared" ca="1" si="61"/>
        <v/>
      </c>
      <c r="T296" s="62" t="e">
        <f t="shared" ca="1" si="55"/>
        <v>#N/A</v>
      </c>
      <c r="U296" s="62" t="e">
        <f t="shared" ca="1" si="56"/>
        <v>#N/A</v>
      </c>
      <c r="V296" s="62" t="e">
        <f t="shared" ca="1" si="57"/>
        <v>#N/A</v>
      </c>
      <c r="W296" s="60" t="e">
        <f t="shared" ca="1" si="58"/>
        <v>#N/A</v>
      </c>
      <c r="X296" s="60" t="e">
        <f t="shared" ca="1" si="62"/>
        <v>#N/A</v>
      </c>
      <c r="Y296" s="60" t="e">
        <f t="shared" ca="1" si="59"/>
        <v>#N/A</v>
      </c>
      <c r="Z296" s="60" t="e">
        <f t="shared" ca="1" si="60"/>
        <v>#N/A</v>
      </c>
      <c r="AA296" s="92" t="str">
        <f ca="1"/>
        <v/>
      </c>
      <c r="AB296" s="62" t="str">
        <f t="shared" ca="1" si="63"/>
        <v/>
      </c>
      <c r="AC296" s="62" t="e">
        <f t="shared" ca="1" si="64"/>
        <v>#N/A</v>
      </c>
      <c r="AD296" s="62" t="e">
        <f t="shared" ca="1" si="65"/>
        <v>#N/A</v>
      </c>
      <c r="AE296" s="62" t="e">
        <f t="shared" ca="1" si="66"/>
        <v>#N/A</v>
      </c>
    </row>
    <row r="297" spans="18:31" x14ac:dyDescent="0.25">
      <c r="R297" s="92" t="str">
        <f ca="1"/>
        <v/>
      </c>
      <c r="S297" s="62" t="str">
        <f t="shared" ca="1" si="61"/>
        <v/>
      </c>
      <c r="T297" s="62" t="e">
        <f t="shared" ca="1" si="55"/>
        <v>#N/A</v>
      </c>
      <c r="U297" s="62" t="e">
        <f t="shared" ca="1" si="56"/>
        <v>#N/A</v>
      </c>
      <c r="V297" s="62" t="e">
        <f t="shared" ca="1" si="57"/>
        <v>#N/A</v>
      </c>
      <c r="W297" s="60" t="e">
        <f t="shared" ca="1" si="58"/>
        <v>#N/A</v>
      </c>
      <c r="X297" s="60" t="e">
        <f t="shared" ca="1" si="62"/>
        <v>#N/A</v>
      </c>
      <c r="Y297" s="60" t="e">
        <f t="shared" ca="1" si="59"/>
        <v>#N/A</v>
      </c>
      <c r="Z297" s="60" t="e">
        <f t="shared" ca="1" si="60"/>
        <v>#N/A</v>
      </c>
      <c r="AA297" s="92" t="str">
        <f ca="1"/>
        <v/>
      </c>
      <c r="AB297" s="62" t="str">
        <f t="shared" ca="1" si="63"/>
        <v/>
      </c>
      <c r="AC297" s="62" t="e">
        <f t="shared" ca="1" si="64"/>
        <v>#N/A</v>
      </c>
      <c r="AD297" s="62" t="e">
        <f t="shared" ca="1" si="65"/>
        <v>#N/A</v>
      </c>
      <c r="AE297" s="62" t="e">
        <f t="shared" ca="1" si="66"/>
        <v>#N/A</v>
      </c>
    </row>
    <row r="298" spans="18:31" x14ac:dyDescent="0.25">
      <c r="R298" s="92" t="str">
        <f ca="1"/>
        <v/>
      </c>
      <c r="S298" s="62" t="str">
        <f t="shared" ca="1" si="61"/>
        <v/>
      </c>
      <c r="T298" s="62" t="e">
        <f t="shared" ca="1" si="55"/>
        <v>#N/A</v>
      </c>
      <c r="U298" s="62" t="e">
        <f t="shared" ca="1" si="56"/>
        <v>#N/A</v>
      </c>
      <c r="V298" s="62" t="e">
        <f t="shared" ca="1" si="57"/>
        <v>#N/A</v>
      </c>
      <c r="W298" s="60" t="e">
        <f t="shared" ca="1" si="58"/>
        <v>#N/A</v>
      </c>
      <c r="X298" s="60" t="e">
        <f t="shared" ca="1" si="62"/>
        <v>#N/A</v>
      </c>
      <c r="Y298" s="60" t="e">
        <f t="shared" ca="1" si="59"/>
        <v>#N/A</v>
      </c>
      <c r="Z298" s="60" t="e">
        <f t="shared" ca="1" si="60"/>
        <v>#N/A</v>
      </c>
      <c r="AA298" s="92" t="str">
        <f ca="1"/>
        <v/>
      </c>
      <c r="AB298" s="62" t="str">
        <f t="shared" ca="1" si="63"/>
        <v/>
      </c>
      <c r="AC298" s="62" t="e">
        <f t="shared" ca="1" si="64"/>
        <v>#N/A</v>
      </c>
      <c r="AD298" s="62" t="e">
        <f t="shared" ca="1" si="65"/>
        <v>#N/A</v>
      </c>
      <c r="AE298" s="62" t="e">
        <f t="shared" ca="1" si="66"/>
        <v>#N/A</v>
      </c>
    </row>
    <row r="299" spans="18:31" x14ac:dyDescent="0.25">
      <c r="R299" s="92" t="str">
        <f ca="1"/>
        <v/>
      </c>
      <c r="S299" s="62" t="str">
        <f t="shared" ca="1" si="61"/>
        <v/>
      </c>
      <c r="T299" s="62" t="e">
        <f t="shared" ca="1" si="55"/>
        <v>#N/A</v>
      </c>
      <c r="U299" s="62" t="e">
        <f t="shared" ca="1" si="56"/>
        <v>#N/A</v>
      </c>
      <c r="V299" s="62" t="e">
        <f t="shared" ca="1" si="57"/>
        <v>#N/A</v>
      </c>
      <c r="W299" s="60" t="e">
        <f t="shared" ca="1" si="58"/>
        <v>#N/A</v>
      </c>
      <c r="X299" s="60" t="e">
        <f t="shared" ca="1" si="62"/>
        <v>#N/A</v>
      </c>
      <c r="Y299" s="60" t="e">
        <f t="shared" ca="1" si="59"/>
        <v>#N/A</v>
      </c>
      <c r="Z299" s="60" t="e">
        <f t="shared" ca="1" si="60"/>
        <v>#N/A</v>
      </c>
      <c r="AA299" s="92" t="str">
        <f ca="1"/>
        <v/>
      </c>
      <c r="AB299" s="62" t="str">
        <f t="shared" ca="1" si="63"/>
        <v/>
      </c>
      <c r="AC299" s="62" t="e">
        <f t="shared" ca="1" si="64"/>
        <v>#N/A</v>
      </c>
      <c r="AD299" s="62" t="e">
        <f t="shared" ca="1" si="65"/>
        <v>#N/A</v>
      </c>
      <c r="AE299" s="62" t="e">
        <f t="shared" ca="1" si="66"/>
        <v>#N/A</v>
      </c>
    </row>
    <row r="300" spans="18:31" x14ac:dyDescent="0.25">
      <c r="R300" s="92" t="str">
        <f ca="1"/>
        <v/>
      </c>
      <c r="S300" s="62" t="str">
        <f t="shared" ca="1" si="61"/>
        <v/>
      </c>
      <c r="T300" s="62" t="e">
        <f t="shared" ca="1" si="55"/>
        <v>#N/A</v>
      </c>
      <c r="U300" s="62" t="e">
        <f t="shared" ca="1" si="56"/>
        <v>#N/A</v>
      </c>
      <c r="V300" s="62" t="e">
        <f t="shared" ca="1" si="57"/>
        <v>#N/A</v>
      </c>
      <c r="W300" s="60" t="e">
        <f t="shared" ca="1" si="58"/>
        <v>#N/A</v>
      </c>
      <c r="X300" s="60" t="e">
        <f t="shared" ca="1" si="62"/>
        <v>#N/A</v>
      </c>
      <c r="Y300" s="60" t="e">
        <f t="shared" ca="1" si="59"/>
        <v>#N/A</v>
      </c>
      <c r="Z300" s="60" t="e">
        <f t="shared" ca="1" si="60"/>
        <v>#N/A</v>
      </c>
      <c r="AA300" s="92" t="str">
        <f ca="1"/>
        <v/>
      </c>
      <c r="AB300" s="62" t="str">
        <f t="shared" ca="1" si="63"/>
        <v/>
      </c>
      <c r="AC300" s="62" t="e">
        <f t="shared" ca="1" si="64"/>
        <v>#N/A</v>
      </c>
      <c r="AD300" s="62" t="e">
        <f t="shared" ca="1" si="65"/>
        <v>#N/A</v>
      </c>
      <c r="AE300" s="62" t="e">
        <f t="shared" ca="1" si="66"/>
        <v>#N/A</v>
      </c>
    </row>
    <row r="301" spans="18:31" x14ac:dyDescent="0.25">
      <c r="R301" s="92" t="str">
        <f ca="1"/>
        <v/>
      </c>
      <c r="S301" s="62" t="str">
        <f t="shared" ca="1" si="61"/>
        <v/>
      </c>
      <c r="T301" s="62" t="e">
        <f t="shared" ca="1" si="55"/>
        <v>#N/A</v>
      </c>
      <c r="U301" s="62" t="e">
        <f t="shared" ca="1" si="56"/>
        <v>#N/A</v>
      </c>
      <c r="V301" s="62" t="e">
        <f t="shared" ca="1" si="57"/>
        <v>#N/A</v>
      </c>
      <c r="W301" s="60" t="e">
        <f t="shared" ca="1" si="58"/>
        <v>#N/A</v>
      </c>
      <c r="X301" s="60" t="e">
        <f t="shared" ca="1" si="62"/>
        <v>#N/A</v>
      </c>
      <c r="Y301" s="60" t="e">
        <f t="shared" ca="1" si="59"/>
        <v>#N/A</v>
      </c>
      <c r="Z301" s="60" t="e">
        <f t="shared" ca="1" si="60"/>
        <v>#N/A</v>
      </c>
      <c r="AA301" s="92" t="str">
        <f ca="1"/>
        <v/>
      </c>
      <c r="AB301" s="62" t="str">
        <f t="shared" ca="1" si="63"/>
        <v/>
      </c>
      <c r="AC301" s="62" t="e">
        <f t="shared" ca="1" si="64"/>
        <v>#N/A</v>
      </c>
      <c r="AD301" s="62" t="e">
        <f t="shared" ca="1" si="65"/>
        <v>#N/A</v>
      </c>
      <c r="AE301" s="62" t="e">
        <f t="shared" ca="1" si="66"/>
        <v>#N/A</v>
      </c>
    </row>
    <row r="302" spans="18:31" x14ac:dyDescent="0.25">
      <c r="R302" s="92" t="str">
        <f ca="1"/>
        <v/>
      </c>
      <c r="S302" s="62" t="str">
        <f t="shared" ca="1" si="61"/>
        <v/>
      </c>
      <c r="T302" s="62" t="e">
        <f t="shared" ca="1" si="55"/>
        <v>#N/A</v>
      </c>
      <c r="U302" s="62" t="e">
        <f t="shared" ca="1" si="56"/>
        <v>#N/A</v>
      </c>
      <c r="V302" s="62" t="e">
        <f t="shared" ca="1" si="57"/>
        <v>#N/A</v>
      </c>
      <c r="W302" s="60" t="e">
        <f t="shared" ca="1" si="58"/>
        <v>#N/A</v>
      </c>
      <c r="X302" s="60" t="e">
        <f t="shared" ca="1" si="62"/>
        <v>#N/A</v>
      </c>
      <c r="Y302" s="60" t="e">
        <f t="shared" ca="1" si="59"/>
        <v>#N/A</v>
      </c>
      <c r="Z302" s="60" t="e">
        <f t="shared" ca="1" si="60"/>
        <v>#N/A</v>
      </c>
      <c r="AA302" s="92" t="str">
        <f ca="1"/>
        <v/>
      </c>
      <c r="AB302" s="62" t="str">
        <f t="shared" ca="1" si="63"/>
        <v/>
      </c>
      <c r="AC302" s="62" t="e">
        <f t="shared" ca="1" si="64"/>
        <v>#N/A</v>
      </c>
      <c r="AD302" s="62" t="e">
        <f t="shared" ca="1" si="65"/>
        <v>#N/A</v>
      </c>
      <c r="AE302" s="62" t="e">
        <f t="shared" ca="1" si="66"/>
        <v>#N/A</v>
      </c>
    </row>
    <row r="303" spans="18:31" x14ac:dyDescent="0.25">
      <c r="R303" s="92" t="str">
        <f ca="1"/>
        <v/>
      </c>
      <c r="S303" s="62" t="str">
        <f t="shared" ca="1" si="61"/>
        <v/>
      </c>
      <c r="T303" s="62" t="e">
        <f t="shared" ca="1" si="55"/>
        <v>#N/A</v>
      </c>
      <c r="U303" s="62" t="e">
        <f t="shared" ca="1" si="56"/>
        <v>#N/A</v>
      </c>
      <c r="V303" s="62" t="e">
        <f t="shared" ca="1" si="57"/>
        <v>#N/A</v>
      </c>
      <c r="W303" s="60" t="e">
        <f t="shared" ca="1" si="58"/>
        <v>#N/A</v>
      </c>
      <c r="X303" s="60" t="e">
        <f t="shared" ca="1" si="62"/>
        <v>#N/A</v>
      </c>
      <c r="Y303" s="60" t="e">
        <f t="shared" ca="1" si="59"/>
        <v>#N/A</v>
      </c>
      <c r="Z303" s="60" t="e">
        <f t="shared" ca="1" si="60"/>
        <v>#N/A</v>
      </c>
      <c r="AA303" s="92" t="str">
        <f ca="1"/>
        <v/>
      </c>
      <c r="AB303" s="62" t="str">
        <f t="shared" ca="1" si="63"/>
        <v/>
      </c>
      <c r="AC303" s="62" t="e">
        <f t="shared" ca="1" si="64"/>
        <v>#N/A</v>
      </c>
      <c r="AD303" s="62" t="e">
        <f t="shared" ca="1" si="65"/>
        <v>#N/A</v>
      </c>
      <c r="AE303" s="62" t="e">
        <f t="shared" ca="1" si="66"/>
        <v>#N/A</v>
      </c>
    </row>
    <row r="304" spans="18:31" x14ac:dyDescent="0.25">
      <c r="R304" s="92" t="str">
        <f ca="1"/>
        <v/>
      </c>
      <c r="S304" s="62" t="str">
        <f t="shared" ca="1" si="61"/>
        <v/>
      </c>
      <c r="T304" s="62" t="e">
        <f t="shared" ca="1" si="55"/>
        <v>#N/A</v>
      </c>
      <c r="U304" s="62" t="e">
        <f t="shared" ca="1" si="56"/>
        <v>#N/A</v>
      </c>
      <c r="V304" s="62" t="e">
        <f t="shared" ca="1" si="57"/>
        <v>#N/A</v>
      </c>
      <c r="W304" s="60" t="e">
        <f t="shared" ca="1" si="58"/>
        <v>#N/A</v>
      </c>
      <c r="X304" s="60" t="e">
        <f t="shared" ca="1" si="62"/>
        <v>#N/A</v>
      </c>
      <c r="Y304" s="60" t="e">
        <f t="shared" ca="1" si="59"/>
        <v>#N/A</v>
      </c>
      <c r="Z304" s="60" t="e">
        <f t="shared" ca="1" si="60"/>
        <v>#N/A</v>
      </c>
      <c r="AA304" s="92" t="str">
        <f ca="1"/>
        <v/>
      </c>
      <c r="AB304" s="62" t="str">
        <f t="shared" ca="1" si="63"/>
        <v/>
      </c>
      <c r="AC304" s="62" t="e">
        <f t="shared" ca="1" si="64"/>
        <v>#N/A</v>
      </c>
      <c r="AD304" s="62" t="e">
        <f t="shared" ca="1" si="65"/>
        <v>#N/A</v>
      </c>
      <c r="AE304" s="62" t="e">
        <f t="shared" ca="1" si="66"/>
        <v>#N/A</v>
      </c>
    </row>
    <row r="305" spans="18:31" x14ac:dyDescent="0.25">
      <c r="R305" s="92" t="str">
        <f ca="1"/>
        <v/>
      </c>
      <c r="S305" s="62" t="str">
        <f t="shared" ca="1" si="61"/>
        <v/>
      </c>
      <c r="T305" s="62" t="e">
        <f t="shared" ca="1" si="55"/>
        <v>#N/A</v>
      </c>
      <c r="U305" s="62" t="e">
        <f t="shared" ca="1" si="56"/>
        <v>#N/A</v>
      </c>
      <c r="V305" s="62" t="e">
        <f t="shared" ca="1" si="57"/>
        <v>#N/A</v>
      </c>
      <c r="W305" s="60" t="e">
        <f t="shared" ca="1" si="58"/>
        <v>#N/A</v>
      </c>
      <c r="X305" s="60" t="e">
        <f t="shared" ca="1" si="62"/>
        <v>#N/A</v>
      </c>
      <c r="Y305" s="60" t="e">
        <f t="shared" ca="1" si="59"/>
        <v>#N/A</v>
      </c>
      <c r="Z305" s="60" t="e">
        <f t="shared" ca="1" si="60"/>
        <v>#N/A</v>
      </c>
      <c r="AA305" s="92" t="str">
        <f ca="1"/>
        <v/>
      </c>
      <c r="AB305" s="62" t="str">
        <f t="shared" ca="1" si="63"/>
        <v/>
      </c>
      <c r="AC305" s="62" t="e">
        <f t="shared" ca="1" si="64"/>
        <v>#N/A</v>
      </c>
      <c r="AD305" s="62" t="e">
        <f t="shared" ca="1" si="65"/>
        <v>#N/A</v>
      </c>
      <c r="AE305" s="62" t="e">
        <f t="shared" ca="1" si="66"/>
        <v>#N/A</v>
      </c>
    </row>
    <row r="306" spans="18:31" x14ac:dyDescent="0.25">
      <c r="R306" s="92" t="str">
        <f ca="1"/>
        <v/>
      </c>
      <c r="S306" s="62" t="str">
        <f t="shared" ca="1" si="61"/>
        <v/>
      </c>
      <c r="T306" s="62" t="e">
        <f t="shared" ca="1" si="55"/>
        <v>#N/A</v>
      </c>
      <c r="U306" s="62" t="e">
        <f t="shared" ca="1" si="56"/>
        <v>#N/A</v>
      </c>
      <c r="V306" s="62" t="e">
        <f t="shared" ca="1" si="57"/>
        <v>#N/A</v>
      </c>
      <c r="W306" s="60" t="e">
        <f t="shared" ca="1" si="58"/>
        <v>#N/A</v>
      </c>
      <c r="X306" s="60" t="e">
        <f t="shared" ca="1" si="62"/>
        <v>#N/A</v>
      </c>
      <c r="Y306" s="60" t="e">
        <f t="shared" ca="1" si="59"/>
        <v>#N/A</v>
      </c>
      <c r="Z306" s="60" t="e">
        <f t="shared" ca="1" si="60"/>
        <v>#N/A</v>
      </c>
      <c r="AA306" s="92" t="str">
        <f ca="1"/>
        <v/>
      </c>
      <c r="AB306" s="62" t="str">
        <f t="shared" ca="1" si="63"/>
        <v/>
      </c>
      <c r="AC306" s="62" t="e">
        <f t="shared" ca="1" si="64"/>
        <v>#N/A</v>
      </c>
      <c r="AD306" s="62" t="e">
        <f t="shared" ca="1" si="65"/>
        <v>#N/A</v>
      </c>
      <c r="AE306" s="62" t="e">
        <f t="shared" ca="1" si="66"/>
        <v>#N/A</v>
      </c>
    </row>
    <row r="307" spans="18:31" x14ac:dyDescent="0.25">
      <c r="R307" s="92" t="str">
        <f ca="1"/>
        <v/>
      </c>
      <c r="S307" s="62" t="str">
        <f t="shared" ca="1" si="61"/>
        <v/>
      </c>
      <c r="T307" s="62" t="e">
        <f t="shared" ca="1" si="55"/>
        <v>#N/A</v>
      </c>
      <c r="U307" s="62" t="e">
        <f t="shared" ca="1" si="56"/>
        <v>#N/A</v>
      </c>
      <c r="V307" s="62" t="e">
        <f t="shared" ca="1" si="57"/>
        <v>#N/A</v>
      </c>
      <c r="W307" s="60" t="e">
        <f t="shared" ca="1" si="58"/>
        <v>#N/A</v>
      </c>
      <c r="X307" s="60" t="e">
        <f t="shared" ca="1" si="62"/>
        <v>#N/A</v>
      </c>
      <c r="Y307" s="60" t="e">
        <f t="shared" ca="1" si="59"/>
        <v>#N/A</v>
      </c>
      <c r="Z307" s="60" t="e">
        <f t="shared" ca="1" si="60"/>
        <v>#N/A</v>
      </c>
      <c r="AA307" s="92" t="str">
        <f ca="1"/>
        <v/>
      </c>
      <c r="AB307" s="62" t="str">
        <f t="shared" ca="1" si="63"/>
        <v/>
      </c>
      <c r="AC307" s="62" t="e">
        <f t="shared" ca="1" si="64"/>
        <v>#N/A</v>
      </c>
      <c r="AD307" s="62" t="e">
        <f t="shared" ca="1" si="65"/>
        <v>#N/A</v>
      </c>
      <c r="AE307" s="62" t="e">
        <f t="shared" ca="1" si="66"/>
        <v>#N/A</v>
      </c>
    </row>
    <row r="308" spans="18:31" x14ac:dyDescent="0.25">
      <c r="R308" s="92" t="str">
        <f ca="1"/>
        <v/>
      </c>
      <c r="S308" s="62" t="str">
        <f t="shared" ca="1" si="61"/>
        <v/>
      </c>
      <c r="T308" s="62" t="e">
        <f t="shared" ca="1" si="55"/>
        <v>#N/A</v>
      </c>
      <c r="U308" s="62" t="e">
        <f t="shared" ca="1" si="56"/>
        <v>#N/A</v>
      </c>
      <c r="V308" s="62" t="e">
        <f t="shared" ca="1" si="57"/>
        <v>#N/A</v>
      </c>
      <c r="W308" s="60" t="e">
        <f t="shared" ca="1" si="58"/>
        <v>#N/A</v>
      </c>
      <c r="X308" s="60" t="e">
        <f t="shared" ca="1" si="62"/>
        <v>#N/A</v>
      </c>
      <c r="Y308" s="60" t="e">
        <f t="shared" ca="1" si="59"/>
        <v>#N/A</v>
      </c>
      <c r="Z308" s="60" t="e">
        <f t="shared" ca="1" si="60"/>
        <v>#N/A</v>
      </c>
      <c r="AA308" s="92" t="str">
        <f ca="1"/>
        <v/>
      </c>
      <c r="AB308" s="62" t="str">
        <f t="shared" ca="1" si="63"/>
        <v/>
      </c>
      <c r="AC308" s="62" t="e">
        <f t="shared" ca="1" si="64"/>
        <v>#N/A</v>
      </c>
      <c r="AD308" s="62" t="e">
        <f t="shared" ca="1" si="65"/>
        <v>#N/A</v>
      </c>
      <c r="AE308" s="62" t="e">
        <f t="shared" ca="1" si="66"/>
        <v>#N/A</v>
      </c>
    </row>
    <row r="309" spans="18:31" x14ac:dyDescent="0.25">
      <c r="R309" s="92" t="str">
        <f ca="1"/>
        <v/>
      </c>
      <c r="S309" s="62" t="str">
        <f t="shared" ca="1" si="61"/>
        <v/>
      </c>
      <c r="T309" s="62" t="e">
        <f t="shared" ca="1" si="55"/>
        <v>#N/A</v>
      </c>
      <c r="U309" s="62" t="e">
        <f t="shared" ca="1" si="56"/>
        <v>#N/A</v>
      </c>
      <c r="V309" s="62" t="e">
        <f t="shared" ca="1" si="57"/>
        <v>#N/A</v>
      </c>
      <c r="W309" s="60" t="e">
        <f t="shared" ca="1" si="58"/>
        <v>#N/A</v>
      </c>
      <c r="X309" s="60" t="e">
        <f t="shared" ca="1" si="62"/>
        <v>#N/A</v>
      </c>
      <c r="Y309" s="60" t="e">
        <f t="shared" ca="1" si="59"/>
        <v>#N/A</v>
      </c>
      <c r="Z309" s="60" t="e">
        <f t="shared" ca="1" si="60"/>
        <v>#N/A</v>
      </c>
      <c r="AA309" s="92" t="str">
        <f ca="1"/>
        <v/>
      </c>
      <c r="AB309" s="62" t="str">
        <f t="shared" ca="1" si="63"/>
        <v/>
      </c>
      <c r="AC309" s="62" t="e">
        <f t="shared" ca="1" si="64"/>
        <v>#N/A</v>
      </c>
      <c r="AD309" s="62" t="e">
        <f t="shared" ca="1" si="65"/>
        <v>#N/A</v>
      </c>
      <c r="AE309" s="62" t="e">
        <f t="shared" ca="1" si="66"/>
        <v>#N/A</v>
      </c>
    </row>
    <row r="310" spans="18:31" x14ac:dyDescent="0.25">
      <c r="R310" s="92" t="str">
        <f ca="1"/>
        <v/>
      </c>
      <c r="S310" s="62" t="str">
        <f t="shared" ca="1" si="61"/>
        <v/>
      </c>
      <c r="T310" s="62" t="e">
        <f t="shared" ca="1" si="55"/>
        <v>#N/A</v>
      </c>
      <c r="U310" s="62" t="e">
        <f t="shared" ca="1" si="56"/>
        <v>#N/A</v>
      </c>
      <c r="V310" s="62" t="e">
        <f t="shared" ca="1" si="57"/>
        <v>#N/A</v>
      </c>
      <c r="W310" s="60" t="e">
        <f t="shared" ca="1" si="58"/>
        <v>#N/A</v>
      </c>
      <c r="X310" s="60" t="e">
        <f t="shared" ca="1" si="62"/>
        <v>#N/A</v>
      </c>
      <c r="Y310" s="60" t="e">
        <f t="shared" ca="1" si="59"/>
        <v>#N/A</v>
      </c>
      <c r="Z310" s="60" t="e">
        <f t="shared" ca="1" si="60"/>
        <v>#N/A</v>
      </c>
      <c r="AA310" s="92" t="str">
        <f ca="1"/>
        <v/>
      </c>
      <c r="AB310" s="62" t="str">
        <f t="shared" ca="1" si="63"/>
        <v/>
      </c>
      <c r="AC310" s="62" t="e">
        <f t="shared" ca="1" si="64"/>
        <v>#N/A</v>
      </c>
      <c r="AD310" s="62" t="e">
        <f t="shared" ca="1" si="65"/>
        <v>#N/A</v>
      </c>
      <c r="AE310" s="62" t="e">
        <f t="shared" ca="1" si="66"/>
        <v>#N/A</v>
      </c>
    </row>
    <row r="311" spans="18:31" x14ac:dyDescent="0.25">
      <c r="R311" s="92" t="str">
        <f ca="1"/>
        <v/>
      </c>
      <c r="S311" s="62" t="str">
        <f t="shared" ca="1" si="61"/>
        <v/>
      </c>
      <c r="T311" s="62" t="e">
        <f t="shared" ca="1" si="55"/>
        <v>#N/A</v>
      </c>
      <c r="U311" s="62" t="e">
        <f t="shared" ca="1" si="56"/>
        <v>#N/A</v>
      </c>
      <c r="V311" s="62" t="e">
        <f t="shared" ca="1" si="57"/>
        <v>#N/A</v>
      </c>
      <c r="W311" s="60" t="e">
        <f t="shared" ca="1" si="58"/>
        <v>#N/A</v>
      </c>
      <c r="X311" s="60" t="e">
        <f t="shared" ca="1" si="62"/>
        <v>#N/A</v>
      </c>
      <c r="Y311" s="60" t="e">
        <f t="shared" ca="1" si="59"/>
        <v>#N/A</v>
      </c>
      <c r="Z311" s="60" t="e">
        <f t="shared" ca="1" si="60"/>
        <v>#N/A</v>
      </c>
      <c r="AA311" s="92" t="str">
        <f ca="1"/>
        <v/>
      </c>
      <c r="AB311" s="62" t="str">
        <f t="shared" ca="1" si="63"/>
        <v/>
      </c>
      <c r="AC311" s="62" t="e">
        <f t="shared" ca="1" si="64"/>
        <v>#N/A</v>
      </c>
      <c r="AD311" s="62" t="e">
        <f t="shared" ca="1" si="65"/>
        <v>#N/A</v>
      </c>
      <c r="AE311" s="62" t="e">
        <f t="shared" ca="1" si="66"/>
        <v>#N/A</v>
      </c>
    </row>
    <row r="312" spans="18:31" x14ac:dyDescent="0.25">
      <c r="R312" s="92" t="str">
        <f ca="1"/>
        <v/>
      </c>
      <c r="S312" s="62" t="str">
        <f t="shared" ca="1" si="61"/>
        <v/>
      </c>
      <c r="T312" s="62" t="e">
        <f t="shared" ca="1" si="55"/>
        <v>#N/A</v>
      </c>
      <c r="U312" s="62" t="e">
        <f t="shared" ca="1" si="56"/>
        <v>#N/A</v>
      </c>
      <c r="V312" s="62" t="e">
        <f t="shared" ca="1" si="57"/>
        <v>#N/A</v>
      </c>
      <c r="W312" s="60" t="e">
        <f t="shared" ca="1" si="58"/>
        <v>#N/A</v>
      </c>
      <c r="X312" s="60" t="e">
        <f t="shared" ca="1" si="62"/>
        <v>#N/A</v>
      </c>
      <c r="Y312" s="60" t="e">
        <f t="shared" ca="1" si="59"/>
        <v>#N/A</v>
      </c>
      <c r="Z312" s="60" t="e">
        <f t="shared" ca="1" si="60"/>
        <v>#N/A</v>
      </c>
      <c r="AA312" s="92" t="str">
        <f ca="1"/>
        <v/>
      </c>
      <c r="AB312" s="62" t="str">
        <f t="shared" ca="1" si="63"/>
        <v/>
      </c>
      <c r="AC312" s="62" t="e">
        <f t="shared" ca="1" si="64"/>
        <v>#N/A</v>
      </c>
      <c r="AD312" s="62" t="e">
        <f t="shared" ca="1" si="65"/>
        <v>#N/A</v>
      </c>
      <c r="AE312" s="62" t="e">
        <f t="shared" ca="1" si="66"/>
        <v>#N/A</v>
      </c>
    </row>
    <row r="313" spans="18:31" x14ac:dyDescent="0.25">
      <c r="R313" s="92" t="str">
        <f ca="1"/>
        <v/>
      </c>
      <c r="S313" s="62" t="str">
        <f t="shared" ca="1" si="61"/>
        <v/>
      </c>
      <c r="T313" s="62" t="e">
        <f t="shared" ca="1" si="55"/>
        <v>#N/A</v>
      </c>
      <c r="U313" s="62" t="e">
        <f t="shared" ca="1" si="56"/>
        <v>#N/A</v>
      </c>
      <c r="V313" s="62" t="e">
        <f t="shared" ca="1" si="57"/>
        <v>#N/A</v>
      </c>
      <c r="W313" s="60" t="e">
        <f t="shared" ca="1" si="58"/>
        <v>#N/A</v>
      </c>
      <c r="X313" s="60" t="e">
        <f t="shared" ca="1" si="62"/>
        <v>#N/A</v>
      </c>
      <c r="Y313" s="60" t="e">
        <f t="shared" ca="1" si="59"/>
        <v>#N/A</v>
      </c>
      <c r="Z313" s="60" t="e">
        <f t="shared" ca="1" si="60"/>
        <v>#N/A</v>
      </c>
      <c r="AA313" s="92" t="str">
        <f ca="1"/>
        <v/>
      </c>
      <c r="AB313" s="62" t="str">
        <f t="shared" ca="1" si="63"/>
        <v/>
      </c>
      <c r="AC313" s="62" t="e">
        <f t="shared" ca="1" si="64"/>
        <v>#N/A</v>
      </c>
      <c r="AD313" s="62" t="e">
        <f t="shared" ca="1" si="65"/>
        <v>#N/A</v>
      </c>
      <c r="AE313" s="62" t="e">
        <f t="shared" ca="1" si="66"/>
        <v>#N/A</v>
      </c>
    </row>
    <row r="314" spans="18:31" x14ac:dyDescent="0.25">
      <c r="R314" s="92" t="str">
        <f ca="1"/>
        <v/>
      </c>
      <c r="S314" s="62" t="str">
        <f t="shared" ca="1" si="61"/>
        <v/>
      </c>
      <c r="T314" s="62" t="e">
        <f t="shared" ca="1" si="55"/>
        <v>#N/A</v>
      </c>
      <c r="U314" s="62" t="e">
        <f t="shared" ca="1" si="56"/>
        <v>#N/A</v>
      </c>
      <c r="V314" s="62" t="e">
        <f t="shared" ca="1" si="57"/>
        <v>#N/A</v>
      </c>
      <c r="W314" s="60" t="e">
        <f t="shared" ca="1" si="58"/>
        <v>#N/A</v>
      </c>
      <c r="X314" s="60" t="e">
        <f t="shared" ca="1" si="62"/>
        <v>#N/A</v>
      </c>
      <c r="Y314" s="60" t="e">
        <f t="shared" ca="1" si="59"/>
        <v>#N/A</v>
      </c>
      <c r="Z314" s="60" t="e">
        <f t="shared" ca="1" si="60"/>
        <v>#N/A</v>
      </c>
      <c r="AA314" s="92" t="str">
        <f ca="1"/>
        <v/>
      </c>
      <c r="AB314" s="62" t="str">
        <f t="shared" ca="1" si="63"/>
        <v/>
      </c>
      <c r="AC314" s="62" t="e">
        <f t="shared" ca="1" si="64"/>
        <v>#N/A</v>
      </c>
      <c r="AD314" s="62" t="e">
        <f t="shared" ca="1" si="65"/>
        <v>#N/A</v>
      </c>
      <c r="AE314" s="62" t="e">
        <f t="shared" ca="1" si="66"/>
        <v>#N/A</v>
      </c>
    </row>
    <row r="315" spans="18:31" x14ac:dyDescent="0.25">
      <c r="R315" s="92" t="str">
        <f ca="1"/>
        <v/>
      </c>
      <c r="S315" s="62" t="str">
        <f t="shared" ca="1" si="61"/>
        <v/>
      </c>
      <c r="T315" s="62" t="e">
        <f t="shared" ca="1" si="55"/>
        <v>#N/A</v>
      </c>
      <c r="U315" s="62" t="e">
        <f t="shared" ca="1" si="56"/>
        <v>#N/A</v>
      </c>
      <c r="V315" s="62" t="e">
        <f t="shared" ca="1" si="57"/>
        <v>#N/A</v>
      </c>
      <c r="W315" s="60" t="e">
        <f t="shared" ca="1" si="58"/>
        <v>#N/A</v>
      </c>
      <c r="X315" s="60" t="e">
        <f t="shared" ca="1" si="62"/>
        <v>#N/A</v>
      </c>
      <c r="Y315" s="60" t="e">
        <f t="shared" ca="1" si="59"/>
        <v>#N/A</v>
      </c>
      <c r="Z315" s="60" t="e">
        <f t="shared" ca="1" si="60"/>
        <v>#N/A</v>
      </c>
      <c r="AA315" s="92" t="str">
        <f ca="1"/>
        <v/>
      </c>
      <c r="AB315" s="62" t="str">
        <f t="shared" ca="1" si="63"/>
        <v/>
      </c>
      <c r="AC315" s="62" t="e">
        <f t="shared" ca="1" si="64"/>
        <v>#N/A</v>
      </c>
      <c r="AD315" s="62" t="e">
        <f t="shared" ca="1" si="65"/>
        <v>#N/A</v>
      </c>
      <c r="AE315" s="62" t="e">
        <f t="shared" ca="1" si="66"/>
        <v>#N/A</v>
      </c>
    </row>
    <row r="316" spans="18:31" x14ac:dyDescent="0.25">
      <c r="R316" s="92" t="str">
        <f ca="1"/>
        <v/>
      </c>
      <c r="S316" s="62" t="str">
        <f t="shared" ca="1" si="61"/>
        <v/>
      </c>
      <c r="T316" s="62" t="e">
        <f t="shared" ca="1" si="55"/>
        <v>#N/A</v>
      </c>
      <c r="U316" s="62" t="e">
        <f t="shared" ca="1" si="56"/>
        <v>#N/A</v>
      </c>
      <c r="V316" s="62" t="e">
        <f t="shared" ca="1" si="57"/>
        <v>#N/A</v>
      </c>
      <c r="W316" s="60" t="e">
        <f t="shared" ca="1" si="58"/>
        <v>#N/A</v>
      </c>
      <c r="X316" s="60" t="e">
        <f t="shared" ca="1" si="62"/>
        <v>#N/A</v>
      </c>
      <c r="Y316" s="60" t="e">
        <f t="shared" ca="1" si="59"/>
        <v>#N/A</v>
      </c>
      <c r="Z316" s="60" t="e">
        <f t="shared" ca="1" si="60"/>
        <v>#N/A</v>
      </c>
      <c r="AA316" s="92" t="str">
        <f ca="1"/>
        <v/>
      </c>
      <c r="AB316" s="62" t="str">
        <f t="shared" ca="1" si="63"/>
        <v/>
      </c>
      <c r="AC316" s="62" t="e">
        <f t="shared" ca="1" si="64"/>
        <v>#N/A</v>
      </c>
      <c r="AD316" s="62" t="e">
        <f t="shared" ca="1" si="65"/>
        <v>#N/A</v>
      </c>
      <c r="AE316" s="62" t="e">
        <f t="shared" ca="1" si="66"/>
        <v>#N/A</v>
      </c>
    </row>
    <row r="317" spans="18:31" x14ac:dyDescent="0.25">
      <c r="R317" s="92" t="str">
        <f ca="1"/>
        <v/>
      </c>
      <c r="S317" s="62" t="str">
        <f t="shared" ca="1" si="61"/>
        <v/>
      </c>
      <c r="T317" s="62" t="e">
        <f t="shared" ca="1" si="55"/>
        <v>#N/A</v>
      </c>
      <c r="U317" s="62" t="e">
        <f t="shared" ca="1" si="56"/>
        <v>#N/A</v>
      </c>
      <c r="V317" s="62" t="e">
        <f t="shared" ca="1" si="57"/>
        <v>#N/A</v>
      </c>
      <c r="W317" s="60" t="e">
        <f t="shared" ca="1" si="58"/>
        <v>#N/A</v>
      </c>
      <c r="X317" s="60" t="e">
        <f t="shared" ca="1" si="62"/>
        <v>#N/A</v>
      </c>
      <c r="Y317" s="60" t="e">
        <f t="shared" ca="1" si="59"/>
        <v>#N/A</v>
      </c>
      <c r="Z317" s="60" t="e">
        <f t="shared" ca="1" si="60"/>
        <v>#N/A</v>
      </c>
      <c r="AA317" s="92" t="str">
        <f ca="1"/>
        <v/>
      </c>
      <c r="AB317" s="62" t="str">
        <f t="shared" ca="1" si="63"/>
        <v/>
      </c>
      <c r="AC317" s="62" t="e">
        <f t="shared" ca="1" si="64"/>
        <v>#N/A</v>
      </c>
      <c r="AD317" s="62" t="e">
        <f t="shared" ca="1" si="65"/>
        <v>#N/A</v>
      </c>
      <c r="AE317" s="62" t="e">
        <f t="shared" ca="1" si="66"/>
        <v>#N/A</v>
      </c>
    </row>
    <row r="318" spans="18:31" x14ac:dyDescent="0.25">
      <c r="R318" s="92" t="str">
        <f ca="1"/>
        <v/>
      </c>
      <c r="S318" s="62" t="str">
        <f t="shared" ca="1" si="61"/>
        <v/>
      </c>
      <c r="T318" s="62" t="e">
        <f t="shared" ca="1" si="55"/>
        <v>#N/A</v>
      </c>
      <c r="U318" s="62" t="e">
        <f t="shared" ca="1" si="56"/>
        <v>#N/A</v>
      </c>
      <c r="V318" s="62" t="e">
        <f t="shared" ca="1" si="57"/>
        <v>#N/A</v>
      </c>
      <c r="W318" s="60" t="e">
        <f t="shared" ca="1" si="58"/>
        <v>#N/A</v>
      </c>
      <c r="X318" s="60" t="e">
        <f t="shared" ca="1" si="62"/>
        <v>#N/A</v>
      </c>
      <c r="Y318" s="60" t="e">
        <f t="shared" ca="1" si="59"/>
        <v>#N/A</v>
      </c>
      <c r="Z318" s="60" t="e">
        <f t="shared" ca="1" si="60"/>
        <v>#N/A</v>
      </c>
      <c r="AA318" s="92" t="str">
        <f ca="1"/>
        <v/>
      </c>
      <c r="AB318" s="62" t="str">
        <f t="shared" ca="1" si="63"/>
        <v/>
      </c>
      <c r="AC318" s="62" t="e">
        <f t="shared" ca="1" si="64"/>
        <v>#N/A</v>
      </c>
      <c r="AD318" s="62" t="e">
        <f t="shared" ca="1" si="65"/>
        <v>#N/A</v>
      </c>
      <c r="AE318" s="62" t="e">
        <f t="shared" ca="1" si="66"/>
        <v>#N/A</v>
      </c>
    </row>
    <row r="319" spans="18:31" x14ac:dyDescent="0.25">
      <c r="R319" s="92" t="str">
        <f ca="1"/>
        <v/>
      </c>
      <c r="S319" s="62" t="str">
        <f t="shared" ca="1" si="61"/>
        <v/>
      </c>
      <c r="T319" s="62" t="e">
        <f t="shared" ca="1" si="55"/>
        <v>#N/A</v>
      </c>
      <c r="U319" s="62" t="e">
        <f t="shared" ca="1" si="56"/>
        <v>#N/A</v>
      </c>
      <c r="V319" s="62" t="e">
        <f t="shared" ca="1" si="57"/>
        <v>#N/A</v>
      </c>
      <c r="W319" s="60" t="e">
        <f t="shared" ca="1" si="58"/>
        <v>#N/A</v>
      </c>
      <c r="X319" s="60" t="e">
        <f t="shared" ca="1" si="62"/>
        <v>#N/A</v>
      </c>
      <c r="Y319" s="60" t="e">
        <f t="shared" ca="1" si="59"/>
        <v>#N/A</v>
      </c>
      <c r="Z319" s="60" t="e">
        <f t="shared" ca="1" si="60"/>
        <v>#N/A</v>
      </c>
      <c r="AA319" s="92" t="str">
        <f ca="1"/>
        <v/>
      </c>
      <c r="AB319" s="62" t="str">
        <f t="shared" ca="1" si="63"/>
        <v/>
      </c>
      <c r="AC319" s="62" t="e">
        <f t="shared" ca="1" si="64"/>
        <v>#N/A</v>
      </c>
      <c r="AD319" s="62" t="e">
        <f t="shared" ca="1" si="65"/>
        <v>#N/A</v>
      </c>
      <c r="AE319" s="62" t="e">
        <f t="shared" ca="1" si="66"/>
        <v>#N/A</v>
      </c>
    </row>
    <row r="320" spans="18:31" x14ac:dyDescent="0.25">
      <c r="R320" s="92" t="str">
        <f ca="1"/>
        <v/>
      </c>
      <c r="S320" s="62" t="str">
        <f t="shared" ca="1" si="61"/>
        <v/>
      </c>
      <c r="T320" s="62" t="e">
        <f t="shared" ca="1" si="55"/>
        <v>#N/A</v>
      </c>
      <c r="U320" s="62" t="e">
        <f t="shared" ca="1" si="56"/>
        <v>#N/A</v>
      </c>
      <c r="V320" s="62" t="e">
        <f t="shared" ca="1" si="57"/>
        <v>#N/A</v>
      </c>
      <c r="W320" s="60" t="e">
        <f t="shared" ca="1" si="58"/>
        <v>#N/A</v>
      </c>
      <c r="X320" s="60" t="e">
        <f t="shared" ca="1" si="62"/>
        <v>#N/A</v>
      </c>
      <c r="Y320" s="60" t="e">
        <f t="shared" ca="1" si="59"/>
        <v>#N/A</v>
      </c>
      <c r="Z320" s="60" t="e">
        <f t="shared" ca="1" si="60"/>
        <v>#N/A</v>
      </c>
      <c r="AA320" s="92" t="str">
        <f ca="1"/>
        <v/>
      </c>
      <c r="AB320" s="62" t="str">
        <f t="shared" ca="1" si="63"/>
        <v/>
      </c>
      <c r="AC320" s="62" t="e">
        <f t="shared" ca="1" si="64"/>
        <v>#N/A</v>
      </c>
      <c r="AD320" s="62" t="e">
        <f t="shared" ca="1" si="65"/>
        <v>#N/A</v>
      </c>
      <c r="AE320" s="62" t="e">
        <f t="shared" ca="1" si="66"/>
        <v>#N/A</v>
      </c>
    </row>
    <row r="321" spans="18:31" x14ac:dyDescent="0.25">
      <c r="R321" s="92" t="str">
        <f ca="1"/>
        <v/>
      </c>
      <c r="S321" s="62" t="str">
        <f t="shared" ca="1" si="61"/>
        <v/>
      </c>
      <c r="T321" s="62" t="e">
        <f t="shared" ca="1" si="55"/>
        <v>#N/A</v>
      </c>
      <c r="U321" s="62" t="e">
        <f t="shared" ca="1" si="56"/>
        <v>#N/A</v>
      </c>
      <c r="V321" s="62" t="e">
        <f t="shared" ca="1" si="57"/>
        <v>#N/A</v>
      </c>
      <c r="W321" s="60" t="e">
        <f t="shared" ca="1" si="58"/>
        <v>#N/A</v>
      </c>
      <c r="X321" s="60" t="e">
        <f t="shared" ca="1" si="62"/>
        <v>#N/A</v>
      </c>
      <c r="Y321" s="60" t="e">
        <f t="shared" ca="1" si="59"/>
        <v>#N/A</v>
      </c>
      <c r="Z321" s="60" t="e">
        <f t="shared" ca="1" si="60"/>
        <v>#N/A</v>
      </c>
      <c r="AA321" s="92" t="str">
        <f ca="1"/>
        <v/>
      </c>
      <c r="AB321" s="62" t="str">
        <f t="shared" ca="1" si="63"/>
        <v/>
      </c>
      <c r="AC321" s="62" t="e">
        <f t="shared" ca="1" si="64"/>
        <v>#N/A</v>
      </c>
      <c r="AD321" s="62" t="e">
        <f t="shared" ca="1" si="65"/>
        <v>#N/A</v>
      </c>
      <c r="AE321" s="62" t="e">
        <f t="shared" ca="1" si="66"/>
        <v>#N/A</v>
      </c>
    </row>
    <row r="322" spans="18:31" x14ac:dyDescent="0.25">
      <c r="R322" s="92" t="str">
        <f ca="1"/>
        <v/>
      </c>
      <c r="S322" s="62" t="str">
        <f t="shared" ca="1" si="61"/>
        <v/>
      </c>
      <c r="T322" s="62" t="e">
        <f t="shared" ca="1" si="55"/>
        <v>#N/A</v>
      </c>
      <c r="U322" s="62" t="e">
        <f t="shared" ca="1" si="56"/>
        <v>#N/A</v>
      </c>
      <c r="V322" s="62" t="e">
        <f t="shared" ca="1" si="57"/>
        <v>#N/A</v>
      </c>
      <c r="W322" s="60" t="e">
        <f t="shared" ca="1" si="58"/>
        <v>#N/A</v>
      </c>
      <c r="X322" s="60" t="e">
        <f t="shared" ca="1" si="62"/>
        <v>#N/A</v>
      </c>
      <c r="Y322" s="60" t="e">
        <f t="shared" ca="1" si="59"/>
        <v>#N/A</v>
      </c>
      <c r="Z322" s="60" t="e">
        <f t="shared" ca="1" si="60"/>
        <v>#N/A</v>
      </c>
      <c r="AA322" s="92" t="str">
        <f ca="1"/>
        <v/>
      </c>
      <c r="AB322" s="62" t="str">
        <f t="shared" ca="1" si="63"/>
        <v/>
      </c>
      <c r="AC322" s="62" t="e">
        <f t="shared" ca="1" si="64"/>
        <v>#N/A</v>
      </c>
      <c r="AD322" s="62" t="e">
        <f t="shared" ca="1" si="65"/>
        <v>#N/A</v>
      </c>
      <c r="AE322" s="62" t="e">
        <f t="shared" ca="1" si="66"/>
        <v>#N/A</v>
      </c>
    </row>
    <row r="323" spans="18:31" x14ac:dyDescent="0.25">
      <c r="R323" s="92" t="str">
        <f ca="1"/>
        <v/>
      </c>
      <c r="S323" s="62" t="str">
        <f t="shared" ca="1" si="61"/>
        <v/>
      </c>
      <c r="T323" s="62" t="e">
        <f t="shared" ca="1" si="55"/>
        <v>#N/A</v>
      </c>
      <c r="U323" s="62" t="e">
        <f t="shared" ca="1" si="56"/>
        <v>#N/A</v>
      </c>
      <c r="V323" s="62" t="e">
        <f t="shared" ca="1" si="57"/>
        <v>#N/A</v>
      </c>
      <c r="W323" s="60" t="e">
        <f t="shared" ca="1" si="58"/>
        <v>#N/A</v>
      </c>
      <c r="X323" s="60" t="e">
        <f t="shared" ca="1" si="62"/>
        <v>#N/A</v>
      </c>
      <c r="Y323" s="60" t="e">
        <f t="shared" ca="1" si="59"/>
        <v>#N/A</v>
      </c>
      <c r="Z323" s="60" t="e">
        <f t="shared" ca="1" si="60"/>
        <v>#N/A</v>
      </c>
      <c r="AA323" s="92" t="str">
        <f ca="1"/>
        <v/>
      </c>
      <c r="AB323" s="62" t="str">
        <f t="shared" ca="1" si="63"/>
        <v/>
      </c>
      <c r="AC323" s="62" t="e">
        <f t="shared" ca="1" si="64"/>
        <v>#N/A</v>
      </c>
      <c r="AD323" s="62" t="e">
        <f t="shared" ca="1" si="65"/>
        <v>#N/A</v>
      </c>
      <c r="AE323" s="62" t="e">
        <f t="shared" ca="1" si="66"/>
        <v>#N/A</v>
      </c>
    </row>
    <row r="324" spans="18:31" x14ac:dyDescent="0.25">
      <c r="R324" s="92" t="str">
        <f ca="1"/>
        <v/>
      </c>
      <c r="S324" s="62" t="str">
        <f t="shared" ca="1" si="61"/>
        <v/>
      </c>
      <c r="T324" s="62" t="e">
        <f t="shared" ca="1" si="55"/>
        <v>#N/A</v>
      </c>
      <c r="U324" s="62" t="e">
        <f t="shared" ca="1" si="56"/>
        <v>#N/A</v>
      </c>
      <c r="V324" s="62" t="e">
        <f t="shared" ca="1" si="57"/>
        <v>#N/A</v>
      </c>
      <c r="W324" s="60" t="e">
        <f t="shared" ca="1" si="58"/>
        <v>#N/A</v>
      </c>
      <c r="X324" s="60" t="e">
        <f t="shared" ca="1" si="62"/>
        <v>#N/A</v>
      </c>
      <c r="Y324" s="60" t="e">
        <f t="shared" ca="1" si="59"/>
        <v>#N/A</v>
      </c>
      <c r="Z324" s="60" t="e">
        <f t="shared" ca="1" si="60"/>
        <v>#N/A</v>
      </c>
      <c r="AA324" s="92" t="str">
        <f ca="1"/>
        <v/>
      </c>
      <c r="AB324" s="62" t="str">
        <f t="shared" ca="1" si="63"/>
        <v/>
      </c>
      <c r="AC324" s="62" t="e">
        <f t="shared" ca="1" si="64"/>
        <v>#N/A</v>
      </c>
      <c r="AD324" s="62" t="e">
        <f t="shared" ca="1" si="65"/>
        <v>#N/A</v>
      </c>
      <c r="AE324" s="62" t="e">
        <f t="shared" ca="1" si="66"/>
        <v>#N/A</v>
      </c>
    </row>
    <row r="325" spans="18:31" x14ac:dyDescent="0.25">
      <c r="R325" s="92" t="str">
        <f ca="1"/>
        <v/>
      </c>
      <c r="S325" s="62" t="str">
        <f t="shared" ca="1" si="61"/>
        <v/>
      </c>
      <c r="T325" s="62" t="e">
        <f t="shared" ca="1" si="55"/>
        <v>#N/A</v>
      </c>
      <c r="U325" s="62" t="e">
        <f t="shared" ca="1" si="56"/>
        <v>#N/A</v>
      </c>
      <c r="V325" s="62" t="e">
        <f t="shared" ca="1" si="57"/>
        <v>#N/A</v>
      </c>
      <c r="W325" s="60" t="e">
        <f t="shared" ca="1" si="58"/>
        <v>#N/A</v>
      </c>
      <c r="X325" s="60" t="e">
        <f t="shared" ca="1" si="62"/>
        <v>#N/A</v>
      </c>
      <c r="Y325" s="60" t="e">
        <f t="shared" ca="1" si="59"/>
        <v>#N/A</v>
      </c>
      <c r="Z325" s="60" t="e">
        <f t="shared" ca="1" si="60"/>
        <v>#N/A</v>
      </c>
      <c r="AA325" s="92" t="str">
        <f ca="1"/>
        <v/>
      </c>
      <c r="AB325" s="62" t="str">
        <f t="shared" ca="1" si="63"/>
        <v/>
      </c>
      <c r="AC325" s="62" t="e">
        <f t="shared" ca="1" si="64"/>
        <v>#N/A</v>
      </c>
      <c r="AD325" s="62" t="e">
        <f t="shared" ca="1" si="65"/>
        <v>#N/A</v>
      </c>
      <c r="AE325" s="62" t="e">
        <f t="shared" ca="1" si="66"/>
        <v>#N/A</v>
      </c>
    </row>
    <row r="326" spans="18:31" x14ac:dyDescent="0.25">
      <c r="R326" s="92" t="str">
        <f ca="1"/>
        <v/>
      </c>
      <c r="S326" s="62" t="str">
        <f t="shared" ca="1" si="61"/>
        <v/>
      </c>
      <c r="T326" s="62" t="e">
        <f t="shared" ca="1" si="55"/>
        <v>#N/A</v>
      </c>
      <c r="U326" s="62" t="e">
        <f t="shared" ca="1" si="56"/>
        <v>#N/A</v>
      </c>
      <c r="V326" s="62" t="e">
        <f t="shared" ca="1" si="57"/>
        <v>#N/A</v>
      </c>
      <c r="W326" s="60" t="e">
        <f t="shared" ca="1" si="58"/>
        <v>#N/A</v>
      </c>
      <c r="X326" s="60" t="e">
        <f t="shared" ca="1" si="62"/>
        <v>#N/A</v>
      </c>
      <c r="Y326" s="60" t="e">
        <f t="shared" ca="1" si="59"/>
        <v>#N/A</v>
      </c>
      <c r="Z326" s="60" t="e">
        <f t="shared" ca="1" si="60"/>
        <v>#N/A</v>
      </c>
      <c r="AA326" s="92" t="str">
        <f ca="1"/>
        <v/>
      </c>
      <c r="AB326" s="62" t="str">
        <f t="shared" ca="1" si="63"/>
        <v/>
      </c>
      <c r="AC326" s="62" t="e">
        <f t="shared" ca="1" si="64"/>
        <v>#N/A</v>
      </c>
      <c r="AD326" s="62" t="e">
        <f t="shared" ca="1" si="65"/>
        <v>#N/A</v>
      </c>
      <c r="AE326" s="62" t="e">
        <f t="shared" ca="1" si="66"/>
        <v>#N/A</v>
      </c>
    </row>
    <row r="327" spans="18:31" x14ac:dyDescent="0.25">
      <c r="R327" s="92" t="str">
        <f ca="1"/>
        <v/>
      </c>
      <c r="S327" s="62" t="str">
        <f t="shared" ca="1" si="61"/>
        <v/>
      </c>
      <c r="T327" s="62" t="e">
        <f t="shared" ca="1" si="55"/>
        <v>#N/A</v>
      </c>
      <c r="U327" s="62" t="e">
        <f t="shared" ca="1" si="56"/>
        <v>#N/A</v>
      </c>
      <c r="V327" s="62" t="e">
        <f t="shared" ca="1" si="57"/>
        <v>#N/A</v>
      </c>
      <c r="W327" s="60" t="e">
        <f t="shared" ca="1" si="58"/>
        <v>#N/A</v>
      </c>
      <c r="X327" s="60" t="e">
        <f t="shared" ca="1" si="62"/>
        <v>#N/A</v>
      </c>
      <c r="Y327" s="60" t="e">
        <f t="shared" ca="1" si="59"/>
        <v>#N/A</v>
      </c>
      <c r="Z327" s="60" t="e">
        <f t="shared" ca="1" si="60"/>
        <v>#N/A</v>
      </c>
      <c r="AA327" s="92" t="str">
        <f ca="1"/>
        <v/>
      </c>
      <c r="AB327" s="62" t="str">
        <f t="shared" ca="1" si="63"/>
        <v/>
      </c>
      <c r="AC327" s="62" t="e">
        <f t="shared" ca="1" si="64"/>
        <v>#N/A</v>
      </c>
      <c r="AD327" s="62" t="e">
        <f t="shared" ca="1" si="65"/>
        <v>#N/A</v>
      </c>
      <c r="AE327" s="62" t="e">
        <f t="shared" ca="1" si="66"/>
        <v>#N/A</v>
      </c>
    </row>
    <row r="328" spans="18:31" x14ac:dyDescent="0.25">
      <c r="R328" s="92" t="str">
        <f ca="1"/>
        <v/>
      </c>
      <c r="S328" s="62" t="str">
        <f t="shared" ca="1" si="61"/>
        <v/>
      </c>
      <c r="T328" s="62" t="e">
        <f t="shared" ca="1" si="55"/>
        <v>#N/A</v>
      </c>
      <c r="U328" s="62" t="e">
        <f t="shared" ca="1" si="56"/>
        <v>#N/A</v>
      </c>
      <c r="V328" s="62" t="e">
        <f t="shared" ca="1" si="57"/>
        <v>#N/A</v>
      </c>
      <c r="W328" s="60" t="e">
        <f t="shared" ca="1" si="58"/>
        <v>#N/A</v>
      </c>
      <c r="X328" s="60" t="e">
        <f t="shared" ca="1" si="62"/>
        <v>#N/A</v>
      </c>
      <c r="Y328" s="60" t="e">
        <f t="shared" ca="1" si="59"/>
        <v>#N/A</v>
      </c>
      <c r="Z328" s="60" t="e">
        <f t="shared" ca="1" si="60"/>
        <v>#N/A</v>
      </c>
      <c r="AA328" s="92" t="str">
        <f ca="1"/>
        <v/>
      </c>
      <c r="AB328" s="62" t="str">
        <f t="shared" ca="1" si="63"/>
        <v/>
      </c>
      <c r="AC328" s="62" t="e">
        <f t="shared" ca="1" si="64"/>
        <v>#N/A</v>
      </c>
      <c r="AD328" s="62" t="e">
        <f t="shared" ca="1" si="65"/>
        <v>#N/A</v>
      </c>
      <c r="AE328" s="62" t="e">
        <f t="shared" ca="1" si="66"/>
        <v>#N/A</v>
      </c>
    </row>
    <row r="329" spans="18:31" x14ac:dyDescent="0.25">
      <c r="R329" s="92" t="str">
        <f ca="1"/>
        <v/>
      </c>
      <c r="S329" s="62" t="str">
        <f t="shared" ca="1" si="61"/>
        <v/>
      </c>
      <c r="T329" s="62" t="e">
        <f t="shared" ca="1" si="55"/>
        <v>#N/A</v>
      </c>
      <c r="U329" s="62" t="e">
        <f t="shared" ca="1" si="56"/>
        <v>#N/A</v>
      </c>
      <c r="V329" s="62" t="e">
        <f t="shared" ca="1" si="57"/>
        <v>#N/A</v>
      </c>
      <c r="W329" s="60" t="e">
        <f t="shared" ca="1" si="58"/>
        <v>#N/A</v>
      </c>
      <c r="X329" s="60" t="e">
        <f t="shared" ca="1" si="62"/>
        <v>#N/A</v>
      </c>
      <c r="Y329" s="60" t="e">
        <f t="shared" ca="1" si="59"/>
        <v>#N/A</v>
      </c>
      <c r="Z329" s="60" t="e">
        <f t="shared" ca="1" si="60"/>
        <v>#N/A</v>
      </c>
      <c r="AA329" s="92" t="str">
        <f ca="1"/>
        <v/>
      </c>
      <c r="AB329" s="62" t="str">
        <f t="shared" ca="1" si="63"/>
        <v/>
      </c>
      <c r="AC329" s="62" t="e">
        <f t="shared" ca="1" si="64"/>
        <v>#N/A</v>
      </c>
      <c r="AD329" s="62" t="e">
        <f t="shared" ca="1" si="65"/>
        <v>#N/A</v>
      </c>
      <c r="AE329" s="62" t="e">
        <f t="shared" ca="1" si="66"/>
        <v>#N/A</v>
      </c>
    </row>
    <row r="330" spans="18:31" x14ac:dyDescent="0.25">
      <c r="R330" s="92" t="str">
        <f ca="1"/>
        <v/>
      </c>
      <c r="S330" s="62" t="str">
        <f t="shared" ca="1" si="61"/>
        <v/>
      </c>
      <c r="T330" s="62" t="e">
        <f t="shared" ca="1" si="55"/>
        <v>#N/A</v>
      </c>
      <c r="U330" s="62" t="e">
        <f t="shared" ca="1" si="56"/>
        <v>#N/A</v>
      </c>
      <c r="V330" s="62" t="e">
        <f t="shared" ca="1" si="57"/>
        <v>#N/A</v>
      </c>
      <c r="W330" s="60" t="e">
        <f t="shared" ca="1" si="58"/>
        <v>#N/A</v>
      </c>
      <c r="X330" s="60" t="e">
        <f t="shared" ca="1" si="62"/>
        <v>#N/A</v>
      </c>
      <c r="Y330" s="60" t="e">
        <f t="shared" ca="1" si="59"/>
        <v>#N/A</v>
      </c>
      <c r="Z330" s="60" t="e">
        <f t="shared" ca="1" si="60"/>
        <v>#N/A</v>
      </c>
      <c r="AA330" s="92" t="str">
        <f ca="1"/>
        <v/>
      </c>
      <c r="AB330" s="62" t="str">
        <f t="shared" ca="1" si="63"/>
        <v/>
      </c>
      <c r="AC330" s="62" t="e">
        <f t="shared" ca="1" si="64"/>
        <v>#N/A</v>
      </c>
      <c r="AD330" s="62" t="e">
        <f t="shared" ca="1" si="65"/>
        <v>#N/A</v>
      </c>
      <c r="AE330" s="62" t="e">
        <f t="shared" ca="1" si="66"/>
        <v>#N/A</v>
      </c>
    </row>
    <row r="331" spans="18:31" x14ac:dyDescent="0.25">
      <c r="R331" s="92" t="str">
        <f ca="1"/>
        <v/>
      </c>
      <c r="S331" s="62" t="str">
        <f t="shared" ca="1" si="61"/>
        <v/>
      </c>
      <c r="T331" s="62" t="e">
        <f t="shared" ca="1" si="55"/>
        <v>#N/A</v>
      </c>
      <c r="U331" s="62" t="e">
        <f t="shared" ca="1" si="56"/>
        <v>#N/A</v>
      </c>
      <c r="V331" s="62" t="e">
        <f t="shared" ca="1" si="57"/>
        <v>#N/A</v>
      </c>
      <c r="W331" s="60" t="e">
        <f t="shared" ca="1" si="58"/>
        <v>#N/A</v>
      </c>
      <c r="X331" s="60" t="e">
        <f t="shared" ca="1" si="62"/>
        <v>#N/A</v>
      </c>
      <c r="Y331" s="60" t="e">
        <f t="shared" ca="1" si="59"/>
        <v>#N/A</v>
      </c>
      <c r="Z331" s="60" t="e">
        <f t="shared" ca="1" si="60"/>
        <v>#N/A</v>
      </c>
      <c r="AA331" s="92" t="str">
        <f ca="1"/>
        <v/>
      </c>
      <c r="AB331" s="62" t="str">
        <f t="shared" ca="1" si="63"/>
        <v/>
      </c>
      <c r="AC331" s="62" t="e">
        <f t="shared" ca="1" si="64"/>
        <v>#N/A</v>
      </c>
      <c r="AD331" s="62" t="e">
        <f t="shared" ca="1" si="65"/>
        <v>#N/A</v>
      </c>
      <c r="AE331" s="62" t="e">
        <f t="shared" ca="1" si="66"/>
        <v>#N/A</v>
      </c>
    </row>
    <row r="332" spans="18:31" x14ac:dyDescent="0.25">
      <c r="R332" s="92" t="str">
        <f ca="1"/>
        <v/>
      </c>
      <c r="S332" s="62" t="str">
        <f t="shared" ca="1" si="61"/>
        <v/>
      </c>
      <c r="T332" s="62" t="e">
        <f t="shared" ca="1" si="55"/>
        <v>#N/A</v>
      </c>
      <c r="U332" s="62" t="e">
        <f t="shared" ca="1" si="56"/>
        <v>#N/A</v>
      </c>
      <c r="V332" s="62" t="e">
        <f t="shared" ca="1" si="57"/>
        <v>#N/A</v>
      </c>
      <c r="W332" s="60" t="e">
        <f t="shared" ca="1" si="58"/>
        <v>#N/A</v>
      </c>
      <c r="X332" s="60" t="e">
        <f t="shared" ca="1" si="62"/>
        <v>#N/A</v>
      </c>
      <c r="Y332" s="60" t="e">
        <f t="shared" ca="1" si="59"/>
        <v>#N/A</v>
      </c>
      <c r="Z332" s="60" t="e">
        <f t="shared" ca="1" si="60"/>
        <v>#N/A</v>
      </c>
      <c r="AA332" s="92" t="str">
        <f ca="1"/>
        <v/>
      </c>
      <c r="AB332" s="62" t="str">
        <f t="shared" ca="1" si="63"/>
        <v/>
      </c>
      <c r="AC332" s="62" t="e">
        <f t="shared" ca="1" si="64"/>
        <v>#N/A</v>
      </c>
      <c r="AD332" s="62" t="e">
        <f t="shared" ca="1" si="65"/>
        <v>#N/A</v>
      </c>
      <c r="AE332" s="62" t="e">
        <f t="shared" ca="1" si="66"/>
        <v>#N/A</v>
      </c>
    </row>
    <row r="333" spans="18:31" x14ac:dyDescent="0.25">
      <c r="R333" s="92" t="str">
        <f ca="1"/>
        <v/>
      </c>
      <c r="S333" s="62" t="str">
        <f t="shared" ca="1" si="61"/>
        <v/>
      </c>
      <c r="T333" s="62" t="e">
        <f t="shared" ca="1" si="55"/>
        <v>#N/A</v>
      </c>
      <c r="U333" s="62" t="e">
        <f t="shared" ca="1" si="56"/>
        <v>#N/A</v>
      </c>
      <c r="V333" s="62" t="e">
        <f t="shared" ca="1" si="57"/>
        <v>#N/A</v>
      </c>
      <c r="W333" s="60" t="e">
        <f t="shared" ca="1" si="58"/>
        <v>#N/A</v>
      </c>
      <c r="X333" s="60" t="e">
        <f t="shared" ca="1" si="62"/>
        <v>#N/A</v>
      </c>
      <c r="Y333" s="60" t="e">
        <f t="shared" ca="1" si="59"/>
        <v>#N/A</v>
      </c>
      <c r="Z333" s="60" t="e">
        <f t="shared" ca="1" si="60"/>
        <v>#N/A</v>
      </c>
      <c r="AA333" s="92" t="str">
        <f ca="1"/>
        <v/>
      </c>
      <c r="AB333" s="62" t="str">
        <f t="shared" ca="1" si="63"/>
        <v/>
      </c>
      <c r="AC333" s="62" t="e">
        <f t="shared" ca="1" si="64"/>
        <v>#N/A</v>
      </c>
      <c r="AD333" s="62" t="e">
        <f t="shared" ca="1" si="65"/>
        <v>#N/A</v>
      </c>
      <c r="AE333" s="62" t="e">
        <f t="shared" ca="1" si="66"/>
        <v>#N/A</v>
      </c>
    </row>
    <row r="334" spans="18:31" x14ac:dyDescent="0.25">
      <c r="R334" s="92" t="str">
        <f ca="1"/>
        <v/>
      </c>
      <c r="S334" s="62" t="str">
        <f t="shared" ca="1" si="61"/>
        <v/>
      </c>
      <c r="T334" s="62" t="e">
        <f t="shared" ca="1" si="55"/>
        <v>#N/A</v>
      </c>
      <c r="U334" s="62" t="e">
        <f t="shared" ca="1" si="56"/>
        <v>#N/A</v>
      </c>
      <c r="V334" s="62" t="e">
        <f t="shared" ca="1" si="57"/>
        <v>#N/A</v>
      </c>
      <c r="W334" s="60" t="e">
        <f t="shared" ca="1" si="58"/>
        <v>#N/A</v>
      </c>
      <c r="X334" s="60" t="e">
        <f t="shared" ca="1" si="62"/>
        <v>#N/A</v>
      </c>
      <c r="Y334" s="60" t="e">
        <f t="shared" ca="1" si="59"/>
        <v>#N/A</v>
      </c>
      <c r="Z334" s="60" t="e">
        <f t="shared" ca="1" si="60"/>
        <v>#N/A</v>
      </c>
      <c r="AA334" s="92" t="str">
        <f ca="1"/>
        <v/>
      </c>
      <c r="AB334" s="62" t="str">
        <f t="shared" ca="1" si="63"/>
        <v/>
      </c>
      <c r="AC334" s="62" t="e">
        <f t="shared" ca="1" si="64"/>
        <v>#N/A</v>
      </c>
      <c r="AD334" s="62" t="e">
        <f t="shared" ca="1" si="65"/>
        <v>#N/A</v>
      </c>
      <c r="AE334" s="62" t="e">
        <f t="shared" ca="1" si="66"/>
        <v>#N/A</v>
      </c>
    </row>
    <row r="335" spans="18:31" x14ac:dyDescent="0.25">
      <c r="R335" s="92" t="str">
        <f ca="1"/>
        <v/>
      </c>
      <c r="S335" s="62" t="str">
        <f t="shared" ca="1" si="61"/>
        <v/>
      </c>
      <c r="T335" s="62" t="e">
        <f t="shared" ca="1" si="55"/>
        <v>#N/A</v>
      </c>
      <c r="U335" s="62" t="e">
        <f t="shared" ca="1" si="56"/>
        <v>#N/A</v>
      </c>
      <c r="V335" s="62" t="e">
        <f t="shared" ca="1" si="57"/>
        <v>#N/A</v>
      </c>
      <c r="W335" s="60" t="e">
        <f t="shared" ca="1" si="58"/>
        <v>#N/A</v>
      </c>
      <c r="X335" s="60" t="e">
        <f t="shared" ca="1" si="62"/>
        <v>#N/A</v>
      </c>
      <c r="Y335" s="60" t="e">
        <f t="shared" ca="1" si="59"/>
        <v>#N/A</v>
      </c>
      <c r="Z335" s="60" t="e">
        <f t="shared" ca="1" si="60"/>
        <v>#N/A</v>
      </c>
      <c r="AA335" s="92" t="str">
        <f ca="1"/>
        <v/>
      </c>
      <c r="AB335" s="62" t="str">
        <f t="shared" ca="1" si="63"/>
        <v/>
      </c>
      <c r="AC335" s="62" t="e">
        <f t="shared" ca="1" si="64"/>
        <v>#N/A</v>
      </c>
      <c r="AD335" s="62" t="e">
        <f t="shared" ca="1" si="65"/>
        <v>#N/A</v>
      </c>
      <c r="AE335" s="62" t="e">
        <f t="shared" ca="1" si="66"/>
        <v>#N/A</v>
      </c>
    </row>
    <row r="336" spans="18:31" x14ac:dyDescent="0.25">
      <c r="R336" s="92" t="str">
        <f ca="1"/>
        <v/>
      </c>
      <c r="S336" s="62" t="str">
        <f t="shared" ca="1" si="61"/>
        <v/>
      </c>
      <c r="T336" s="62" t="e">
        <f t="shared" ca="1" si="55"/>
        <v>#N/A</v>
      </c>
      <c r="U336" s="62" t="e">
        <f t="shared" ca="1" si="56"/>
        <v>#N/A</v>
      </c>
      <c r="V336" s="62" t="e">
        <f t="shared" ca="1" si="57"/>
        <v>#N/A</v>
      </c>
      <c r="W336" s="60" t="e">
        <f t="shared" ca="1" si="58"/>
        <v>#N/A</v>
      </c>
      <c r="X336" s="60" t="e">
        <f t="shared" ca="1" si="62"/>
        <v>#N/A</v>
      </c>
      <c r="Y336" s="60" t="e">
        <f t="shared" ca="1" si="59"/>
        <v>#N/A</v>
      </c>
      <c r="Z336" s="60" t="e">
        <f t="shared" ca="1" si="60"/>
        <v>#N/A</v>
      </c>
      <c r="AA336" s="92" t="str">
        <f ca="1"/>
        <v/>
      </c>
      <c r="AB336" s="62" t="str">
        <f t="shared" ca="1" si="63"/>
        <v/>
      </c>
      <c r="AC336" s="62" t="e">
        <f t="shared" ca="1" si="64"/>
        <v>#N/A</v>
      </c>
      <c r="AD336" s="62" t="e">
        <f t="shared" ca="1" si="65"/>
        <v>#N/A</v>
      </c>
      <c r="AE336" s="62" t="e">
        <f t="shared" ca="1" si="66"/>
        <v>#N/A</v>
      </c>
    </row>
    <row r="337" spans="18:31" x14ac:dyDescent="0.25">
      <c r="R337" s="92" t="str">
        <f ca="1"/>
        <v/>
      </c>
      <c r="S337" s="62" t="str">
        <f t="shared" ca="1" si="61"/>
        <v/>
      </c>
      <c r="T337" s="62" t="e">
        <f t="shared" ca="1" si="55"/>
        <v>#N/A</v>
      </c>
      <c r="U337" s="62" t="e">
        <f t="shared" ca="1" si="56"/>
        <v>#N/A</v>
      </c>
      <c r="V337" s="62" t="e">
        <f t="shared" ca="1" si="57"/>
        <v>#N/A</v>
      </c>
      <c r="W337" s="60" t="e">
        <f t="shared" ca="1" si="58"/>
        <v>#N/A</v>
      </c>
      <c r="X337" s="60" t="e">
        <f t="shared" ca="1" si="62"/>
        <v>#N/A</v>
      </c>
      <c r="Y337" s="60" t="e">
        <f t="shared" ca="1" si="59"/>
        <v>#N/A</v>
      </c>
      <c r="Z337" s="60" t="e">
        <f t="shared" ca="1" si="60"/>
        <v>#N/A</v>
      </c>
      <c r="AA337" s="92" t="str">
        <f ca="1"/>
        <v/>
      </c>
      <c r="AB337" s="62" t="str">
        <f t="shared" ca="1" si="63"/>
        <v/>
      </c>
      <c r="AC337" s="62" t="e">
        <f t="shared" ca="1" si="64"/>
        <v>#N/A</v>
      </c>
      <c r="AD337" s="62" t="e">
        <f t="shared" ca="1" si="65"/>
        <v>#N/A</v>
      </c>
      <c r="AE337" s="62" t="e">
        <f t="shared" ca="1" si="66"/>
        <v>#N/A</v>
      </c>
    </row>
    <row r="338" spans="18:31" x14ac:dyDescent="0.25">
      <c r="R338" s="92" t="str">
        <f ca="1"/>
        <v/>
      </c>
      <c r="S338" s="62" t="str">
        <f t="shared" ca="1" si="61"/>
        <v/>
      </c>
      <c r="T338" s="62" t="e">
        <f t="shared" ref="T338:T395" ca="1" si="67">VLOOKUP(S338,ModelOutputs,2,FALSE)</f>
        <v>#N/A</v>
      </c>
      <c r="U338" s="62" t="e">
        <f t="shared" ref="U338:U395" ca="1" si="68">VLOOKUP(S338,ModelOutputs,7,FALSE)</f>
        <v>#N/A</v>
      </c>
      <c r="V338" s="62" t="e">
        <f t="shared" ref="V338:V395" ca="1" si="69">VLOOKUP(S338,ModelOutputs,6,FALSE)</f>
        <v>#N/A</v>
      </c>
      <c r="W338" s="60" t="e">
        <f t="shared" ref="W338:W395" ca="1" si="70">VLOOKUP(S338,ModelOutputs,10,FALSE)*AWC</f>
        <v>#N/A</v>
      </c>
      <c r="X338" s="60" t="e">
        <f t="shared" ca="1" si="62"/>
        <v>#N/A</v>
      </c>
      <c r="Y338" s="60" t="e">
        <f t="shared" ref="Y338:Y395" ca="1" si="71">VLOOKUP(S338,ModelOutputs,12,FALSE)</f>
        <v>#N/A</v>
      </c>
      <c r="Z338" s="60" t="e">
        <f t="shared" ref="Z338:Z395" ca="1" si="72">VLOOKUP(S338,ModelOutputs,13,FALSE)</f>
        <v>#N/A</v>
      </c>
      <c r="AA338" s="92" t="str">
        <f ca="1"/>
        <v/>
      </c>
      <c r="AB338" s="62" t="str">
        <f t="shared" ca="1" si="63"/>
        <v/>
      </c>
      <c r="AC338" s="62" t="e">
        <f t="shared" ca="1" si="64"/>
        <v>#N/A</v>
      </c>
      <c r="AD338" s="62" t="e">
        <f t="shared" ca="1" si="65"/>
        <v>#N/A</v>
      </c>
      <c r="AE338" s="62" t="e">
        <f t="shared" ca="1" si="66"/>
        <v>#N/A</v>
      </c>
    </row>
    <row r="339" spans="18:31" x14ac:dyDescent="0.25">
      <c r="R339" s="92" t="str">
        <f ca="1"/>
        <v/>
      </c>
      <c r="S339" s="62" t="str">
        <f t="shared" ref="S339:S395" ca="1" si="73">IF(R339&gt;1,R339,"")</f>
        <v/>
      </c>
      <c r="T339" s="62" t="e">
        <f t="shared" ca="1" si="67"/>
        <v>#N/A</v>
      </c>
      <c r="U339" s="62" t="e">
        <f t="shared" ca="1" si="68"/>
        <v>#N/A</v>
      </c>
      <c r="V339" s="62" t="e">
        <f t="shared" ca="1" si="69"/>
        <v>#N/A</v>
      </c>
      <c r="W339" s="60" t="e">
        <f t="shared" ca="1" si="70"/>
        <v>#N/A</v>
      </c>
      <c r="X339" s="60" t="e">
        <f t="shared" ref="X339:X395" ca="1" si="74">VLOOKUP(S339,ModelOutputs,11,FALSE)+X338</f>
        <v>#N/A</v>
      </c>
      <c r="Y339" s="60" t="e">
        <f t="shared" ca="1" si="71"/>
        <v>#N/A</v>
      </c>
      <c r="Z339" s="60" t="e">
        <f t="shared" ca="1" si="72"/>
        <v>#N/A</v>
      </c>
      <c r="AA339" s="92" t="str">
        <f ca="1"/>
        <v/>
      </c>
      <c r="AB339" s="62" t="str">
        <f t="shared" ca="1" si="63"/>
        <v/>
      </c>
      <c r="AC339" s="62" t="e">
        <f t="shared" ca="1" si="64"/>
        <v>#N/A</v>
      </c>
      <c r="AD339" s="62" t="e">
        <f t="shared" ca="1" si="65"/>
        <v>#N/A</v>
      </c>
      <c r="AE339" s="62" t="e">
        <f t="shared" ca="1" si="66"/>
        <v>#N/A</v>
      </c>
    </row>
    <row r="340" spans="18:31" x14ac:dyDescent="0.25">
      <c r="R340" s="92" t="str">
        <f ca="1"/>
        <v/>
      </c>
      <c r="S340" s="62" t="str">
        <f t="shared" ca="1" si="73"/>
        <v/>
      </c>
      <c r="T340" s="62" t="e">
        <f t="shared" ca="1" si="67"/>
        <v>#N/A</v>
      </c>
      <c r="U340" s="62" t="e">
        <f t="shared" ca="1" si="68"/>
        <v>#N/A</v>
      </c>
      <c r="V340" s="62" t="e">
        <f t="shared" ca="1" si="69"/>
        <v>#N/A</v>
      </c>
      <c r="W340" s="60" t="e">
        <f t="shared" ca="1" si="70"/>
        <v>#N/A</v>
      </c>
      <c r="X340" s="60" t="e">
        <f t="shared" ca="1" si="74"/>
        <v>#N/A</v>
      </c>
      <c r="Y340" s="60" t="e">
        <f t="shared" ca="1" si="71"/>
        <v>#N/A</v>
      </c>
      <c r="Z340" s="60" t="e">
        <f t="shared" ca="1" si="72"/>
        <v>#N/A</v>
      </c>
      <c r="AA340" s="92" t="str">
        <f ca="1"/>
        <v/>
      </c>
      <c r="AB340" s="62" t="str">
        <f t="shared" ca="1" si="63"/>
        <v/>
      </c>
      <c r="AC340" s="62" t="e">
        <f t="shared" ca="1" si="64"/>
        <v>#N/A</v>
      </c>
      <c r="AD340" s="62" t="e">
        <f t="shared" ca="1" si="65"/>
        <v>#N/A</v>
      </c>
      <c r="AE340" s="62" t="e">
        <f t="shared" ca="1" si="66"/>
        <v>#N/A</v>
      </c>
    </row>
    <row r="341" spans="18:31" x14ac:dyDescent="0.25">
      <c r="R341" s="92" t="str">
        <f ca="1"/>
        <v/>
      </c>
      <c r="S341" s="62" t="str">
        <f t="shared" ca="1" si="73"/>
        <v/>
      </c>
      <c r="T341" s="62" t="e">
        <f t="shared" ca="1" si="67"/>
        <v>#N/A</v>
      </c>
      <c r="U341" s="62" t="e">
        <f t="shared" ca="1" si="68"/>
        <v>#N/A</v>
      </c>
      <c r="V341" s="62" t="e">
        <f t="shared" ca="1" si="69"/>
        <v>#N/A</v>
      </c>
      <c r="W341" s="60" t="e">
        <f t="shared" ca="1" si="70"/>
        <v>#N/A</v>
      </c>
      <c r="X341" s="60" t="e">
        <f t="shared" ca="1" si="74"/>
        <v>#N/A</v>
      </c>
      <c r="Y341" s="60" t="e">
        <f t="shared" ca="1" si="71"/>
        <v>#N/A</v>
      </c>
      <c r="Z341" s="60" t="e">
        <f t="shared" ca="1" si="72"/>
        <v>#N/A</v>
      </c>
      <c r="AA341" s="92" t="str">
        <f ca="1"/>
        <v/>
      </c>
      <c r="AB341" s="62" t="str">
        <f t="shared" ref="AB341:AB395" ca="1" si="75">IF(AA341&gt;1,AA341,"")</f>
        <v/>
      </c>
      <c r="AC341" s="62" t="e">
        <f t="shared" ref="AC341:AC395" ca="1" si="76">VLOOKUP(AB341,ModelOutputs,2,FALSE)</f>
        <v>#N/A</v>
      </c>
      <c r="AD341" s="62" t="e">
        <f t="shared" ref="AD341:AD395" ca="1" si="77">VLOOKUP(AB341,ModelOutputs,7,FALSE)</f>
        <v>#N/A</v>
      </c>
      <c r="AE341" s="62" t="e">
        <f t="shared" ref="AE341:AE395" ca="1" si="78">VLOOKUP(AB341,ModelOutputs,6,FALSE)</f>
        <v>#N/A</v>
      </c>
    </row>
    <row r="342" spans="18:31" x14ac:dyDescent="0.25">
      <c r="R342" s="92" t="str">
        <f ca="1"/>
        <v/>
      </c>
      <c r="S342" s="62" t="str">
        <f t="shared" ca="1" si="73"/>
        <v/>
      </c>
      <c r="T342" s="62" t="e">
        <f t="shared" ca="1" si="67"/>
        <v>#N/A</v>
      </c>
      <c r="U342" s="62" t="e">
        <f t="shared" ca="1" si="68"/>
        <v>#N/A</v>
      </c>
      <c r="V342" s="62" t="e">
        <f t="shared" ca="1" si="69"/>
        <v>#N/A</v>
      </c>
      <c r="W342" s="60" t="e">
        <f t="shared" ca="1" si="70"/>
        <v>#N/A</v>
      </c>
      <c r="X342" s="60" t="e">
        <f t="shared" ca="1" si="74"/>
        <v>#N/A</v>
      </c>
      <c r="Y342" s="60" t="e">
        <f t="shared" ca="1" si="71"/>
        <v>#N/A</v>
      </c>
      <c r="Z342" s="60" t="e">
        <f t="shared" ca="1" si="72"/>
        <v>#N/A</v>
      </c>
      <c r="AA342" s="92" t="str">
        <f ca="1"/>
        <v/>
      </c>
      <c r="AB342" s="62" t="str">
        <f t="shared" ca="1" si="75"/>
        <v/>
      </c>
      <c r="AC342" s="62" t="e">
        <f t="shared" ca="1" si="76"/>
        <v>#N/A</v>
      </c>
      <c r="AD342" s="62" t="e">
        <f t="shared" ca="1" si="77"/>
        <v>#N/A</v>
      </c>
      <c r="AE342" s="62" t="e">
        <f t="shared" ca="1" si="78"/>
        <v>#N/A</v>
      </c>
    </row>
    <row r="343" spans="18:31" x14ac:dyDescent="0.25">
      <c r="R343" s="92" t="str">
        <f ca="1"/>
        <v/>
      </c>
      <c r="S343" s="62" t="str">
        <f t="shared" ca="1" si="73"/>
        <v/>
      </c>
      <c r="T343" s="62" t="e">
        <f t="shared" ca="1" si="67"/>
        <v>#N/A</v>
      </c>
      <c r="U343" s="62" t="e">
        <f t="shared" ca="1" si="68"/>
        <v>#N/A</v>
      </c>
      <c r="V343" s="62" t="e">
        <f t="shared" ca="1" si="69"/>
        <v>#N/A</v>
      </c>
      <c r="W343" s="60" t="e">
        <f t="shared" ca="1" si="70"/>
        <v>#N/A</v>
      </c>
      <c r="X343" s="60" t="e">
        <f t="shared" ca="1" si="74"/>
        <v>#N/A</v>
      </c>
      <c r="Y343" s="60" t="e">
        <f t="shared" ca="1" si="71"/>
        <v>#N/A</v>
      </c>
      <c r="Z343" s="60" t="e">
        <f t="shared" ca="1" si="72"/>
        <v>#N/A</v>
      </c>
      <c r="AA343" s="92" t="str">
        <f ca="1"/>
        <v/>
      </c>
      <c r="AB343" s="62" t="str">
        <f t="shared" ca="1" si="75"/>
        <v/>
      </c>
      <c r="AC343" s="62" t="e">
        <f t="shared" ca="1" si="76"/>
        <v>#N/A</v>
      </c>
      <c r="AD343" s="62" t="e">
        <f t="shared" ca="1" si="77"/>
        <v>#N/A</v>
      </c>
      <c r="AE343" s="62" t="e">
        <f t="shared" ca="1" si="78"/>
        <v>#N/A</v>
      </c>
    </row>
    <row r="344" spans="18:31" x14ac:dyDescent="0.25">
      <c r="R344" s="92" t="str">
        <f ca="1"/>
        <v/>
      </c>
      <c r="S344" s="62" t="str">
        <f t="shared" ca="1" si="73"/>
        <v/>
      </c>
      <c r="T344" s="62" t="e">
        <f t="shared" ca="1" si="67"/>
        <v>#N/A</v>
      </c>
      <c r="U344" s="62" t="e">
        <f t="shared" ca="1" si="68"/>
        <v>#N/A</v>
      </c>
      <c r="V344" s="62" t="e">
        <f t="shared" ca="1" si="69"/>
        <v>#N/A</v>
      </c>
      <c r="W344" s="60" t="e">
        <f t="shared" ca="1" si="70"/>
        <v>#N/A</v>
      </c>
      <c r="X344" s="60" t="e">
        <f t="shared" ca="1" si="74"/>
        <v>#N/A</v>
      </c>
      <c r="Y344" s="60" t="e">
        <f t="shared" ca="1" si="71"/>
        <v>#N/A</v>
      </c>
      <c r="Z344" s="60" t="e">
        <f t="shared" ca="1" si="72"/>
        <v>#N/A</v>
      </c>
      <c r="AA344" s="92" t="str">
        <f ca="1"/>
        <v/>
      </c>
      <c r="AB344" s="62" t="str">
        <f t="shared" ca="1" si="75"/>
        <v/>
      </c>
      <c r="AC344" s="62" t="e">
        <f t="shared" ca="1" si="76"/>
        <v>#N/A</v>
      </c>
      <c r="AD344" s="62" t="e">
        <f t="shared" ca="1" si="77"/>
        <v>#N/A</v>
      </c>
      <c r="AE344" s="62" t="e">
        <f t="shared" ca="1" si="78"/>
        <v>#N/A</v>
      </c>
    </row>
    <row r="345" spans="18:31" x14ac:dyDescent="0.25">
      <c r="R345" s="92" t="str">
        <f ca="1"/>
        <v/>
      </c>
      <c r="S345" s="62" t="str">
        <f t="shared" ca="1" si="73"/>
        <v/>
      </c>
      <c r="T345" s="62" t="e">
        <f t="shared" ca="1" si="67"/>
        <v>#N/A</v>
      </c>
      <c r="U345" s="62" t="e">
        <f t="shared" ca="1" si="68"/>
        <v>#N/A</v>
      </c>
      <c r="V345" s="62" t="e">
        <f t="shared" ca="1" si="69"/>
        <v>#N/A</v>
      </c>
      <c r="W345" s="60" t="e">
        <f t="shared" ca="1" si="70"/>
        <v>#N/A</v>
      </c>
      <c r="X345" s="60" t="e">
        <f t="shared" ca="1" si="74"/>
        <v>#N/A</v>
      </c>
      <c r="Y345" s="60" t="e">
        <f t="shared" ca="1" si="71"/>
        <v>#N/A</v>
      </c>
      <c r="Z345" s="60" t="e">
        <f t="shared" ca="1" si="72"/>
        <v>#N/A</v>
      </c>
      <c r="AA345" s="92" t="str">
        <f ca="1"/>
        <v/>
      </c>
      <c r="AB345" s="62" t="str">
        <f t="shared" ca="1" si="75"/>
        <v/>
      </c>
      <c r="AC345" s="62" t="e">
        <f t="shared" ca="1" si="76"/>
        <v>#N/A</v>
      </c>
      <c r="AD345" s="62" t="e">
        <f t="shared" ca="1" si="77"/>
        <v>#N/A</v>
      </c>
      <c r="AE345" s="62" t="e">
        <f t="shared" ca="1" si="78"/>
        <v>#N/A</v>
      </c>
    </row>
    <row r="346" spans="18:31" x14ac:dyDescent="0.25">
      <c r="R346" s="92" t="str">
        <f ca="1"/>
        <v/>
      </c>
      <c r="S346" s="62" t="str">
        <f t="shared" ca="1" si="73"/>
        <v/>
      </c>
      <c r="T346" s="62" t="e">
        <f t="shared" ca="1" si="67"/>
        <v>#N/A</v>
      </c>
      <c r="U346" s="62" t="e">
        <f t="shared" ca="1" si="68"/>
        <v>#N/A</v>
      </c>
      <c r="V346" s="62" t="e">
        <f t="shared" ca="1" si="69"/>
        <v>#N/A</v>
      </c>
      <c r="W346" s="60" t="e">
        <f t="shared" ca="1" si="70"/>
        <v>#N/A</v>
      </c>
      <c r="X346" s="60" t="e">
        <f t="shared" ca="1" si="74"/>
        <v>#N/A</v>
      </c>
      <c r="Y346" s="60" t="e">
        <f t="shared" ca="1" si="71"/>
        <v>#N/A</v>
      </c>
      <c r="Z346" s="60" t="e">
        <f t="shared" ca="1" si="72"/>
        <v>#N/A</v>
      </c>
      <c r="AA346" s="92" t="str">
        <f ca="1"/>
        <v/>
      </c>
      <c r="AB346" s="62" t="str">
        <f t="shared" ca="1" si="75"/>
        <v/>
      </c>
      <c r="AC346" s="62" t="e">
        <f t="shared" ca="1" si="76"/>
        <v>#N/A</v>
      </c>
      <c r="AD346" s="62" t="e">
        <f t="shared" ca="1" si="77"/>
        <v>#N/A</v>
      </c>
      <c r="AE346" s="62" t="e">
        <f t="shared" ca="1" si="78"/>
        <v>#N/A</v>
      </c>
    </row>
    <row r="347" spans="18:31" x14ac:dyDescent="0.25">
      <c r="R347" s="92" t="str">
        <f ca="1"/>
        <v/>
      </c>
      <c r="S347" s="62" t="str">
        <f t="shared" ca="1" si="73"/>
        <v/>
      </c>
      <c r="T347" s="62" t="e">
        <f t="shared" ca="1" si="67"/>
        <v>#N/A</v>
      </c>
      <c r="U347" s="62" t="e">
        <f t="shared" ca="1" si="68"/>
        <v>#N/A</v>
      </c>
      <c r="V347" s="62" t="e">
        <f t="shared" ca="1" si="69"/>
        <v>#N/A</v>
      </c>
      <c r="W347" s="60" t="e">
        <f t="shared" ca="1" si="70"/>
        <v>#N/A</v>
      </c>
      <c r="X347" s="60" t="e">
        <f t="shared" ca="1" si="74"/>
        <v>#N/A</v>
      </c>
      <c r="Y347" s="60" t="e">
        <f t="shared" ca="1" si="71"/>
        <v>#N/A</v>
      </c>
      <c r="Z347" s="60" t="e">
        <f t="shared" ca="1" si="72"/>
        <v>#N/A</v>
      </c>
      <c r="AA347" s="92" t="str">
        <f ca="1"/>
        <v/>
      </c>
      <c r="AB347" s="62" t="str">
        <f t="shared" ca="1" si="75"/>
        <v/>
      </c>
      <c r="AC347" s="62" t="e">
        <f t="shared" ca="1" si="76"/>
        <v>#N/A</v>
      </c>
      <c r="AD347" s="62" t="e">
        <f t="shared" ca="1" si="77"/>
        <v>#N/A</v>
      </c>
      <c r="AE347" s="62" t="e">
        <f t="shared" ca="1" si="78"/>
        <v>#N/A</v>
      </c>
    </row>
    <row r="348" spans="18:31" x14ac:dyDescent="0.25">
      <c r="R348" s="92" t="str">
        <f ca="1"/>
        <v/>
      </c>
      <c r="S348" s="62" t="str">
        <f t="shared" ca="1" si="73"/>
        <v/>
      </c>
      <c r="T348" s="62" t="e">
        <f t="shared" ca="1" si="67"/>
        <v>#N/A</v>
      </c>
      <c r="U348" s="62" t="e">
        <f t="shared" ca="1" si="68"/>
        <v>#N/A</v>
      </c>
      <c r="V348" s="62" t="e">
        <f t="shared" ca="1" si="69"/>
        <v>#N/A</v>
      </c>
      <c r="W348" s="60" t="e">
        <f t="shared" ca="1" si="70"/>
        <v>#N/A</v>
      </c>
      <c r="X348" s="60" t="e">
        <f t="shared" ca="1" si="74"/>
        <v>#N/A</v>
      </c>
      <c r="Y348" s="60" t="e">
        <f t="shared" ca="1" si="71"/>
        <v>#N/A</v>
      </c>
      <c r="Z348" s="60" t="e">
        <f t="shared" ca="1" si="72"/>
        <v>#N/A</v>
      </c>
      <c r="AA348" s="92" t="str">
        <f ca="1"/>
        <v/>
      </c>
      <c r="AB348" s="62" t="str">
        <f t="shared" ca="1" si="75"/>
        <v/>
      </c>
      <c r="AC348" s="62" t="e">
        <f t="shared" ca="1" si="76"/>
        <v>#N/A</v>
      </c>
      <c r="AD348" s="62" t="e">
        <f t="shared" ca="1" si="77"/>
        <v>#N/A</v>
      </c>
      <c r="AE348" s="62" t="e">
        <f t="shared" ca="1" si="78"/>
        <v>#N/A</v>
      </c>
    </row>
    <row r="349" spans="18:31" x14ac:dyDescent="0.25">
      <c r="R349" s="92" t="str">
        <f ca="1"/>
        <v/>
      </c>
      <c r="S349" s="62" t="str">
        <f t="shared" ca="1" si="73"/>
        <v/>
      </c>
      <c r="T349" s="62" t="e">
        <f t="shared" ca="1" si="67"/>
        <v>#N/A</v>
      </c>
      <c r="U349" s="62" t="e">
        <f t="shared" ca="1" si="68"/>
        <v>#N/A</v>
      </c>
      <c r="V349" s="62" t="e">
        <f t="shared" ca="1" si="69"/>
        <v>#N/A</v>
      </c>
      <c r="W349" s="60" t="e">
        <f t="shared" ca="1" si="70"/>
        <v>#N/A</v>
      </c>
      <c r="X349" s="60" t="e">
        <f t="shared" ca="1" si="74"/>
        <v>#N/A</v>
      </c>
      <c r="Y349" s="60" t="e">
        <f t="shared" ca="1" si="71"/>
        <v>#N/A</v>
      </c>
      <c r="Z349" s="60" t="e">
        <f t="shared" ca="1" si="72"/>
        <v>#N/A</v>
      </c>
      <c r="AA349" s="92" t="str">
        <f ca="1"/>
        <v/>
      </c>
      <c r="AB349" s="62" t="str">
        <f t="shared" ca="1" si="75"/>
        <v/>
      </c>
      <c r="AC349" s="62" t="e">
        <f t="shared" ca="1" si="76"/>
        <v>#N/A</v>
      </c>
      <c r="AD349" s="62" t="e">
        <f t="shared" ca="1" si="77"/>
        <v>#N/A</v>
      </c>
      <c r="AE349" s="62" t="e">
        <f t="shared" ca="1" si="78"/>
        <v>#N/A</v>
      </c>
    </row>
    <row r="350" spans="18:31" x14ac:dyDescent="0.25">
      <c r="R350" s="92" t="str">
        <f ca="1"/>
        <v/>
      </c>
      <c r="S350" s="62" t="str">
        <f t="shared" ca="1" si="73"/>
        <v/>
      </c>
      <c r="T350" s="62" t="e">
        <f t="shared" ca="1" si="67"/>
        <v>#N/A</v>
      </c>
      <c r="U350" s="62" t="e">
        <f t="shared" ca="1" si="68"/>
        <v>#N/A</v>
      </c>
      <c r="V350" s="62" t="e">
        <f t="shared" ca="1" si="69"/>
        <v>#N/A</v>
      </c>
      <c r="W350" s="60" t="e">
        <f t="shared" ca="1" si="70"/>
        <v>#N/A</v>
      </c>
      <c r="X350" s="60" t="e">
        <f t="shared" ca="1" si="74"/>
        <v>#N/A</v>
      </c>
      <c r="Y350" s="60" t="e">
        <f t="shared" ca="1" si="71"/>
        <v>#N/A</v>
      </c>
      <c r="Z350" s="60" t="e">
        <f t="shared" ca="1" si="72"/>
        <v>#N/A</v>
      </c>
      <c r="AA350" s="92" t="str">
        <f ca="1"/>
        <v/>
      </c>
      <c r="AB350" s="62" t="str">
        <f t="shared" ca="1" si="75"/>
        <v/>
      </c>
      <c r="AC350" s="62" t="e">
        <f t="shared" ca="1" si="76"/>
        <v>#N/A</v>
      </c>
      <c r="AD350" s="62" t="e">
        <f t="shared" ca="1" si="77"/>
        <v>#N/A</v>
      </c>
      <c r="AE350" s="62" t="e">
        <f t="shared" ca="1" si="78"/>
        <v>#N/A</v>
      </c>
    </row>
    <row r="351" spans="18:31" x14ac:dyDescent="0.25">
      <c r="R351" s="92" t="str">
        <f ca="1"/>
        <v/>
      </c>
      <c r="S351" s="62" t="str">
        <f t="shared" ca="1" si="73"/>
        <v/>
      </c>
      <c r="T351" s="62" t="e">
        <f t="shared" ca="1" si="67"/>
        <v>#N/A</v>
      </c>
      <c r="U351" s="62" t="e">
        <f t="shared" ca="1" si="68"/>
        <v>#N/A</v>
      </c>
      <c r="V351" s="62" t="e">
        <f t="shared" ca="1" si="69"/>
        <v>#N/A</v>
      </c>
      <c r="W351" s="60" t="e">
        <f t="shared" ca="1" si="70"/>
        <v>#N/A</v>
      </c>
      <c r="X351" s="60" t="e">
        <f t="shared" ca="1" si="74"/>
        <v>#N/A</v>
      </c>
      <c r="Y351" s="60" t="e">
        <f t="shared" ca="1" si="71"/>
        <v>#N/A</v>
      </c>
      <c r="Z351" s="60" t="e">
        <f t="shared" ca="1" si="72"/>
        <v>#N/A</v>
      </c>
      <c r="AA351" s="92" t="str">
        <f ca="1"/>
        <v/>
      </c>
      <c r="AB351" s="62" t="str">
        <f t="shared" ca="1" si="75"/>
        <v/>
      </c>
      <c r="AC351" s="62" t="e">
        <f t="shared" ca="1" si="76"/>
        <v>#N/A</v>
      </c>
      <c r="AD351" s="62" t="e">
        <f t="shared" ca="1" si="77"/>
        <v>#N/A</v>
      </c>
      <c r="AE351" s="62" t="e">
        <f t="shared" ca="1" si="78"/>
        <v>#N/A</v>
      </c>
    </row>
    <row r="352" spans="18:31" x14ac:dyDescent="0.25">
      <c r="R352" s="92" t="str">
        <f ca="1"/>
        <v/>
      </c>
      <c r="S352" s="62" t="str">
        <f t="shared" ca="1" si="73"/>
        <v/>
      </c>
      <c r="T352" s="62" t="e">
        <f t="shared" ca="1" si="67"/>
        <v>#N/A</v>
      </c>
      <c r="U352" s="62" t="e">
        <f t="shared" ca="1" si="68"/>
        <v>#N/A</v>
      </c>
      <c r="V352" s="62" t="e">
        <f t="shared" ca="1" si="69"/>
        <v>#N/A</v>
      </c>
      <c r="W352" s="60" t="e">
        <f t="shared" ca="1" si="70"/>
        <v>#N/A</v>
      </c>
      <c r="X352" s="60" t="e">
        <f t="shared" ca="1" si="74"/>
        <v>#N/A</v>
      </c>
      <c r="Y352" s="60" t="e">
        <f t="shared" ca="1" si="71"/>
        <v>#N/A</v>
      </c>
      <c r="Z352" s="60" t="e">
        <f t="shared" ca="1" si="72"/>
        <v>#N/A</v>
      </c>
      <c r="AA352" s="92" t="str">
        <f ca="1"/>
        <v/>
      </c>
      <c r="AB352" s="62" t="str">
        <f t="shared" ca="1" si="75"/>
        <v/>
      </c>
      <c r="AC352" s="62" t="e">
        <f t="shared" ca="1" si="76"/>
        <v>#N/A</v>
      </c>
      <c r="AD352" s="62" t="e">
        <f t="shared" ca="1" si="77"/>
        <v>#N/A</v>
      </c>
      <c r="AE352" s="62" t="e">
        <f t="shared" ca="1" si="78"/>
        <v>#N/A</v>
      </c>
    </row>
    <row r="353" spans="18:31" x14ac:dyDescent="0.25">
      <c r="R353" s="92" t="str">
        <f ca="1"/>
        <v/>
      </c>
      <c r="S353" s="62" t="str">
        <f t="shared" ca="1" si="73"/>
        <v/>
      </c>
      <c r="T353" s="62" t="e">
        <f t="shared" ca="1" si="67"/>
        <v>#N/A</v>
      </c>
      <c r="U353" s="62" t="e">
        <f t="shared" ca="1" si="68"/>
        <v>#N/A</v>
      </c>
      <c r="V353" s="62" t="e">
        <f t="shared" ca="1" si="69"/>
        <v>#N/A</v>
      </c>
      <c r="W353" s="60" t="e">
        <f t="shared" ca="1" si="70"/>
        <v>#N/A</v>
      </c>
      <c r="X353" s="60" t="e">
        <f t="shared" ca="1" si="74"/>
        <v>#N/A</v>
      </c>
      <c r="Y353" s="60" t="e">
        <f t="shared" ca="1" si="71"/>
        <v>#N/A</v>
      </c>
      <c r="Z353" s="60" t="e">
        <f t="shared" ca="1" si="72"/>
        <v>#N/A</v>
      </c>
      <c r="AA353" s="92" t="str">
        <f ca="1"/>
        <v/>
      </c>
      <c r="AB353" s="62" t="str">
        <f t="shared" ca="1" si="75"/>
        <v/>
      </c>
      <c r="AC353" s="62" t="e">
        <f t="shared" ca="1" si="76"/>
        <v>#N/A</v>
      </c>
      <c r="AD353" s="62" t="e">
        <f t="shared" ca="1" si="77"/>
        <v>#N/A</v>
      </c>
      <c r="AE353" s="62" t="e">
        <f t="shared" ca="1" si="78"/>
        <v>#N/A</v>
      </c>
    </row>
    <row r="354" spans="18:31" x14ac:dyDescent="0.25">
      <c r="R354" s="92" t="str">
        <f ca="1"/>
        <v/>
      </c>
      <c r="S354" s="62" t="str">
        <f t="shared" ca="1" si="73"/>
        <v/>
      </c>
      <c r="T354" s="62" t="e">
        <f t="shared" ca="1" si="67"/>
        <v>#N/A</v>
      </c>
      <c r="U354" s="62" t="e">
        <f t="shared" ca="1" si="68"/>
        <v>#N/A</v>
      </c>
      <c r="V354" s="62" t="e">
        <f t="shared" ca="1" si="69"/>
        <v>#N/A</v>
      </c>
      <c r="W354" s="60" t="e">
        <f t="shared" ca="1" si="70"/>
        <v>#N/A</v>
      </c>
      <c r="X354" s="60" t="e">
        <f t="shared" ca="1" si="74"/>
        <v>#N/A</v>
      </c>
      <c r="Y354" s="60" t="e">
        <f t="shared" ca="1" si="71"/>
        <v>#N/A</v>
      </c>
      <c r="Z354" s="60" t="e">
        <f t="shared" ca="1" si="72"/>
        <v>#N/A</v>
      </c>
      <c r="AA354" s="92" t="str">
        <f ca="1"/>
        <v/>
      </c>
      <c r="AB354" s="62" t="str">
        <f t="shared" ca="1" si="75"/>
        <v/>
      </c>
      <c r="AC354" s="62" t="e">
        <f t="shared" ca="1" si="76"/>
        <v>#N/A</v>
      </c>
      <c r="AD354" s="62" t="e">
        <f t="shared" ca="1" si="77"/>
        <v>#N/A</v>
      </c>
      <c r="AE354" s="62" t="e">
        <f t="shared" ca="1" si="78"/>
        <v>#N/A</v>
      </c>
    </row>
    <row r="355" spans="18:31" x14ac:dyDescent="0.25">
      <c r="R355" s="92" t="str">
        <f ca="1"/>
        <v/>
      </c>
      <c r="S355" s="62" t="str">
        <f t="shared" ca="1" si="73"/>
        <v/>
      </c>
      <c r="T355" s="62" t="e">
        <f t="shared" ca="1" si="67"/>
        <v>#N/A</v>
      </c>
      <c r="U355" s="62" t="e">
        <f t="shared" ca="1" si="68"/>
        <v>#N/A</v>
      </c>
      <c r="V355" s="62" t="e">
        <f t="shared" ca="1" si="69"/>
        <v>#N/A</v>
      </c>
      <c r="W355" s="60" t="e">
        <f t="shared" ca="1" si="70"/>
        <v>#N/A</v>
      </c>
      <c r="X355" s="60" t="e">
        <f t="shared" ca="1" si="74"/>
        <v>#N/A</v>
      </c>
      <c r="Y355" s="60" t="e">
        <f t="shared" ca="1" si="71"/>
        <v>#N/A</v>
      </c>
      <c r="Z355" s="60" t="e">
        <f t="shared" ca="1" si="72"/>
        <v>#N/A</v>
      </c>
      <c r="AA355" s="92" t="str">
        <f ca="1"/>
        <v/>
      </c>
      <c r="AB355" s="62" t="str">
        <f t="shared" ca="1" si="75"/>
        <v/>
      </c>
      <c r="AC355" s="62" t="e">
        <f t="shared" ca="1" si="76"/>
        <v>#N/A</v>
      </c>
      <c r="AD355" s="62" t="e">
        <f t="shared" ca="1" si="77"/>
        <v>#N/A</v>
      </c>
      <c r="AE355" s="62" t="e">
        <f t="shared" ca="1" si="78"/>
        <v>#N/A</v>
      </c>
    </row>
    <row r="356" spans="18:31" x14ac:dyDescent="0.25">
      <c r="R356" s="92" t="str">
        <f ca="1"/>
        <v/>
      </c>
      <c r="S356" s="62" t="str">
        <f t="shared" ca="1" si="73"/>
        <v/>
      </c>
      <c r="T356" s="62" t="e">
        <f t="shared" ca="1" si="67"/>
        <v>#N/A</v>
      </c>
      <c r="U356" s="62" t="e">
        <f t="shared" ca="1" si="68"/>
        <v>#N/A</v>
      </c>
      <c r="V356" s="62" t="e">
        <f t="shared" ca="1" si="69"/>
        <v>#N/A</v>
      </c>
      <c r="W356" s="60" t="e">
        <f t="shared" ca="1" si="70"/>
        <v>#N/A</v>
      </c>
      <c r="X356" s="60" t="e">
        <f t="shared" ca="1" si="74"/>
        <v>#N/A</v>
      </c>
      <c r="Y356" s="60" t="e">
        <f t="shared" ca="1" si="71"/>
        <v>#N/A</v>
      </c>
      <c r="Z356" s="60" t="e">
        <f t="shared" ca="1" si="72"/>
        <v>#N/A</v>
      </c>
      <c r="AA356" s="92" t="str">
        <f ca="1"/>
        <v/>
      </c>
      <c r="AB356" s="62" t="str">
        <f t="shared" ca="1" si="75"/>
        <v/>
      </c>
      <c r="AC356" s="62" t="e">
        <f t="shared" ca="1" si="76"/>
        <v>#N/A</v>
      </c>
      <c r="AD356" s="62" t="e">
        <f t="shared" ca="1" si="77"/>
        <v>#N/A</v>
      </c>
      <c r="AE356" s="62" t="e">
        <f t="shared" ca="1" si="78"/>
        <v>#N/A</v>
      </c>
    </row>
    <row r="357" spans="18:31" x14ac:dyDescent="0.25">
      <c r="R357" s="92" t="str">
        <f ca="1"/>
        <v/>
      </c>
      <c r="S357" s="62" t="str">
        <f t="shared" ca="1" si="73"/>
        <v/>
      </c>
      <c r="T357" s="62" t="e">
        <f t="shared" ca="1" si="67"/>
        <v>#N/A</v>
      </c>
      <c r="U357" s="62" t="e">
        <f t="shared" ca="1" si="68"/>
        <v>#N/A</v>
      </c>
      <c r="V357" s="62" t="e">
        <f t="shared" ca="1" si="69"/>
        <v>#N/A</v>
      </c>
      <c r="W357" s="60" t="e">
        <f t="shared" ca="1" si="70"/>
        <v>#N/A</v>
      </c>
      <c r="X357" s="60" t="e">
        <f t="shared" ca="1" si="74"/>
        <v>#N/A</v>
      </c>
      <c r="Y357" s="60" t="e">
        <f t="shared" ca="1" si="71"/>
        <v>#N/A</v>
      </c>
      <c r="Z357" s="60" t="e">
        <f t="shared" ca="1" si="72"/>
        <v>#N/A</v>
      </c>
      <c r="AA357" s="92" t="str">
        <f ca="1"/>
        <v/>
      </c>
      <c r="AB357" s="62" t="str">
        <f t="shared" ca="1" si="75"/>
        <v/>
      </c>
      <c r="AC357" s="62" t="e">
        <f t="shared" ca="1" si="76"/>
        <v>#N/A</v>
      </c>
      <c r="AD357" s="62" t="e">
        <f t="shared" ca="1" si="77"/>
        <v>#N/A</v>
      </c>
      <c r="AE357" s="62" t="e">
        <f t="shared" ca="1" si="78"/>
        <v>#N/A</v>
      </c>
    </row>
    <row r="358" spans="18:31" x14ac:dyDescent="0.25">
      <c r="R358" s="92" t="str">
        <f ca="1"/>
        <v/>
      </c>
      <c r="S358" s="62" t="str">
        <f t="shared" ca="1" si="73"/>
        <v/>
      </c>
      <c r="T358" s="62" t="e">
        <f t="shared" ca="1" si="67"/>
        <v>#N/A</v>
      </c>
      <c r="U358" s="62" t="e">
        <f t="shared" ca="1" si="68"/>
        <v>#N/A</v>
      </c>
      <c r="V358" s="62" t="e">
        <f t="shared" ca="1" si="69"/>
        <v>#N/A</v>
      </c>
      <c r="W358" s="60" t="e">
        <f t="shared" ca="1" si="70"/>
        <v>#N/A</v>
      </c>
      <c r="X358" s="60" t="e">
        <f t="shared" ca="1" si="74"/>
        <v>#N/A</v>
      </c>
      <c r="Y358" s="60" t="e">
        <f t="shared" ca="1" si="71"/>
        <v>#N/A</v>
      </c>
      <c r="Z358" s="60" t="e">
        <f t="shared" ca="1" si="72"/>
        <v>#N/A</v>
      </c>
      <c r="AA358" s="92" t="str">
        <f ca="1"/>
        <v/>
      </c>
      <c r="AB358" s="62" t="str">
        <f t="shared" ca="1" si="75"/>
        <v/>
      </c>
      <c r="AC358" s="62" t="e">
        <f t="shared" ca="1" si="76"/>
        <v>#N/A</v>
      </c>
      <c r="AD358" s="62" t="e">
        <f t="shared" ca="1" si="77"/>
        <v>#N/A</v>
      </c>
      <c r="AE358" s="62" t="e">
        <f t="shared" ca="1" si="78"/>
        <v>#N/A</v>
      </c>
    </row>
    <row r="359" spans="18:31" x14ac:dyDescent="0.25">
      <c r="R359" s="92" t="str">
        <f ca="1"/>
        <v/>
      </c>
      <c r="S359" s="62" t="str">
        <f t="shared" ca="1" si="73"/>
        <v/>
      </c>
      <c r="T359" s="62" t="e">
        <f t="shared" ca="1" si="67"/>
        <v>#N/A</v>
      </c>
      <c r="U359" s="62" t="e">
        <f t="shared" ca="1" si="68"/>
        <v>#N/A</v>
      </c>
      <c r="V359" s="62" t="e">
        <f t="shared" ca="1" si="69"/>
        <v>#N/A</v>
      </c>
      <c r="W359" s="60" t="e">
        <f t="shared" ca="1" si="70"/>
        <v>#N/A</v>
      </c>
      <c r="X359" s="60" t="e">
        <f t="shared" ca="1" si="74"/>
        <v>#N/A</v>
      </c>
      <c r="Y359" s="60" t="e">
        <f t="shared" ca="1" si="71"/>
        <v>#N/A</v>
      </c>
      <c r="Z359" s="60" t="e">
        <f t="shared" ca="1" si="72"/>
        <v>#N/A</v>
      </c>
      <c r="AA359" s="92" t="str">
        <f ca="1"/>
        <v/>
      </c>
      <c r="AB359" s="62" t="str">
        <f t="shared" ca="1" si="75"/>
        <v/>
      </c>
      <c r="AC359" s="62" t="e">
        <f t="shared" ca="1" si="76"/>
        <v>#N/A</v>
      </c>
      <c r="AD359" s="62" t="e">
        <f t="shared" ca="1" si="77"/>
        <v>#N/A</v>
      </c>
      <c r="AE359" s="62" t="e">
        <f t="shared" ca="1" si="78"/>
        <v>#N/A</v>
      </c>
    </row>
    <row r="360" spans="18:31" x14ac:dyDescent="0.25">
      <c r="R360" s="92" t="str">
        <f ca="1"/>
        <v/>
      </c>
      <c r="S360" s="62" t="str">
        <f t="shared" ca="1" si="73"/>
        <v/>
      </c>
      <c r="T360" s="62" t="e">
        <f t="shared" ca="1" si="67"/>
        <v>#N/A</v>
      </c>
      <c r="U360" s="62" t="e">
        <f t="shared" ca="1" si="68"/>
        <v>#N/A</v>
      </c>
      <c r="V360" s="62" t="e">
        <f t="shared" ca="1" si="69"/>
        <v>#N/A</v>
      </c>
      <c r="W360" s="60" t="e">
        <f t="shared" ca="1" si="70"/>
        <v>#N/A</v>
      </c>
      <c r="X360" s="60" t="e">
        <f t="shared" ca="1" si="74"/>
        <v>#N/A</v>
      </c>
      <c r="Y360" s="60" t="e">
        <f t="shared" ca="1" si="71"/>
        <v>#N/A</v>
      </c>
      <c r="Z360" s="60" t="e">
        <f t="shared" ca="1" si="72"/>
        <v>#N/A</v>
      </c>
      <c r="AA360" s="92" t="str">
        <f ca="1"/>
        <v/>
      </c>
      <c r="AB360" s="62" t="str">
        <f t="shared" ca="1" si="75"/>
        <v/>
      </c>
      <c r="AC360" s="62" t="e">
        <f t="shared" ca="1" si="76"/>
        <v>#N/A</v>
      </c>
      <c r="AD360" s="62" t="e">
        <f t="shared" ca="1" si="77"/>
        <v>#N/A</v>
      </c>
      <c r="AE360" s="62" t="e">
        <f t="shared" ca="1" si="78"/>
        <v>#N/A</v>
      </c>
    </row>
    <row r="361" spans="18:31" x14ac:dyDescent="0.25">
      <c r="R361" s="92" t="str">
        <f ca="1"/>
        <v/>
      </c>
      <c r="S361" s="62" t="str">
        <f t="shared" ca="1" si="73"/>
        <v/>
      </c>
      <c r="T361" s="62" t="e">
        <f t="shared" ca="1" si="67"/>
        <v>#N/A</v>
      </c>
      <c r="U361" s="62" t="e">
        <f t="shared" ca="1" si="68"/>
        <v>#N/A</v>
      </c>
      <c r="V361" s="62" t="e">
        <f t="shared" ca="1" si="69"/>
        <v>#N/A</v>
      </c>
      <c r="W361" s="60" t="e">
        <f t="shared" ca="1" si="70"/>
        <v>#N/A</v>
      </c>
      <c r="X361" s="60" t="e">
        <f t="shared" ca="1" si="74"/>
        <v>#N/A</v>
      </c>
      <c r="Y361" s="60" t="e">
        <f t="shared" ca="1" si="71"/>
        <v>#N/A</v>
      </c>
      <c r="Z361" s="60" t="e">
        <f t="shared" ca="1" si="72"/>
        <v>#N/A</v>
      </c>
      <c r="AA361" s="92" t="str">
        <f ca="1"/>
        <v/>
      </c>
      <c r="AB361" s="62" t="str">
        <f t="shared" ca="1" si="75"/>
        <v/>
      </c>
      <c r="AC361" s="62" t="e">
        <f t="shared" ca="1" si="76"/>
        <v>#N/A</v>
      </c>
      <c r="AD361" s="62" t="e">
        <f t="shared" ca="1" si="77"/>
        <v>#N/A</v>
      </c>
      <c r="AE361" s="62" t="e">
        <f t="shared" ca="1" si="78"/>
        <v>#N/A</v>
      </c>
    </row>
    <row r="362" spans="18:31" x14ac:dyDescent="0.25">
      <c r="R362" s="92" t="str">
        <f ca="1"/>
        <v/>
      </c>
      <c r="S362" s="62" t="str">
        <f t="shared" ca="1" si="73"/>
        <v/>
      </c>
      <c r="T362" s="62" t="e">
        <f t="shared" ca="1" si="67"/>
        <v>#N/A</v>
      </c>
      <c r="U362" s="62" t="e">
        <f t="shared" ca="1" si="68"/>
        <v>#N/A</v>
      </c>
      <c r="V362" s="62" t="e">
        <f t="shared" ca="1" si="69"/>
        <v>#N/A</v>
      </c>
      <c r="W362" s="60" t="e">
        <f t="shared" ca="1" si="70"/>
        <v>#N/A</v>
      </c>
      <c r="X362" s="60" t="e">
        <f t="shared" ca="1" si="74"/>
        <v>#N/A</v>
      </c>
      <c r="Y362" s="60" t="e">
        <f t="shared" ca="1" si="71"/>
        <v>#N/A</v>
      </c>
      <c r="Z362" s="60" t="e">
        <f t="shared" ca="1" si="72"/>
        <v>#N/A</v>
      </c>
      <c r="AA362" s="92" t="str">
        <f ca="1"/>
        <v/>
      </c>
      <c r="AB362" s="62" t="str">
        <f t="shared" ca="1" si="75"/>
        <v/>
      </c>
      <c r="AC362" s="62" t="e">
        <f t="shared" ca="1" si="76"/>
        <v>#N/A</v>
      </c>
      <c r="AD362" s="62" t="e">
        <f t="shared" ca="1" si="77"/>
        <v>#N/A</v>
      </c>
      <c r="AE362" s="62" t="e">
        <f t="shared" ca="1" si="78"/>
        <v>#N/A</v>
      </c>
    </row>
    <row r="363" spans="18:31" x14ac:dyDescent="0.25">
      <c r="R363" s="92" t="str">
        <f ca="1"/>
        <v/>
      </c>
      <c r="S363" s="62" t="str">
        <f t="shared" ca="1" si="73"/>
        <v/>
      </c>
      <c r="T363" s="62" t="e">
        <f t="shared" ca="1" si="67"/>
        <v>#N/A</v>
      </c>
      <c r="U363" s="62" t="e">
        <f t="shared" ca="1" si="68"/>
        <v>#N/A</v>
      </c>
      <c r="V363" s="62" t="e">
        <f t="shared" ca="1" si="69"/>
        <v>#N/A</v>
      </c>
      <c r="W363" s="60" t="e">
        <f t="shared" ca="1" si="70"/>
        <v>#N/A</v>
      </c>
      <c r="X363" s="60" t="e">
        <f t="shared" ca="1" si="74"/>
        <v>#N/A</v>
      </c>
      <c r="Y363" s="60" t="e">
        <f t="shared" ca="1" si="71"/>
        <v>#N/A</v>
      </c>
      <c r="Z363" s="60" t="e">
        <f t="shared" ca="1" si="72"/>
        <v>#N/A</v>
      </c>
      <c r="AA363" s="92" t="str">
        <f ca="1"/>
        <v/>
      </c>
      <c r="AB363" s="62" t="str">
        <f t="shared" ca="1" si="75"/>
        <v/>
      </c>
      <c r="AC363" s="62" t="e">
        <f t="shared" ca="1" si="76"/>
        <v>#N/A</v>
      </c>
      <c r="AD363" s="62" t="e">
        <f t="shared" ca="1" si="77"/>
        <v>#N/A</v>
      </c>
      <c r="AE363" s="62" t="e">
        <f t="shared" ca="1" si="78"/>
        <v>#N/A</v>
      </c>
    </row>
    <row r="364" spans="18:31" x14ac:dyDescent="0.25">
      <c r="R364" s="92" t="str">
        <f ca="1"/>
        <v/>
      </c>
      <c r="S364" s="62" t="str">
        <f t="shared" ca="1" si="73"/>
        <v/>
      </c>
      <c r="T364" s="62" t="e">
        <f t="shared" ca="1" si="67"/>
        <v>#N/A</v>
      </c>
      <c r="U364" s="62" t="e">
        <f t="shared" ca="1" si="68"/>
        <v>#N/A</v>
      </c>
      <c r="V364" s="62" t="e">
        <f t="shared" ca="1" si="69"/>
        <v>#N/A</v>
      </c>
      <c r="W364" s="60" t="e">
        <f t="shared" ca="1" si="70"/>
        <v>#N/A</v>
      </c>
      <c r="X364" s="60" t="e">
        <f t="shared" ca="1" si="74"/>
        <v>#N/A</v>
      </c>
      <c r="Y364" s="60" t="e">
        <f t="shared" ca="1" si="71"/>
        <v>#N/A</v>
      </c>
      <c r="Z364" s="60" t="e">
        <f t="shared" ca="1" si="72"/>
        <v>#N/A</v>
      </c>
      <c r="AA364" s="92" t="str">
        <f ca="1"/>
        <v/>
      </c>
      <c r="AB364" s="62" t="str">
        <f t="shared" ca="1" si="75"/>
        <v/>
      </c>
      <c r="AC364" s="62" t="e">
        <f t="shared" ca="1" si="76"/>
        <v>#N/A</v>
      </c>
      <c r="AD364" s="62" t="e">
        <f t="shared" ca="1" si="77"/>
        <v>#N/A</v>
      </c>
      <c r="AE364" s="62" t="e">
        <f t="shared" ca="1" si="78"/>
        <v>#N/A</v>
      </c>
    </row>
    <row r="365" spans="18:31" x14ac:dyDescent="0.25">
      <c r="R365" s="92" t="str">
        <f ca="1"/>
        <v/>
      </c>
      <c r="S365" s="62" t="str">
        <f t="shared" ca="1" si="73"/>
        <v/>
      </c>
      <c r="T365" s="62" t="e">
        <f t="shared" ca="1" si="67"/>
        <v>#N/A</v>
      </c>
      <c r="U365" s="62" t="e">
        <f t="shared" ca="1" si="68"/>
        <v>#N/A</v>
      </c>
      <c r="V365" s="62" t="e">
        <f t="shared" ca="1" si="69"/>
        <v>#N/A</v>
      </c>
      <c r="W365" s="60" t="e">
        <f t="shared" ca="1" si="70"/>
        <v>#N/A</v>
      </c>
      <c r="X365" s="60" t="e">
        <f t="shared" ca="1" si="74"/>
        <v>#N/A</v>
      </c>
      <c r="Y365" s="60" t="e">
        <f t="shared" ca="1" si="71"/>
        <v>#N/A</v>
      </c>
      <c r="Z365" s="60" t="e">
        <f t="shared" ca="1" si="72"/>
        <v>#N/A</v>
      </c>
      <c r="AA365" s="92" t="str">
        <f ca="1"/>
        <v/>
      </c>
      <c r="AB365" s="62" t="str">
        <f t="shared" ca="1" si="75"/>
        <v/>
      </c>
      <c r="AC365" s="62" t="e">
        <f t="shared" ca="1" si="76"/>
        <v>#N/A</v>
      </c>
      <c r="AD365" s="62" t="e">
        <f t="shared" ca="1" si="77"/>
        <v>#N/A</v>
      </c>
      <c r="AE365" s="62" t="e">
        <f t="shared" ca="1" si="78"/>
        <v>#N/A</v>
      </c>
    </row>
    <row r="366" spans="18:31" x14ac:dyDescent="0.25">
      <c r="R366" s="92" t="str">
        <f ca="1"/>
        <v/>
      </c>
      <c r="S366" s="62" t="str">
        <f t="shared" ca="1" si="73"/>
        <v/>
      </c>
      <c r="T366" s="62" t="e">
        <f t="shared" ca="1" si="67"/>
        <v>#N/A</v>
      </c>
      <c r="U366" s="62" t="e">
        <f t="shared" ca="1" si="68"/>
        <v>#N/A</v>
      </c>
      <c r="V366" s="62" t="e">
        <f t="shared" ca="1" si="69"/>
        <v>#N/A</v>
      </c>
      <c r="W366" s="60" t="e">
        <f t="shared" ca="1" si="70"/>
        <v>#N/A</v>
      </c>
      <c r="X366" s="60" t="e">
        <f t="shared" ca="1" si="74"/>
        <v>#N/A</v>
      </c>
      <c r="Y366" s="60" t="e">
        <f t="shared" ca="1" si="71"/>
        <v>#N/A</v>
      </c>
      <c r="Z366" s="60" t="e">
        <f t="shared" ca="1" si="72"/>
        <v>#N/A</v>
      </c>
      <c r="AA366" s="92" t="str">
        <f ca="1"/>
        <v/>
      </c>
      <c r="AB366" s="62" t="str">
        <f t="shared" ca="1" si="75"/>
        <v/>
      </c>
      <c r="AC366" s="62" t="e">
        <f t="shared" ca="1" si="76"/>
        <v>#N/A</v>
      </c>
      <c r="AD366" s="62" t="e">
        <f t="shared" ca="1" si="77"/>
        <v>#N/A</v>
      </c>
      <c r="AE366" s="62" t="e">
        <f t="shared" ca="1" si="78"/>
        <v>#N/A</v>
      </c>
    </row>
    <row r="367" spans="18:31" x14ac:dyDescent="0.25">
      <c r="R367" s="92" t="str">
        <f ca="1"/>
        <v/>
      </c>
      <c r="S367" s="62" t="str">
        <f t="shared" ca="1" si="73"/>
        <v/>
      </c>
      <c r="T367" s="62" t="e">
        <f t="shared" ca="1" si="67"/>
        <v>#N/A</v>
      </c>
      <c r="U367" s="62" t="e">
        <f t="shared" ca="1" si="68"/>
        <v>#N/A</v>
      </c>
      <c r="V367" s="62" t="e">
        <f t="shared" ca="1" si="69"/>
        <v>#N/A</v>
      </c>
      <c r="W367" s="60" t="e">
        <f t="shared" ca="1" si="70"/>
        <v>#N/A</v>
      </c>
      <c r="X367" s="60" t="e">
        <f t="shared" ca="1" si="74"/>
        <v>#N/A</v>
      </c>
      <c r="Y367" s="60" t="e">
        <f t="shared" ca="1" si="71"/>
        <v>#N/A</v>
      </c>
      <c r="Z367" s="60" t="e">
        <f t="shared" ca="1" si="72"/>
        <v>#N/A</v>
      </c>
      <c r="AA367" s="92" t="str">
        <f ca="1"/>
        <v/>
      </c>
      <c r="AB367" s="62" t="str">
        <f t="shared" ca="1" si="75"/>
        <v/>
      </c>
      <c r="AC367" s="62" t="e">
        <f t="shared" ca="1" si="76"/>
        <v>#N/A</v>
      </c>
      <c r="AD367" s="62" t="e">
        <f t="shared" ca="1" si="77"/>
        <v>#N/A</v>
      </c>
      <c r="AE367" s="62" t="e">
        <f t="shared" ca="1" si="78"/>
        <v>#N/A</v>
      </c>
    </row>
    <row r="368" spans="18:31" x14ac:dyDescent="0.25">
      <c r="R368" s="92" t="str">
        <f ca="1"/>
        <v/>
      </c>
      <c r="S368" s="62" t="str">
        <f t="shared" ca="1" si="73"/>
        <v/>
      </c>
      <c r="T368" s="62" t="e">
        <f t="shared" ca="1" si="67"/>
        <v>#N/A</v>
      </c>
      <c r="U368" s="62" t="e">
        <f t="shared" ca="1" si="68"/>
        <v>#N/A</v>
      </c>
      <c r="V368" s="62" t="e">
        <f t="shared" ca="1" si="69"/>
        <v>#N/A</v>
      </c>
      <c r="W368" s="60" t="e">
        <f t="shared" ca="1" si="70"/>
        <v>#N/A</v>
      </c>
      <c r="X368" s="60" t="e">
        <f t="shared" ca="1" si="74"/>
        <v>#N/A</v>
      </c>
      <c r="Y368" s="60" t="e">
        <f t="shared" ca="1" si="71"/>
        <v>#N/A</v>
      </c>
      <c r="Z368" s="60" t="e">
        <f t="shared" ca="1" si="72"/>
        <v>#N/A</v>
      </c>
      <c r="AA368" s="92" t="str">
        <f ca="1"/>
        <v/>
      </c>
      <c r="AB368" s="62" t="str">
        <f t="shared" ca="1" si="75"/>
        <v/>
      </c>
      <c r="AC368" s="62" t="e">
        <f t="shared" ca="1" si="76"/>
        <v>#N/A</v>
      </c>
      <c r="AD368" s="62" t="e">
        <f t="shared" ca="1" si="77"/>
        <v>#N/A</v>
      </c>
      <c r="AE368" s="62" t="e">
        <f t="shared" ca="1" si="78"/>
        <v>#N/A</v>
      </c>
    </row>
    <row r="369" spans="18:31" x14ac:dyDescent="0.25">
      <c r="R369" s="92" t="str">
        <f ca="1"/>
        <v/>
      </c>
      <c r="S369" s="62" t="str">
        <f t="shared" ca="1" si="73"/>
        <v/>
      </c>
      <c r="T369" s="62" t="e">
        <f t="shared" ca="1" si="67"/>
        <v>#N/A</v>
      </c>
      <c r="U369" s="62" t="e">
        <f t="shared" ca="1" si="68"/>
        <v>#N/A</v>
      </c>
      <c r="V369" s="62" t="e">
        <f t="shared" ca="1" si="69"/>
        <v>#N/A</v>
      </c>
      <c r="W369" s="60" t="e">
        <f t="shared" ca="1" si="70"/>
        <v>#N/A</v>
      </c>
      <c r="X369" s="60" t="e">
        <f t="shared" ca="1" si="74"/>
        <v>#N/A</v>
      </c>
      <c r="Y369" s="60" t="e">
        <f t="shared" ca="1" si="71"/>
        <v>#N/A</v>
      </c>
      <c r="Z369" s="60" t="e">
        <f t="shared" ca="1" si="72"/>
        <v>#N/A</v>
      </c>
      <c r="AA369" s="92" t="str">
        <f ca="1"/>
        <v/>
      </c>
      <c r="AB369" s="62" t="str">
        <f t="shared" ca="1" si="75"/>
        <v/>
      </c>
      <c r="AC369" s="62" t="e">
        <f t="shared" ca="1" si="76"/>
        <v>#N/A</v>
      </c>
      <c r="AD369" s="62" t="e">
        <f t="shared" ca="1" si="77"/>
        <v>#N/A</v>
      </c>
      <c r="AE369" s="62" t="e">
        <f t="shared" ca="1" si="78"/>
        <v>#N/A</v>
      </c>
    </row>
    <row r="370" spans="18:31" x14ac:dyDescent="0.25">
      <c r="R370" s="92" t="str">
        <f ca="1"/>
        <v/>
      </c>
      <c r="S370" s="62" t="str">
        <f t="shared" ca="1" si="73"/>
        <v/>
      </c>
      <c r="T370" s="62" t="e">
        <f t="shared" ca="1" si="67"/>
        <v>#N/A</v>
      </c>
      <c r="U370" s="62" t="e">
        <f t="shared" ca="1" si="68"/>
        <v>#N/A</v>
      </c>
      <c r="V370" s="62" t="e">
        <f t="shared" ca="1" si="69"/>
        <v>#N/A</v>
      </c>
      <c r="W370" s="60" t="e">
        <f t="shared" ca="1" si="70"/>
        <v>#N/A</v>
      </c>
      <c r="X370" s="60" t="e">
        <f t="shared" ca="1" si="74"/>
        <v>#N/A</v>
      </c>
      <c r="Y370" s="60" t="e">
        <f t="shared" ca="1" si="71"/>
        <v>#N/A</v>
      </c>
      <c r="Z370" s="60" t="e">
        <f t="shared" ca="1" si="72"/>
        <v>#N/A</v>
      </c>
      <c r="AA370" s="92" t="str">
        <f ca="1"/>
        <v/>
      </c>
      <c r="AB370" s="62" t="str">
        <f t="shared" ca="1" si="75"/>
        <v/>
      </c>
      <c r="AC370" s="62" t="e">
        <f t="shared" ca="1" si="76"/>
        <v>#N/A</v>
      </c>
      <c r="AD370" s="62" t="e">
        <f t="shared" ca="1" si="77"/>
        <v>#N/A</v>
      </c>
      <c r="AE370" s="62" t="e">
        <f t="shared" ca="1" si="78"/>
        <v>#N/A</v>
      </c>
    </row>
    <row r="371" spans="18:31" x14ac:dyDescent="0.25">
      <c r="R371" s="92" t="str">
        <f ca="1"/>
        <v/>
      </c>
      <c r="S371" s="62" t="str">
        <f t="shared" ca="1" si="73"/>
        <v/>
      </c>
      <c r="T371" s="62" t="e">
        <f t="shared" ca="1" si="67"/>
        <v>#N/A</v>
      </c>
      <c r="U371" s="62" t="e">
        <f t="shared" ca="1" si="68"/>
        <v>#N/A</v>
      </c>
      <c r="V371" s="62" t="e">
        <f t="shared" ca="1" si="69"/>
        <v>#N/A</v>
      </c>
      <c r="W371" s="60" t="e">
        <f t="shared" ca="1" si="70"/>
        <v>#N/A</v>
      </c>
      <c r="X371" s="60" t="e">
        <f t="shared" ca="1" si="74"/>
        <v>#N/A</v>
      </c>
      <c r="Y371" s="60" t="e">
        <f t="shared" ca="1" si="71"/>
        <v>#N/A</v>
      </c>
      <c r="Z371" s="60" t="e">
        <f t="shared" ca="1" si="72"/>
        <v>#N/A</v>
      </c>
      <c r="AA371" s="92" t="str">
        <f ca="1"/>
        <v/>
      </c>
      <c r="AB371" s="62" t="str">
        <f t="shared" ca="1" si="75"/>
        <v/>
      </c>
      <c r="AC371" s="62" t="e">
        <f t="shared" ca="1" si="76"/>
        <v>#N/A</v>
      </c>
      <c r="AD371" s="62" t="e">
        <f t="shared" ca="1" si="77"/>
        <v>#N/A</v>
      </c>
      <c r="AE371" s="62" t="e">
        <f t="shared" ca="1" si="78"/>
        <v>#N/A</v>
      </c>
    </row>
    <row r="372" spans="18:31" x14ac:dyDescent="0.25">
      <c r="R372" s="92" t="str">
        <f ca="1"/>
        <v/>
      </c>
      <c r="S372" s="62" t="str">
        <f t="shared" ca="1" si="73"/>
        <v/>
      </c>
      <c r="T372" s="62" t="e">
        <f t="shared" ca="1" si="67"/>
        <v>#N/A</v>
      </c>
      <c r="U372" s="62" t="e">
        <f t="shared" ca="1" si="68"/>
        <v>#N/A</v>
      </c>
      <c r="V372" s="62" t="e">
        <f t="shared" ca="1" si="69"/>
        <v>#N/A</v>
      </c>
      <c r="W372" s="60" t="e">
        <f t="shared" ca="1" si="70"/>
        <v>#N/A</v>
      </c>
      <c r="X372" s="60" t="e">
        <f t="shared" ca="1" si="74"/>
        <v>#N/A</v>
      </c>
      <c r="Y372" s="60" t="e">
        <f t="shared" ca="1" si="71"/>
        <v>#N/A</v>
      </c>
      <c r="Z372" s="60" t="e">
        <f t="shared" ca="1" si="72"/>
        <v>#N/A</v>
      </c>
      <c r="AA372" s="92" t="str">
        <f ca="1"/>
        <v/>
      </c>
      <c r="AB372" s="62" t="str">
        <f t="shared" ca="1" si="75"/>
        <v/>
      </c>
      <c r="AC372" s="62" t="e">
        <f t="shared" ca="1" si="76"/>
        <v>#N/A</v>
      </c>
      <c r="AD372" s="62" t="e">
        <f t="shared" ca="1" si="77"/>
        <v>#N/A</v>
      </c>
      <c r="AE372" s="62" t="e">
        <f t="shared" ca="1" si="78"/>
        <v>#N/A</v>
      </c>
    </row>
    <row r="373" spans="18:31" x14ac:dyDescent="0.25">
      <c r="R373" s="92" t="str">
        <f ca="1"/>
        <v/>
      </c>
      <c r="S373" s="62" t="str">
        <f t="shared" ca="1" si="73"/>
        <v/>
      </c>
      <c r="T373" s="62" t="e">
        <f t="shared" ca="1" si="67"/>
        <v>#N/A</v>
      </c>
      <c r="U373" s="62" t="e">
        <f t="shared" ca="1" si="68"/>
        <v>#N/A</v>
      </c>
      <c r="V373" s="62" t="e">
        <f t="shared" ca="1" si="69"/>
        <v>#N/A</v>
      </c>
      <c r="W373" s="60" t="e">
        <f t="shared" ca="1" si="70"/>
        <v>#N/A</v>
      </c>
      <c r="X373" s="60" t="e">
        <f t="shared" ca="1" si="74"/>
        <v>#N/A</v>
      </c>
      <c r="Y373" s="60" t="e">
        <f t="shared" ca="1" si="71"/>
        <v>#N/A</v>
      </c>
      <c r="Z373" s="60" t="e">
        <f t="shared" ca="1" si="72"/>
        <v>#N/A</v>
      </c>
      <c r="AA373" s="92" t="str">
        <f ca="1"/>
        <v/>
      </c>
      <c r="AB373" s="62" t="str">
        <f t="shared" ca="1" si="75"/>
        <v/>
      </c>
      <c r="AC373" s="62" t="e">
        <f t="shared" ca="1" si="76"/>
        <v>#N/A</v>
      </c>
      <c r="AD373" s="62" t="e">
        <f t="shared" ca="1" si="77"/>
        <v>#N/A</v>
      </c>
      <c r="AE373" s="62" t="e">
        <f t="shared" ca="1" si="78"/>
        <v>#N/A</v>
      </c>
    </row>
    <row r="374" spans="18:31" x14ac:dyDescent="0.25">
      <c r="R374" s="92" t="str">
        <f ca="1"/>
        <v/>
      </c>
      <c r="S374" s="62" t="str">
        <f t="shared" ca="1" si="73"/>
        <v/>
      </c>
      <c r="T374" s="62" t="e">
        <f t="shared" ca="1" si="67"/>
        <v>#N/A</v>
      </c>
      <c r="U374" s="62" t="e">
        <f t="shared" ca="1" si="68"/>
        <v>#N/A</v>
      </c>
      <c r="V374" s="62" t="e">
        <f t="shared" ca="1" si="69"/>
        <v>#N/A</v>
      </c>
      <c r="W374" s="60" t="e">
        <f t="shared" ca="1" si="70"/>
        <v>#N/A</v>
      </c>
      <c r="X374" s="60" t="e">
        <f t="shared" ca="1" si="74"/>
        <v>#N/A</v>
      </c>
      <c r="Y374" s="60" t="e">
        <f t="shared" ca="1" si="71"/>
        <v>#N/A</v>
      </c>
      <c r="Z374" s="60" t="e">
        <f t="shared" ca="1" si="72"/>
        <v>#N/A</v>
      </c>
      <c r="AA374" s="92" t="str">
        <f ca="1"/>
        <v/>
      </c>
      <c r="AB374" s="62" t="str">
        <f t="shared" ca="1" si="75"/>
        <v/>
      </c>
      <c r="AC374" s="62" t="e">
        <f t="shared" ca="1" si="76"/>
        <v>#N/A</v>
      </c>
      <c r="AD374" s="62" t="e">
        <f t="shared" ca="1" si="77"/>
        <v>#N/A</v>
      </c>
      <c r="AE374" s="62" t="e">
        <f t="shared" ca="1" si="78"/>
        <v>#N/A</v>
      </c>
    </row>
    <row r="375" spans="18:31" x14ac:dyDescent="0.25">
      <c r="R375" s="92" t="str">
        <f ca="1"/>
        <v/>
      </c>
      <c r="S375" s="62" t="str">
        <f t="shared" ca="1" si="73"/>
        <v/>
      </c>
      <c r="T375" s="62" t="e">
        <f t="shared" ca="1" si="67"/>
        <v>#N/A</v>
      </c>
      <c r="U375" s="62" t="e">
        <f t="shared" ca="1" si="68"/>
        <v>#N/A</v>
      </c>
      <c r="V375" s="62" t="e">
        <f t="shared" ca="1" si="69"/>
        <v>#N/A</v>
      </c>
      <c r="W375" s="60" t="e">
        <f t="shared" ca="1" si="70"/>
        <v>#N/A</v>
      </c>
      <c r="X375" s="60" t="e">
        <f t="shared" ca="1" si="74"/>
        <v>#N/A</v>
      </c>
      <c r="Y375" s="60" t="e">
        <f t="shared" ca="1" si="71"/>
        <v>#N/A</v>
      </c>
      <c r="Z375" s="60" t="e">
        <f t="shared" ca="1" si="72"/>
        <v>#N/A</v>
      </c>
      <c r="AA375" s="92" t="str">
        <f ca="1"/>
        <v/>
      </c>
      <c r="AB375" s="62" t="str">
        <f t="shared" ca="1" si="75"/>
        <v/>
      </c>
      <c r="AC375" s="62" t="e">
        <f t="shared" ca="1" si="76"/>
        <v>#N/A</v>
      </c>
      <c r="AD375" s="62" t="e">
        <f t="shared" ca="1" si="77"/>
        <v>#N/A</v>
      </c>
      <c r="AE375" s="62" t="e">
        <f t="shared" ca="1" si="78"/>
        <v>#N/A</v>
      </c>
    </row>
    <row r="376" spans="18:31" x14ac:dyDescent="0.25">
      <c r="R376" s="92" t="str">
        <f ca="1"/>
        <v/>
      </c>
      <c r="S376" s="62" t="str">
        <f t="shared" ca="1" si="73"/>
        <v/>
      </c>
      <c r="T376" s="62" t="e">
        <f t="shared" ca="1" si="67"/>
        <v>#N/A</v>
      </c>
      <c r="U376" s="62" t="e">
        <f t="shared" ca="1" si="68"/>
        <v>#N/A</v>
      </c>
      <c r="V376" s="62" t="e">
        <f t="shared" ca="1" si="69"/>
        <v>#N/A</v>
      </c>
      <c r="W376" s="60" t="e">
        <f t="shared" ca="1" si="70"/>
        <v>#N/A</v>
      </c>
      <c r="X376" s="60" t="e">
        <f t="shared" ca="1" si="74"/>
        <v>#N/A</v>
      </c>
      <c r="Y376" s="60" t="e">
        <f t="shared" ca="1" si="71"/>
        <v>#N/A</v>
      </c>
      <c r="Z376" s="60" t="e">
        <f t="shared" ca="1" si="72"/>
        <v>#N/A</v>
      </c>
      <c r="AA376" s="92" t="str">
        <f ca="1"/>
        <v/>
      </c>
      <c r="AB376" s="62" t="str">
        <f t="shared" ca="1" si="75"/>
        <v/>
      </c>
      <c r="AC376" s="62" t="e">
        <f t="shared" ca="1" si="76"/>
        <v>#N/A</v>
      </c>
      <c r="AD376" s="62" t="e">
        <f t="shared" ca="1" si="77"/>
        <v>#N/A</v>
      </c>
      <c r="AE376" s="62" t="e">
        <f t="shared" ca="1" si="78"/>
        <v>#N/A</v>
      </c>
    </row>
    <row r="377" spans="18:31" x14ac:dyDescent="0.25">
      <c r="R377" s="92" t="str">
        <f ca="1"/>
        <v/>
      </c>
      <c r="S377" s="62" t="str">
        <f t="shared" ca="1" si="73"/>
        <v/>
      </c>
      <c r="T377" s="62" t="e">
        <f t="shared" ca="1" si="67"/>
        <v>#N/A</v>
      </c>
      <c r="U377" s="62" t="e">
        <f t="shared" ca="1" si="68"/>
        <v>#N/A</v>
      </c>
      <c r="V377" s="62" t="e">
        <f t="shared" ca="1" si="69"/>
        <v>#N/A</v>
      </c>
      <c r="W377" s="60" t="e">
        <f t="shared" ca="1" si="70"/>
        <v>#N/A</v>
      </c>
      <c r="X377" s="60" t="e">
        <f t="shared" ca="1" si="74"/>
        <v>#N/A</v>
      </c>
      <c r="Y377" s="60" t="e">
        <f t="shared" ca="1" si="71"/>
        <v>#N/A</v>
      </c>
      <c r="Z377" s="60" t="e">
        <f t="shared" ca="1" si="72"/>
        <v>#N/A</v>
      </c>
      <c r="AA377" s="92" t="str">
        <f ca="1"/>
        <v/>
      </c>
      <c r="AB377" s="62" t="str">
        <f t="shared" ca="1" si="75"/>
        <v/>
      </c>
      <c r="AC377" s="62" t="e">
        <f t="shared" ca="1" si="76"/>
        <v>#N/A</v>
      </c>
      <c r="AD377" s="62" t="e">
        <f t="shared" ca="1" si="77"/>
        <v>#N/A</v>
      </c>
      <c r="AE377" s="62" t="e">
        <f t="shared" ca="1" si="78"/>
        <v>#N/A</v>
      </c>
    </row>
    <row r="378" spans="18:31" x14ac:dyDescent="0.25">
      <c r="R378" s="92" t="str">
        <f ca="1"/>
        <v/>
      </c>
      <c r="S378" s="62" t="str">
        <f t="shared" ca="1" si="73"/>
        <v/>
      </c>
      <c r="T378" s="62" t="e">
        <f t="shared" ca="1" si="67"/>
        <v>#N/A</v>
      </c>
      <c r="U378" s="62" t="e">
        <f t="shared" ca="1" si="68"/>
        <v>#N/A</v>
      </c>
      <c r="V378" s="62" t="e">
        <f t="shared" ca="1" si="69"/>
        <v>#N/A</v>
      </c>
      <c r="W378" s="60" t="e">
        <f t="shared" ca="1" si="70"/>
        <v>#N/A</v>
      </c>
      <c r="X378" s="60" t="e">
        <f t="shared" ca="1" si="74"/>
        <v>#N/A</v>
      </c>
      <c r="Y378" s="60" t="e">
        <f t="shared" ca="1" si="71"/>
        <v>#N/A</v>
      </c>
      <c r="Z378" s="60" t="e">
        <f t="shared" ca="1" si="72"/>
        <v>#N/A</v>
      </c>
      <c r="AA378" s="92" t="str">
        <f ca="1"/>
        <v/>
      </c>
      <c r="AB378" s="62" t="str">
        <f t="shared" ca="1" si="75"/>
        <v/>
      </c>
      <c r="AC378" s="62" t="e">
        <f t="shared" ca="1" si="76"/>
        <v>#N/A</v>
      </c>
      <c r="AD378" s="62" t="e">
        <f t="shared" ca="1" si="77"/>
        <v>#N/A</v>
      </c>
      <c r="AE378" s="62" t="e">
        <f t="shared" ca="1" si="78"/>
        <v>#N/A</v>
      </c>
    </row>
    <row r="379" spans="18:31" x14ac:dyDescent="0.25">
      <c r="R379" s="92" t="str">
        <f ca="1"/>
        <v/>
      </c>
      <c r="S379" s="62" t="str">
        <f t="shared" ca="1" si="73"/>
        <v/>
      </c>
      <c r="T379" s="62" t="e">
        <f t="shared" ca="1" si="67"/>
        <v>#N/A</v>
      </c>
      <c r="U379" s="62" t="e">
        <f t="shared" ca="1" si="68"/>
        <v>#N/A</v>
      </c>
      <c r="V379" s="62" t="e">
        <f t="shared" ca="1" si="69"/>
        <v>#N/A</v>
      </c>
      <c r="W379" s="60" t="e">
        <f t="shared" ca="1" si="70"/>
        <v>#N/A</v>
      </c>
      <c r="X379" s="60" t="e">
        <f t="shared" ca="1" si="74"/>
        <v>#N/A</v>
      </c>
      <c r="Y379" s="60" t="e">
        <f t="shared" ca="1" si="71"/>
        <v>#N/A</v>
      </c>
      <c r="Z379" s="60" t="e">
        <f t="shared" ca="1" si="72"/>
        <v>#N/A</v>
      </c>
      <c r="AA379" s="92" t="str">
        <f ca="1"/>
        <v/>
      </c>
      <c r="AB379" s="62" t="str">
        <f t="shared" ca="1" si="75"/>
        <v/>
      </c>
      <c r="AC379" s="62" t="e">
        <f t="shared" ca="1" si="76"/>
        <v>#N/A</v>
      </c>
      <c r="AD379" s="62" t="e">
        <f t="shared" ca="1" si="77"/>
        <v>#N/A</v>
      </c>
      <c r="AE379" s="62" t="e">
        <f t="shared" ca="1" si="78"/>
        <v>#N/A</v>
      </c>
    </row>
    <row r="380" spans="18:31" x14ac:dyDescent="0.25">
      <c r="R380" s="92" t="str">
        <f ca="1"/>
        <v/>
      </c>
      <c r="S380" s="62" t="str">
        <f t="shared" ca="1" si="73"/>
        <v/>
      </c>
      <c r="T380" s="62" t="e">
        <f t="shared" ca="1" si="67"/>
        <v>#N/A</v>
      </c>
      <c r="U380" s="62" t="e">
        <f t="shared" ca="1" si="68"/>
        <v>#N/A</v>
      </c>
      <c r="V380" s="62" t="e">
        <f t="shared" ca="1" si="69"/>
        <v>#N/A</v>
      </c>
      <c r="W380" s="60" t="e">
        <f t="shared" ca="1" si="70"/>
        <v>#N/A</v>
      </c>
      <c r="X380" s="60" t="e">
        <f t="shared" ca="1" si="74"/>
        <v>#N/A</v>
      </c>
      <c r="Y380" s="60" t="e">
        <f t="shared" ca="1" si="71"/>
        <v>#N/A</v>
      </c>
      <c r="Z380" s="60" t="e">
        <f t="shared" ca="1" si="72"/>
        <v>#N/A</v>
      </c>
      <c r="AA380" s="92" t="str">
        <f ca="1"/>
        <v/>
      </c>
      <c r="AB380" s="62" t="str">
        <f t="shared" ca="1" si="75"/>
        <v/>
      </c>
      <c r="AC380" s="62" t="e">
        <f t="shared" ca="1" si="76"/>
        <v>#N/A</v>
      </c>
      <c r="AD380" s="62" t="e">
        <f t="shared" ca="1" si="77"/>
        <v>#N/A</v>
      </c>
      <c r="AE380" s="62" t="e">
        <f t="shared" ca="1" si="78"/>
        <v>#N/A</v>
      </c>
    </row>
    <row r="381" spans="18:31" x14ac:dyDescent="0.25">
      <c r="R381" s="92" t="str">
        <f ca="1"/>
        <v/>
      </c>
      <c r="S381" s="62" t="str">
        <f t="shared" ca="1" si="73"/>
        <v/>
      </c>
      <c r="T381" s="62" t="e">
        <f t="shared" ca="1" si="67"/>
        <v>#N/A</v>
      </c>
      <c r="U381" s="62" t="e">
        <f t="shared" ca="1" si="68"/>
        <v>#N/A</v>
      </c>
      <c r="V381" s="62" t="e">
        <f t="shared" ca="1" si="69"/>
        <v>#N/A</v>
      </c>
      <c r="W381" s="60" t="e">
        <f t="shared" ca="1" si="70"/>
        <v>#N/A</v>
      </c>
      <c r="X381" s="60" t="e">
        <f t="shared" ca="1" si="74"/>
        <v>#N/A</v>
      </c>
      <c r="Y381" s="60" t="e">
        <f t="shared" ca="1" si="71"/>
        <v>#N/A</v>
      </c>
      <c r="Z381" s="60" t="e">
        <f t="shared" ca="1" si="72"/>
        <v>#N/A</v>
      </c>
      <c r="AA381" s="92" t="str">
        <f ca="1"/>
        <v/>
      </c>
      <c r="AB381" s="62" t="str">
        <f t="shared" ca="1" si="75"/>
        <v/>
      </c>
      <c r="AC381" s="62" t="e">
        <f t="shared" ca="1" si="76"/>
        <v>#N/A</v>
      </c>
      <c r="AD381" s="62" t="e">
        <f t="shared" ca="1" si="77"/>
        <v>#N/A</v>
      </c>
      <c r="AE381" s="62" t="e">
        <f t="shared" ca="1" si="78"/>
        <v>#N/A</v>
      </c>
    </row>
    <row r="382" spans="18:31" x14ac:dyDescent="0.25">
      <c r="R382" s="92" t="str">
        <f ca="1"/>
        <v/>
      </c>
      <c r="S382" s="62" t="str">
        <f t="shared" ca="1" si="73"/>
        <v/>
      </c>
      <c r="T382" s="62" t="e">
        <f t="shared" ca="1" si="67"/>
        <v>#N/A</v>
      </c>
      <c r="U382" s="62" t="e">
        <f t="shared" ca="1" si="68"/>
        <v>#N/A</v>
      </c>
      <c r="V382" s="62" t="e">
        <f t="shared" ca="1" si="69"/>
        <v>#N/A</v>
      </c>
      <c r="W382" s="60" t="e">
        <f t="shared" ca="1" si="70"/>
        <v>#N/A</v>
      </c>
      <c r="X382" s="60" t="e">
        <f t="shared" ca="1" si="74"/>
        <v>#N/A</v>
      </c>
      <c r="Y382" s="60" t="e">
        <f t="shared" ca="1" si="71"/>
        <v>#N/A</v>
      </c>
      <c r="Z382" s="60" t="e">
        <f t="shared" ca="1" si="72"/>
        <v>#N/A</v>
      </c>
      <c r="AA382" s="92" t="str">
        <f ca="1"/>
        <v/>
      </c>
      <c r="AB382" s="62" t="str">
        <f t="shared" ca="1" si="75"/>
        <v/>
      </c>
      <c r="AC382" s="62" t="e">
        <f t="shared" ca="1" si="76"/>
        <v>#N/A</v>
      </c>
      <c r="AD382" s="62" t="e">
        <f t="shared" ca="1" si="77"/>
        <v>#N/A</v>
      </c>
      <c r="AE382" s="62" t="e">
        <f t="shared" ca="1" si="78"/>
        <v>#N/A</v>
      </c>
    </row>
    <row r="383" spans="18:31" x14ac:dyDescent="0.25">
      <c r="R383" s="92" t="str">
        <f ca="1"/>
        <v/>
      </c>
      <c r="S383" s="62" t="str">
        <f t="shared" ca="1" si="73"/>
        <v/>
      </c>
      <c r="T383" s="62" t="e">
        <f t="shared" ca="1" si="67"/>
        <v>#N/A</v>
      </c>
      <c r="U383" s="62" t="e">
        <f t="shared" ca="1" si="68"/>
        <v>#N/A</v>
      </c>
      <c r="V383" s="62" t="e">
        <f t="shared" ca="1" si="69"/>
        <v>#N/A</v>
      </c>
      <c r="W383" s="60" t="e">
        <f t="shared" ca="1" si="70"/>
        <v>#N/A</v>
      </c>
      <c r="X383" s="60" t="e">
        <f t="shared" ca="1" si="74"/>
        <v>#N/A</v>
      </c>
      <c r="Y383" s="60" t="e">
        <f t="shared" ca="1" si="71"/>
        <v>#N/A</v>
      </c>
      <c r="Z383" s="60" t="e">
        <f t="shared" ca="1" si="72"/>
        <v>#N/A</v>
      </c>
      <c r="AA383" s="92" t="str">
        <f ca="1"/>
        <v/>
      </c>
      <c r="AB383" s="62" t="str">
        <f t="shared" ca="1" si="75"/>
        <v/>
      </c>
      <c r="AC383" s="62" t="e">
        <f t="shared" ca="1" si="76"/>
        <v>#N/A</v>
      </c>
      <c r="AD383" s="62" t="e">
        <f t="shared" ca="1" si="77"/>
        <v>#N/A</v>
      </c>
      <c r="AE383" s="62" t="e">
        <f t="shared" ca="1" si="78"/>
        <v>#N/A</v>
      </c>
    </row>
    <row r="384" spans="18:31" x14ac:dyDescent="0.25">
      <c r="R384" s="92" t="str">
        <f ca="1"/>
        <v/>
      </c>
      <c r="S384" s="62" t="str">
        <f t="shared" ca="1" si="73"/>
        <v/>
      </c>
      <c r="T384" s="62" t="e">
        <f t="shared" ca="1" si="67"/>
        <v>#N/A</v>
      </c>
      <c r="U384" s="62" t="e">
        <f t="shared" ca="1" si="68"/>
        <v>#N/A</v>
      </c>
      <c r="V384" s="62" t="e">
        <f t="shared" ca="1" si="69"/>
        <v>#N/A</v>
      </c>
      <c r="W384" s="60" t="e">
        <f t="shared" ca="1" si="70"/>
        <v>#N/A</v>
      </c>
      <c r="X384" s="60" t="e">
        <f t="shared" ca="1" si="74"/>
        <v>#N/A</v>
      </c>
      <c r="Y384" s="60" t="e">
        <f t="shared" ca="1" si="71"/>
        <v>#N/A</v>
      </c>
      <c r="Z384" s="60" t="e">
        <f t="shared" ca="1" si="72"/>
        <v>#N/A</v>
      </c>
      <c r="AA384" s="92" t="str">
        <f ca="1"/>
        <v/>
      </c>
      <c r="AB384" s="62" t="str">
        <f t="shared" ca="1" si="75"/>
        <v/>
      </c>
      <c r="AC384" s="62" t="e">
        <f t="shared" ca="1" si="76"/>
        <v>#N/A</v>
      </c>
      <c r="AD384" s="62" t="e">
        <f t="shared" ca="1" si="77"/>
        <v>#N/A</v>
      </c>
      <c r="AE384" s="62" t="e">
        <f t="shared" ca="1" si="78"/>
        <v>#N/A</v>
      </c>
    </row>
    <row r="385" spans="18:31" x14ac:dyDescent="0.25">
      <c r="R385" s="92" t="str">
        <f ca="1"/>
        <v/>
      </c>
      <c r="S385" s="62" t="str">
        <f t="shared" ca="1" si="73"/>
        <v/>
      </c>
      <c r="T385" s="62" t="e">
        <f t="shared" ca="1" si="67"/>
        <v>#N/A</v>
      </c>
      <c r="U385" s="62" t="e">
        <f t="shared" ca="1" si="68"/>
        <v>#N/A</v>
      </c>
      <c r="V385" s="62" t="e">
        <f t="shared" ca="1" si="69"/>
        <v>#N/A</v>
      </c>
      <c r="W385" s="60" t="e">
        <f t="shared" ca="1" si="70"/>
        <v>#N/A</v>
      </c>
      <c r="X385" s="60" t="e">
        <f t="shared" ca="1" si="74"/>
        <v>#N/A</v>
      </c>
      <c r="Y385" s="60" t="e">
        <f t="shared" ca="1" si="71"/>
        <v>#N/A</v>
      </c>
      <c r="Z385" s="60" t="e">
        <f t="shared" ca="1" si="72"/>
        <v>#N/A</v>
      </c>
      <c r="AA385" s="92" t="str">
        <f ca="1"/>
        <v/>
      </c>
      <c r="AB385" s="62" t="str">
        <f t="shared" ca="1" si="75"/>
        <v/>
      </c>
      <c r="AC385" s="62" t="e">
        <f t="shared" ca="1" si="76"/>
        <v>#N/A</v>
      </c>
      <c r="AD385" s="62" t="e">
        <f t="shared" ca="1" si="77"/>
        <v>#N/A</v>
      </c>
      <c r="AE385" s="62" t="e">
        <f t="shared" ca="1" si="78"/>
        <v>#N/A</v>
      </c>
    </row>
    <row r="386" spans="18:31" x14ac:dyDescent="0.25">
      <c r="R386" s="92" t="str">
        <f ca="1"/>
        <v/>
      </c>
      <c r="S386" s="62" t="str">
        <f t="shared" ca="1" si="73"/>
        <v/>
      </c>
      <c r="T386" s="62" t="e">
        <f t="shared" ca="1" si="67"/>
        <v>#N/A</v>
      </c>
      <c r="U386" s="62" t="e">
        <f t="shared" ca="1" si="68"/>
        <v>#N/A</v>
      </c>
      <c r="V386" s="62" t="e">
        <f t="shared" ca="1" si="69"/>
        <v>#N/A</v>
      </c>
      <c r="W386" s="60" t="e">
        <f t="shared" ca="1" si="70"/>
        <v>#N/A</v>
      </c>
      <c r="X386" s="60" t="e">
        <f t="shared" ca="1" si="74"/>
        <v>#N/A</v>
      </c>
      <c r="Y386" s="60" t="e">
        <f t="shared" ca="1" si="71"/>
        <v>#N/A</v>
      </c>
      <c r="Z386" s="60" t="e">
        <f t="shared" ca="1" si="72"/>
        <v>#N/A</v>
      </c>
      <c r="AA386" s="92" t="str">
        <f ca="1"/>
        <v/>
      </c>
      <c r="AB386" s="62" t="str">
        <f t="shared" ca="1" si="75"/>
        <v/>
      </c>
      <c r="AC386" s="62" t="e">
        <f t="shared" ca="1" si="76"/>
        <v>#N/A</v>
      </c>
      <c r="AD386" s="62" t="e">
        <f t="shared" ca="1" si="77"/>
        <v>#N/A</v>
      </c>
      <c r="AE386" s="62" t="e">
        <f t="shared" ca="1" si="78"/>
        <v>#N/A</v>
      </c>
    </row>
    <row r="387" spans="18:31" x14ac:dyDescent="0.25">
      <c r="R387" s="92" t="str">
        <f ca="1"/>
        <v/>
      </c>
      <c r="S387" s="62" t="str">
        <f t="shared" ca="1" si="73"/>
        <v/>
      </c>
      <c r="T387" s="62" t="e">
        <f t="shared" ca="1" si="67"/>
        <v>#N/A</v>
      </c>
      <c r="U387" s="62" t="e">
        <f t="shared" ca="1" si="68"/>
        <v>#N/A</v>
      </c>
      <c r="V387" s="62" t="e">
        <f t="shared" ca="1" si="69"/>
        <v>#N/A</v>
      </c>
      <c r="W387" s="60" t="e">
        <f t="shared" ca="1" si="70"/>
        <v>#N/A</v>
      </c>
      <c r="X387" s="60" t="e">
        <f t="shared" ca="1" si="74"/>
        <v>#N/A</v>
      </c>
      <c r="Y387" s="60" t="e">
        <f t="shared" ca="1" si="71"/>
        <v>#N/A</v>
      </c>
      <c r="Z387" s="60" t="e">
        <f t="shared" ca="1" si="72"/>
        <v>#N/A</v>
      </c>
      <c r="AA387" s="92" t="str">
        <f ca="1"/>
        <v/>
      </c>
      <c r="AB387" s="62" t="str">
        <f t="shared" ca="1" si="75"/>
        <v/>
      </c>
      <c r="AC387" s="62" t="e">
        <f t="shared" ca="1" si="76"/>
        <v>#N/A</v>
      </c>
      <c r="AD387" s="62" t="e">
        <f t="shared" ca="1" si="77"/>
        <v>#N/A</v>
      </c>
      <c r="AE387" s="62" t="e">
        <f t="shared" ca="1" si="78"/>
        <v>#N/A</v>
      </c>
    </row>
    <row r="388" spans="18:31" x14ac:dyDescent="0.25">
      <c r="R388" s="92" t="str">
        <f ca="1"/>
        <v/>
      </c>
      <c r="S388" s="62" t="str">
        <f t="shared" ca="1" si="73"/>
        <v/>
      </c>
      <c r="T388" s="62" t="e">
        <f t="shared" ca="1" si="67"/>
        <v>#N/A</v>
      </c>
      <c r="U388" s="62" t="e">
        <f t="shared" ca="1" si="68"/>
        <v>#N/A</v>
      </c>
      <c r="V388" s="62" t="e">
        <f t="shared" ca="1" si="69"/>
        <v>#N/A</v>
      </c>
      <c r="W388" s="60" t="e">
        <f t="shared" ca="1" si="70"/>
        <v>#N/A</v>
      </c>
      <c r="X388" s="60" t="e">
        <f t="shared" ca="1" si="74"/>
        <v>#N/A</v>
      </c>
      <c r="Y388" s="60" t="e">
        <f t="shared" ca="1" si="71"/>
        <v>#N/A</v>
      </c>
      <c r="Z388" s="60" t="e">
        <f t="shared" ca="1" si="72"/>
        <v>#N/A</v>
      </c>
      <c r="AA388" s="92" t="str">
        <f ca="1"/>
        <v/>
      </c>
      <c r="AB388" s="62" t="str">
        <f t="shared" ca="1" si="75"/>
        <v/>
      </c>
      <c r="AC388" s="62" t="e">
        <f t="shared" ca="1" si="76"/>
        <v>#N/A</v>
      </c>
      <c r="AD388" s="62" t="e">
        <f t="shared" ca="1" si="77"/>
        <v>#N/A</v>
      </c>
      <c r="AE388" s="62" t="e">
        <f t="shared" ca="1" si="78"/>
        <v>#N/A</v>
      </c>
    </row>
    <row r="389" spans="18:31" x14ac:dyDescent="0.25">
      <c r="R389" s="92" t="str">
        <f ca="1"/>
        <v/>
      </c>
      <c r="S389" s="62" t="str">
        <f t="shared" ca="1" si="73"/>
        <v/>
      </c>
      <c r="T389" s="62" t="e">
        <f t="shared" ca="1" si="67"/>
        <v>#N/A</v>
      </c>
      <c r="U389" s="62" t="e">
        <f t="shared" ca="1" si="68"/>
        <v>#N/A</v>
      </c>
      <c r="V389" s="62" t="e">
        <f t="shared" ca="1" si="69"/>
        <v>#N/A</v>
      </c>
      <c r="W389" s="60" t="e">
        <f t="shared" ca="1" si="70"/>
        <v>#N/A</v>
      </c>
      <c r="X389" s="60" t="e">
        <f t="shared" ca="1" si="74"/>
        <v>#N/A</v>
      </c>
      <c r="Y389" s="60" t="e">
        <f t="shared" ca="1" si="71"/>
        <v>#N/A</v>
      </c>
      <c r="Z389" s="60" t="e">
        <f t="shared" ca="1" si="72"/>
        <v>#N/A</v>
      </c>
      <c r="AA389" s="92" t="str">
        <f ca="1"/>
        <v/>
      </c>
      <c r="AB389" s="62" t="str">
        <f t="shared" ca="1" si="75"/>
        <v/>
      </c>
      <c r="AC389" s="62" t="e">
        <f t="shared" ca="1" si="76"/>
        <v>#N/A</v>
      </c>
      <c r="AD389" s="62" t="e">
        <f t="shared" ca="1" si="77"/>
        <v>#N/A</v>
      </c>
      <c r="AE389" s="62" t="e">
        <f t="shared" ca="1" si="78"/>
        <v>#N/A</v>
      </c>
    </row>
    <row r="390" spans="18:31" x14ac:dyDescent="0.25">
      <c r="R390" s="92" t="str">
        <f ca="1"/>
        <v/>
      </c>
      <c r="S390" s="62" t="str">
        <f t="shared" ca="1" si="73"/>
        <v/>
      </c>
      <c r="T390" s="62" t="e">
        <f t="shared" ca="1" si="67"/>
        <v>#N/A</v>
      </c>
      <c r="U390" s="62" t="e">
        <f t="shared" ca="1" si="68"/>
        <v>#N/A</v>
      </c>
      <c r="V390" s="62" t="e">
        <f t="shared" ca="1" si="69"/>
        <v>#N/A</v>
      </c>
      <c r="W390" s="60" t="e">
        <f t="shared" ca="1" si="70"/>
        <v>#N/A</v>
      </c>
      <c r="X390" s="60" t="e">
        <f t="shared" ca="1" si="74"/>
        <v>#N/A</v>
      </c>
      <c r="Y390" s="60" t="e">
        <f t="shared" ca="1" si="71"/>
        <v>#N/A</v>
      </c>
      <c r="Z390" s="60" t="e">
        <f t="shared" ca="1" si="72"/>
        <v>#N/A</v>
      </c>
      <c r="AA390" s="92" t="str">
        <f ca="1"/>
        <v/>
      </c>
      <c r="AB390" s="62" t="str">
        <f t="shared" ca="1" si="75"/>
        <v/>
      </c>
      <c r="AC390" s="62" t="e">
        <f t="shared" ca="1" si="76"/>
        <v>#N/A</v>
      </c>
      <c r="AD390" s="62" t="e">
        <f t="shared" ca="1" si="77"/>
        <v>#N/A</v>
      </c>
      <c r="AE390" s="62" t="e">
        <f t="shared" ca="1" si="78"/>
        <v>#N/A</v>
      </c>
    </row>
    <row r="391" spans="18:31" x14ac:dyDescent="0.25">
      <c r="R391" s="92" t="str">
        <f ca="1"/>
        <v/>
      </c>
      <c r="S391" s="62" t="str">
        <f t="shared" ca="1" si="73"/>
        <v/>
      </c>
      <c r="T391" s="62" t="e">
        <f t="shared" ca="1" si="67"/>
        <v>#N/A</v>
      </c>
      <c r="U391" s="62" t="e">
        <f t="shared" ca="1" si="68"/>
        <v>#N/A</v>
      </c>
      <c r="V391" s="62" t="e">
        <f t="shared" ca="1" si="69"/>
        <v>#N/A</v>
      </c>
      <c r="W391" s="60" t="e">
        <f t="shared" ca="1" si="70"/>
        <v>#N/A</v>
      </c>
      <c r="X391" s="60" t="e">
        <f t="shared" ca="1" si="74"/>
        <v>#N/A</v>
      </c>
      <c r="Y391" s="60" t="e">
        <f t="shared" ca="1" si="71"/>
        <v>#N/A</v>
      </c>
      <c r="Z391" s="60" t="e">
        <f t="shared" ca="1" si="72"/>
        <v>#N/A</v>
      </c>
      <c r="AA391" s="92" t="str">
        <f ca="1"/>
        <v/>
      </c>
      <c r="AB391" s="62" t="str">
        <f t="shared" ca="1" si="75"/>
        <v/>
      </c>
      <c r="AC391" s="62" t="e">
        <f t="shared" ca="1" si="76"/>
        <v>#N/A</v>
      </c>
      <c r="AD391" s="62" t="e">
        <f t="shared" ca="1" si="77"/>
        <v>#N/A</v>
      </c>
      <c r="AE391" s="62" t="e">
        <f t="shared" ca="1" si="78"/>
        <v>#N/A</v>
      </c>
    </row>
    <row r="392" spans="18:31" x14ac:dyDescent="0.25">
      <c r="R392" s="92" t="str">
        <f ca="1"/>
        <v/>
      </c>
      <c r="S392" s="62" t="str">
        <f t="shared" ca="1" si="73"/>
        <v/>
      </c>
      <c r="T392" s="62" t="e">
        <f t="shared" ca="1" si="67"/>
        <v>#N/A</v>
      </c>
      <c r="U392" s="62" t="e">
        <f t="shared" ca="1" si="68"/>
        <v>#N/A</v>
      </c>
      <c r="V392" s="62" t="e">
        <f t="shared" ca="1" si="69"/>
        <v>#N/A</v>
      </c>
      <c r="W392" s="60" t="e">
        <f t="shared" ca="1" si="70"/>
        <v>#N/A</v>
      </c>
      <c r="X392" s="60" t="e">
        <f t="shared" ca="1" si="74"/>
        <v>#N/A</v>
      </c>
      <c r="Y392" s="60" t="e">
        <f t="shared" ca="1" si="71"/>
        <v>#N/A</v>
      </c>
      <c r="Z392" s="60" t="e">
        <f t="shared" ca="1" si="72"/>
        <v>#N/A</v>
      </c>
      <c r="AA392" s="92" t="str">
        <f ca="1"/>
        <v/>
      </c>
      <c r="AB392" s="62" t="str">
        <f t="shared" ca="1" si="75"/>
        <v/>
      </c>
      <c r="AC392" s="62" t="e">
        <f t="shared" ca="1" si="76"/>
        <v>#N/A</v>
      </c>
      <c r="AD392" s="62" t="e">
        <f t="shared" ca="1" si="77"/>
        <v>#N/A</v>
      </c>
      <c r="AE392" s="62" t="e">
        <f t="shared" ca="1" si="78"/>
        <v>#N/A</v>
      </c>
    </row>
    <row r="393" spans="18:31" x14ac:dyDescent="0.25">
      <c r="R393" s="92" t="str">
        <f ca="1"/>
        <v/>
      </c>
      <c r="S393" s="62" t="str">
        <f t="shared" ca="1" si="73"/>
        <v/>
      </c>
      <c r="T393" s="62" t="e">
        <f t="shared" ca="1" si="67"/>
        <v>#N/A</v>
      </c>
      <c r="U393" s="62" t="e">
        <f t="shared" ca="1" si="68"/>
        <v>#N/A</v>
      </c>
      <c r="V393" s="62" t="e">
        <f t="shared" ca="1" si="69"/>
        <v>#N/A</v>
      </c>
      <c r="W393" s="60" t="e">
        <f t="shared" ca="1" si="70"/>
        <v>#N/A</v>
      </c>
      <c r="X393" s="60" t="e">
        <f t="shared" ca="1" si="74"/>
        <v>#N/A</v>
      </c>
      <c r="Y393" s="60" t="e">
        <f t="shared" ca="1" si="71"/>
        <v>#N/A</v>
      </c>
      <c r="Z393" s="60" t="e">
        <f t="shared" ca="1" si="72"/>
        <v>#N/A</v>
      </c>
      <c r="AA393" s="92" t="str">
        <f ca="1"/>
        <v/>
      </c>
      <c r="AB393" s="62" t="str">
        <f t="shared" ca="1" si="75"/>
        <v/>
      </c>
      <c r="AC393" s="62" t="e">
        <f t="shared" ca="1" si="76"/>
        <v>#N/A</v>
      </c>
      <c r="AD393" s="62" t="e">
        <f t="shared" ca="1" si="77"/>
        <v>#N/A</v>
      </c>
      <c r="AE393" s="62" t="e">
        <f t="shared" ca="1" si="78"/>
        <v>#N/A</v>
      </c>
    </row>
    <row r="394" spans="18:31" x14ac:dyDescent="0.25">
      <c r="R394" s="92" t="str">
        <f ca="1"/>
        <v/>
      </c>
      <c r="S394" s="62" t="str">
        <f t="shared" ca="1" si="73"/>
        <v/>
      </c>
      <c r="T394" s="62" t="e">
        <f t="shared" ca="1" si="67"/>
        <v>#N/A</v>
      </c>
      <c r="U394" s="62" t="e">
        <f t="shared" ca="1" si="68"/>
        <v>#N/A</v>
      </c>
      <c r="V394" s="62" t="e">
        <f t="shared" ca="1" si="69"/>
        <v>#N/A</v>
      </c>
      <c r="W394" s="60" t="e">
        <f t="shared" ca="1" si="70"/>
        <v>#N/A</v>
      </c>
      <c r="X394" s="60" t="e">
        <f t="shared" ca="1" si="74"/>
        <v>#N/A</v>
      </c>
      <c r="Y394" s="60" t="e">
        <f t="shared" ca="1" si="71"/>
        <v>#N/A</v>
      </c>
      <c r="Z394" s="60" t="e">
        <f t="shared" ca="1" si="72"/>
        <v>#N/A</v>
      </c>
      <c r="AA394" s="92" t="str">
        <f ca="1"/>
        <v/>
      </c>
      <c r="AB394" s="62" t="str">
        <f t="shared" ca="1" si="75"/>
        <v/>
      </c>
      <c r="AC394" s="62" t="e">
        <f t="shared" ca="1" si="76"/>
        <v>#N/A</v>
      </c>
      <c r="AD394" s="62" t="e">
        <f t="shared" ca="1" si="77"/>
        <v>#N/A</v>
      </c>
      <c r="AE394" s="62" t="e">
        <f t="shared" ca="1" si="78"/>
        <v>#N/A</v>
      </c>
    </row>
    <row r="395" spans="18:31" x14ac:dyDescent="0.25">
      <c r="R395" s="92" t="str">
        <f ca="1"/>
        <v/>
      </c>
      <c r="S395" s="62" t="str">
        <f t="shared" ca="1" si="73"/>
        <v/>
      </c>
      <c r="T395" s="62" t="e">
        <f t="shared" ca="1" si="67"/>
        <v>#N/A</v>
      </c>
      <c r="U395" s="62" t="e">
        <f t="shared" ca="1" si="68"/>
        <v>#N/A</v>
      </c>
      <c r="V395" s="62" t="e">
        <f t="shared" ca="1" si="69"/>
        <v>#N/A</v>
      </c>
      <c r="W395" s="60" t="e">
        <f t="shared" ca="1" si="70"/>
        <v>#N/A</v>
      </c>
      <c r="X395" s="60" t="e">
        <f t="shared" ca="1" si="74"/>
        <v>#N/A</v>
      </c>
      <c r="Y395" s="60" t="e">
        <f t="shared" ca="1" si="71"/>
        <v>#N/A</v>
      </c>
      <c r="Z395" s="60" t="e">
        <f t="shared" ca="1" si="72"/>
        <v>#N/A</v>
      </c>
      <c r="AA395" s="92" t="str">
        <f ca="1"/>
        <v/>
      </c>
      <c r="AB395" s="62" t="str">
        <f t="shared" ca="1" si="75"/>
        <v/>
      </c>
      <c r="AC395" s="62" t="e">
        <f t="shared" ca="1" si="76"/>
        <v>#N/A</v>
      </c>
      <c r="AD395" s="62" t="e">
        <f t="shared" ca="1" si="77"/>
        <v>#N/A</v>
      </c>
      <c r="AE395" s="62" t="e">
        <f t="shared" ca="1" si="78"/>
        <v>#N/A</v>
      </c>
    </row>
  </sheetData>
  <sheetProtection sheet="1"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9" sqref="B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2" t="s">
        <v>115</v>
      </c>
      <c r="B1" s="153"/>
      <c r="O1" s="35" t="s">
        <v>114</v>
      </c>
      <c r="P1" s="24"/>
      <c r="Q1" s="23" t="s">
        <v>190</v>
      </c>
      <c r="R1" s="24"/>
      <c r="S1" s="23" t="s">
        <v>187</v>
      </c>
      <c r="T1" s="25" t="s">
        <v>188</v>
      </c>
      <c r="U1" s="25" t="s">
        <v>13</v>
      </c>
      <c r="V1" s="23" t="s">
        <v>187</v>
      </c>
      <c r="W1" s="23" t="s">
        <v>189</v>
      </c>
      <c r="X1" s="26" t="s">
        <v>184</v>
      </c>
      <c r="Y1" s="130"/>
      <c r="Z1" s="130"/>
      <c r="AA1" s="130"/>
      <c r="AB1" s="130"/>
      <c r="AC1" s="112" t="s">
        <v>186</v>
      </c>
      <c r="AD1" s="112" t="s">
        <v>185</v>
      </c>
      <c r="AG1" s="112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44992</v>
      </c>
      <c r="Q2" s="27" t="e">
        <f ca="1">VLOOKUP(P2-1,ModelOutputs,2,FALSE)</f>
        <v>#N/A</v>
      </c>
      <c r="R2" s="27"/>
      <c r="S2" s="27">
        <f ca="1">SUMIF($O$6:$O$495,TRUE,S6:S495)</f>
        <v>0</v>
      </c>
      <c r="T2" s="27">
        <f ca="1">SUMIF($O$6:$O$495,TRUE,T6:T495)</f>
        <v>0</v>
      </c>
      <c r="U2" s="27">
        <f ca="1">SUMIF($O$6:$O$495,TRUE,U6:U495)</f>
        <v>0</v>
      </c>
      <c r="V2" s="27"/>
      <c r="W2" s="28"/>
      <c r="X2" s="15"/>
      <c r="Y2" s="28"/>
      <c r="Z2" s="28"/>
      <c r="AA2" s="28"/>
      <c r="AB2" s="28"/>
      <c r="AC2" s="3" t="e">
        <f ca="1">MAX(0,AD3-AD2)</f>
        <v>#N/A</v>
      </c>
      <c r="AD2" s="3" t="e">
        <f ca="1">SUM(Q2:X2)</f>
        <v>#N/A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4">
        <f ca="1">B33</f>
        <v>45117</v>
      </c>
      <c r="Q3" s="29" t="e">
        <f ca="1">VLOOKUP(P3,ModelOutputs,2,FALSE)</f>
        <v>#N/A</v>
      </c>
      <c r="R3" s="32"/>
      <c r="S3" s="30"/>
      <c r="T3" s="30"/>
      <c r="U3" s="30"/>
      <c r="V3" s="29" t="e">
        <f ca="1">(VLOOKUP($P$3,ModelOutputs,V4,FALSE)-VLOOKUP($P$2+1,ModelOutputs,V4,FALSE))-W3</f>
        <v>#N/A</v>
      </c>
      <c r="W3" s="31" t="e">
        <f ca="1">VLOOKUP($P$3,ModelOutputs,W4,FALSE)-VLOOKUP($P$2+1,ModelOutputs,W4,FALSE)</f>
        <v>#N/A</v>
      </c>
      <c r="X3" s="32">
        <f ca="1">SUMIF($O$6:$O$495,TRUE,X6:X495)</f>
        <v>0</v>
      </c>
      <c r="Y3" s="27"/>
      <c r="Z3" s="27"/>
      <c r="AA3" s="27"/>
      <c r="AB3" s="27"/>
      <c r="AC3" s="3" t="e">
        <f ca="1">MAX(0,AD2-AD3)</f>
        <v>#N/A</v>
      </c>
      <c r="AD3" s="3" t="e">
        <f ca="1">SUM(Q3:X3)</f>
        <v>#N/A</v>
      </c>
    </row>
    <row r="4" spans="1:37" ht="15.75" thickBot="1" x14ac:dyDescent="0.3">
      <c r="A4" s="14" t="s">
        <v>222</v>
      </c>
      <c r="B4" s="15" t="str">
        <f>SampleDepth</f>
        <v>0-30cm</v>
      </c>
      <c r="D4" s="42" t="str">
        <f>IF(ConceptDemo!C29="","",ConceptDemo!C29)</f>
        <v/>
      </c>
      <c r="E4" s="43" t="str">
        <f>IF(ConceptDemo!D29="","",ConceptDemo!D29)</f>
        <v/>
      </c>
      <c r="H4">
        <f>ConceptDemo!D4</f>
        <v>0</v>
      </c>
      <c r="I4" t="s">
        <v>212</v>
      </c>
      <c r="J4">
        <f>VLOOKUP(InCropRain,ListMembers!$Z$7:$AA$11,2,FALSE)</f>
        <v>1</v>
      </c>
      <c r="R4">
        <f ca="1">SUMIF(N6:N495,FALSE,R6:R495)</f>
        <v>0</v>
      </c>
      <c r="S4" t="e">
        <f ca="1">SUMIF(N6:N495,TRUE,S6:S495)</f>
        <v>#N/A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102" t="s">
        <v>14</v>
      </c>
      <c r="I5" s="132" t="s">
        <v>17</v>
      </c>
      <c r="J5" s="132" t="s">
        <v>208</v>
      </c>
      <c r="K5" s="103" t="s">
        <v>210</v>
      </c>
      <c r="N5" t="s">
        <v>183</v>
      </c>
      <c r="O5" t="s">
        <v>113</v>
      </c>
      <c r="P5">
        <f t="array" aca="1" ref="P5:AB495" ca="1">_xll.GetDailyNBalance(H5:K495,A2:B47,D12:E18,D3:E9)</f>
        <v>0</v>
      </c>
      <c r="Q5" s="2">
        <f ca="1"/>
        <v>0</v>
      </c>
      <c r="R5" t="str">
        <f ca="1"/>
        <v>CurrentSaleableYield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X5" t="e">
        <f ca="1"/>
        <v>#N/A</v>
      </c>
      <c r="Y5" t="e">
        <f ca="1"/>
        <v>#N/A</v>
      </c>
      <c r="Z5" t="e">
        <f ca="1"/>
        <v>#N/A</v>
      </c>
      <c r="AA5" t="e">
        <f ca="1"/>
        <v>#N/A</v>
      </c>
      <c r="AB5" t="e">
        <f ca="1"/>
        <v>#N/A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6</v>
      </c>
      <c r="H6" s="104">
        <f ca="1">B20-1</f>
        <v>44931</v>
      </c>
      <c r="I6" s="131" t="e">
        <f>HLOOKUP($H$4,'Met Data'!$A$2:$F$368,G6,FALSE)</f>
        <v>#N/A</v>
      </c>
      <c r="J6" s="131" t="e">
        <f ca="1">HLOOKUP($H$4,'Met Data'!$H$2:$M$368,G6,FALSE)*L6</f>
        <v>#N/A</v>
      </c>
      <c r="K6" s="105" t="e">
        <f>HLOOKUP($H$4,'Met Data'!$O$2:$T$368,G6,FALSE)</f>
        <v>#N/A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0</v>
      </c>
      <c r="Q6">
        <f ca="1"/>
        <v>0</v>
      </c>
      <c r="R6" t="str">
        <f ca="1"/>
        <v>CurrentFieldLoss</v>
      </c>
      <c r="S6" t="e">
        <f ca="1"/>
        <v>#N/A</v>
      </c>
      <c r="T6" s="4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X6" t="e">
        <f ca="1"/>
        <v>#N/A</v>
      </c>
      <c r="Y6" t="e">
        <f ca="1"/>
        <v>#N/A</v>
      </c>
      <c r="Z6" t="e">
        <f ca="1"/>
        <v>#N/A</v>
      </c>
      <c r="AA6" t="e">
        <f ca="1"/>
        <v>#N/A</v>
      </c>
      <c r="AB6" t="e">
        <f ca="1"/>
        <v>#N/A</v>
      </c>
      <c r="AD6" s="2">
        <f t="shared" ref="AD6:AD69" ca="1" si="2">IFERROR(P6,$AD$4)</f>
        <v>0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7</v>
      </c>
      <c r="H7" s="104">
        <f ca="1">H6+1</f>
        <v>44932</v>
      </c>
      <c r="I7" s="131" t="e">
        <f>HLOOKUP($H$4,'Met Data'!$A$2:$F$368,G7,FALSE)</f>
        <v>#N/A</v>
      </c>
      <c r="J7" s="131" t="e">
        <f ca="1">HLOOKUP($H$4,'Met Data'!$H$2:$M$368,G7,FALSE)*L7</f>
        <v>#N/A</v>
      </c>
      <c r="K7" s="105" t="e">
        <f>HLOOKUP($H$4,'Met Data'!$O$2:$T$368,G7,FALSE)</f>
        <v>#N/A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0</v>
      </c>
      <c r="Q7">
        <f ca="1"/>
        <v>0</v>
      </c>
      <c r="R7" t="str">
        <f ca="1"/>
        <v>CurrentDressingLoss</v>
      </c>
      <c r="S7" t="e">
        <f ca="1"/>
        <v>#N/A</v>
      </c>
      <c r="T7" s="4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X7" t="e">
        <f ca="1"/>
        <v>#N/A</v>
      </c>
      <c r="Y7" t="e">
        <f ca="1"/>
        <v>#N/A</v>
      </c>
      <c r="Z7" t="e">
        <f ca="1"/>
        <v>#N/A</v>
      </c>
      <c r="AA7" t="e">
        <f ca="1"/>
        <v>#N/A</v>
      </c>
      <c r="AB7" t="e">
        <f ca="1"/>
        <v>#N/A</v>
      </c>
      <c r="AD7" s="2">
        <f t="shared" ca="1" si="2"/>
        <v>0</v>
      </c>
      <c r="AE7" s="46">
        <f t="shared" ca="1" si="3"/>
        <v>0</v>
      </c>
      <c r="AF7" s="3"/>
      <c r="AG7" s="72" t="e">
        <f ca="1">Q6+S7+T7+U7</f>
        <v>#N/A</v>
      </c>
      <c r="AH7" s="72" t="e">
        <f ca="1">Q7+R7+X7</f>
        <v>#VALUE!</v>
      </c>
      <c r="AI7" s="3" t="e">
        <f ca="1">AH7-AG7</f>
        <v>#VALUE!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8</v>
      </c>
      <c r="H8" s="104">
        <f t="shared" ref="H8:H71" ca="1" si="6">H7+1</f>
        <v>44933</v>
      </c>
      <c r="I8" s="131" t="e">
        <f>HLOOKUP($H$4,'Met Data'!$A$2:$F$368,G8,FALSE)</f>
        <v>#N/A</v>
      </c>
      <c r="J8" s="131" t="e">
        <f ca="1">HLOOKUP($H$4,'Met Data'!$H$2:$M$368,G8,FALSE)*L8</f>
        <v>#N/A</v>
      </c>
      <c r="K8" s="105" t="e">
        <f>HLOOKUP($H$4,'Met Data'!$O$2:$T$368,G8,FALSE)</f>
        <v>#N/A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0</v>
      </c>
      <c r="Q8">
        <f ca="1"/>
        <v>0</v>
      </c>
      <c r="R8" t="str">
        <f ca="1"/>
        <v>CurrentMoistureContent</v>
      </c>
      <c r="S8" t="e">
        <f ca="1"/>
        <v>#N/A</v>
      </c>
      <c r="T8" s="4" t="e">
        <f ca="1"/>
        <v>#N/A</v>
      </c>
      <c r="U8" t="e">
        <f ca="1"/>
        <v>#N/A</v>
      </c>
      <c r="V8" t="e">
        <f ca="1"/>
        <v>#N/A</v>
      </c>
      <c r="W8" t="e">
        <f ca="1"/>
        <v>#N/A</v>
      </c>
      <c r="X8" t="e">
        <f ca="1"/>
        <v>#N/A</v>
      </c>
      <c r="Y8" t="e">
        <f ca="1"/>
        <v>#N/A</v>
      </c>
      <c r="Z8" t="e">
        <f ca="1"/>
        <v>#N/A</v>
      </c>
      <c r="AA8" t="e">
        <f ca="1"/>
        <v>#N/A</v>
      </c>
      <c r="AB8" t="e">
        <f ca="1"/>
        <v>#N/A</v>
      </c>
      <c r="AD8" s="2">
        <f t="shared" ca="1" si="2"/>
        <v>0</v>
      </c>
      <c r="AE8" s="46">
        <f t="shared" ca="1" si="3"/>
        <v>0</v>
      </c>
      <c r="AG8" s="72" t="e">
        <f t="shared" ref="AG8:AG71" ca="1" si="7">Q7+S8+T8+U8</f>
        <v>#N/A</v>
      </c>
      <c r="AH8" s="72" t="e">
        <f t="shared" ref="AH8:AH71" ca="1" si="8">Q8+R8+X8</f>
        <v>#VALUE!</v>
      </c>
      <c r="AI8" s="3" t="e">
        <f t="shared" ref="AI8:AI71" ca="1" si="9">AH8-AG8</f>
        <v>#VALUE!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ca="1" si="4"/>
        <v>9</v>
      </c>
      <c r="H9" s="104">
        <f t="shared" ca="1" si="6"/>
        <v>44934</v>
      </c>
      <c r="I9" s="131" t="e">
        <f>HLOOKUP($H$4,'Met Data'!$A$2:$F$368,G9,FALSE)</f>
        <v>#N/A</v>
      </c>
      <c r="J9" s="131" t="e">
        <f ca="1">HLOOKUP($H$4,'Met Data'!$H$2:$M$368,G9,FALSE)*L9</f>
        <v>#N/A</v>
      </c>
      <c r="K9" s="105" t="e">
        <f>HLOOKUP($H$4,'Met Data'!$O$2:$T$368,G9,FALSE)</f>
        <v>#N/A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0</v>
      </c>
      <c r="Q9">
        <f ca="1"/>
        <v>0</v>
      </c>
      <c r="R9" t="str">
        <f ca="1"/>
        <v>CurrentEstablishStage</v>
      </c>
      <c r="S9" t="e">
        <f ca="1"/>
        <v>#N/A</v>
      </c>
      <c r="T9" s="4" t="e">
        <f ca="1"/>
        <v>#N/A</v>
      </c>
      <c r="U9" t="e">
        <f ca="1"/>
        <v>#N/A</v>
      </c>
      <c r="V9" t="e">
        <f ca="1"/>
        <v>#N/A</v>
      </c>
      <c r="W9" t="e">
        <f ca="1"/>
        <v>#N/A</v>
      </c>
      <c r="X9" t="e">
        <f ca="1"/>
        <v>#N/A</v>
      </c>
      <c r="Y9" t="e">
        <f ca="1"/>
        <v>#N/A</v>
      </c>
      <c r="Z9" t="e">
        <f ca="1"/>
        <v>#N/A</v>
      </c>
      <c r="AA9" t="e">
        <f ca="1"/>
        <v>#N/A</v>
      </c>
      <c r="AB9" t="e">
        <f ca="1"/>
        <v>#N/A</v>
      </c>
      <c r="AD9" s="2">
        <f t="shared" ca="1" si="2"/>
        <v>0</v>
      </c>
      <c r="AE9" s="46">
        <f t="shared" ca="1" si="3"/>
        <v>0</v>
      </c>
      <c r="AG9" s="72" t="e">
        <f t="shared" ca="1" si="7"/>
        <v>#N/A</v>
      </c>
      <c r="AH9" s="72" t="e">
        <f t="shared" ca="1" si="8"/>
        <v>#VALUE!</v>
      </c>
      <c r="AI9" s="3" t="e">
        <f t="shared" ca="1" si="9"/>
        <v>#VALUE!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10</v>
      </c>
      <c r="H10" s="104">
        <f t="shared" ca="1" si="6"/>
        <v>44935</v>
      </c>
      <c r="I10" s="131" t="e">
        <f>HLOOKUP($H$4,'Met Data'!$A$2:$F$368,G10,FALSE)</f>
        <v>#N/A</v>
      </c>
      <c r="J10" s="131" t="e">
        <f ca="1">HLOOKUP($H$4,'Met Data'!$H$2:$M$368,G10,FALSE)*L10</f>
        <v>#N/A</v>
      </c>
      <c r="K10" s="105" t="e">
        <f>HLOOKUP($H$4,'Met Data'!$O$2:$T$368,G10,FALSE)</f>
        <v>#N/A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0</v>
      </c>
      <c r="Q10">
        <f ca="1"/>
        <v>0</v>
      </c>
      <c r="R10" t="str">
        <f ca="1"/>
        <v>CurrentHarvestStage</v>
      </c>
      <c r="S10" t="e">
        <f ca="1"/>
        <v>#N/A</v>
      </c>
      <c r="T10" s="4" t="e">
        <f ca="1"/>
        <v>#N/A</v>
      </c>
      <c r="U10" t="e">
        <f ca="1"/>
        <v>#N/A</v>
      </c>
      <c r="V10" t="e">
        <f ca="1"/>
        <v>#N/A</v>
      </c>
      <c r="W10" t="e">
        <f ca="1"/>
        <v>#N/A</v>
      </c>
      <c r="X10" t="e">
        <f ca="1"/>
        <v>#N/A</v>
      </c>
      <c r="Y10" t="e">
        <f ca="1"/>
        <v>#N/A</v>
      </c>
      <c r="Z10" t="e">
        <f ca="1"/>
        <v>#N/A</v>
      </c>
      <c r="AA10" t="e">
        <f ca="1"/>
        <v>#N/A</v>
      </c>
      <c r="AB10" t="e">
        <f ca="1"/>
        <v>#N/A</v>
      </c>
      <c r="AD10" s="2">
        <f t="shared" ca="1" si="2"/>
        <v>0</v>
      </c>
      <c r="AE10" s="46">
        <f t="shared" ca="1" si="3"/>
        <v>0</v>
      </c>
      <c r="AG10" s="72" t="e">
        <f t="shared" ca="1" si="7"/>
        <v>#N/A</v>
      </c>
      <c r="AH10" s="72" t="e">
        <f t="shared" ca="1" si="8"/>
        <v>#VALUE!</v>
      </c>
      <c r="AI10" s="3" t="e">
        <f t="shared" ca="1" si="9"/>
        <v>#VALUE!</v>
      </c>
    </row>
    <row r="11" spans="1:37" x14ac:dyDescent="0.25">
      <c r="A11" s="14" t="s">
        <v>214</v>
      </c>
      <c r="B11" s="15">
        <f>AWC</f>
        <v>120</v>
      </c>
      <c r="D11" s="150" t="str">
        <f>ConceptDemo!C36</f>
        <v>Soil Mineral N Test Results</v>
      </c>
      <c r="E11" s="151"/>
      <c r="G11" s="3">
        <f t="shared" ca="1" si="4"/>
        <v>11</v>
      </c>
      <c r="H11" s="104">
        <f t="shared" ca="1" si="6"/>
        <v>44936</v>
      </c>
      <c r="I11" s="131" t="e">
        <f>HLOOKUP($H$4,'Met Data'!$A$2:$F$368,G11,FALSE)</f>
        <v>#N/A</v>
      </c>
      <c r="J11" s="131" t="e">
        <f ca="1">HLOOKUP($H$4,'Met Data'!$H$2:$M$368,G11,FALSE)*L11</f>
        <v>#N/A</v>
      </c>
      <c r="K11" s="105" t="e">
        <f>HLOOKUP($H$4,'Met Data'!$O$2:$T$368,G11,FALSE)</f>
        <v>#N/A</v>
      </c>
      <c r="L11">
        <f t="shared" ca="1" si="0"/>
        <v>1</v>
      </c>
      <c r="N11" t="e">
        <f t="shared" ca="1" si="5"/>
        <v>#N/A</v>
      </c>
      <c r="O11" t="e">
        <f t="shared" ca="1" si="1"/>
        <v>#N/A</v>
      </c>
      <c r="P11" s="2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s="4" t="e">
        <f ca="1"/>
        <v>#N/A</v>
      </c>
      <c r="U11" t="e">
        <f ca="1"/>
        <v>#N/A</v>
      </c>
      <c r="V11" t="e">
        <f ca="1"/>
        <v>#N/A</v>
      </c>
      <c r="W11" t="e">
        <f ca="1"/>
        <v>#N/A</v>
      </c>
      <c r="X11" t="e">
        <f ca="1"/>
        <v>#N/A</v>
      </c>
      <c r="Y11" t="e">
        <f ca="1"/>
        <v>#N/A</v>
      </c>
      <c r="Z11" t="e">
        <f ca="1"/>
        <v>#N/A</v>
      </c>
      <c r="AA11" t="e">
        <f ca="1"/>
        <v>#N/A</v>
      </c>
      <c r="AB11" t="e">
        <f ca="1"/>
        <v>#N/A</v>
      </c>
      <c r="AD11" s="2">
        <f t="shared" ca="1" si="2"/>
        <v>0</v>
      </c>
      <c r="AE11" s="46">
        <f t="shared" ca="1" si="3"/>
        <v>0</v>
      </c>
      <c r="AG11" s="72" t="e">
        <f t="shared" ca="1" si="7"/>
        <v>#N/A</v>
      </c>
      <c r="AH11" s="72" t="e">
        <f t="shared" ca="1" si="8"/>
        <v>#N/A</v>
      </c>
      <c r="AI11" s="3" t="e">
        <f t="shared" ca="1" si="9"/>
        <v>#N/A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12</v>
      </c>
      <c r="H12" s="104">
        <f t="shared" ca="1" si="6"/>
        <v>44937</v>
      </c>
      <c r="I12" s="131" t="e">
        <f>HLOOKUP($H$4,'Met Data'!$A$2:$F$368,G12,FALSE)</f>
        <v>#N/A</v>
      </c>
      <c r="J12" s="131" t="e">
        <f ca="1">HLOOKUP($H$4,'Met Data'!$H$2:$M$368,G12,FALSE)*L12</f>
        <v>#N/A</v>
      </c>
      <c r="K12" s="105" t="e">
        <f>HLOOKUP($H$4,'Met Data'!$O$2:$T$368,G12,FALSE)</f>
        <v>#N/A</v>
      </c>
      <c r="L12">
        <f t="shared" ca="1" si="0"/>
        <v>1</v>
      </c>
      <c r="N12" t="e">
        <f t="shared" ca="1" si="5"/>
        <v>#N/A</v>
      </c>
      <c r="O12" t="e">
        <f t="shared" ca="1" si="1"/>
        <v>#N/A</v>
      </c>
      <c r="P12" s="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s="4" t="e">
        <f ca="1"/>
        <v>#N/A</v>
      </c>
      <c r="U12" t="e">
        <f ca="1"/>
        <v>#N/A</v>
      </c>
      <c r="V12" t="e">
        <f ca="1"/>
        <v>#N/A</v>
      </c>
      <c r="W12" t="e">
        <f ca="1"/>
        <v>#N/A</v>
      </c>
      <c r="X12" t="e">
        <f ca="1"/>
        <v>#N/A</v>
      </c>
      <c r="Y12" t="e">
        <f ca="1"/>
        <v>#N/A</v>
      </c>
      <c r="Z12" t="e">
        <f ca="1"/>
        <v>#N/A</v>
      </c>
      <c r="AA12" t="e">
        <f ca="1"/>
        <v>#N/A</v>
      </c>
      <c r="AB12" t="e">
        <f ca="1"/>
        <v>#N/A</v>
      </c>
      <c r="AD12" s="2">
        <f t="shared" ca="1" si="2"/>
        <v>0</v>
      </c>
      <c r="AE12" s="46">
        <f t="shared" ca="1" si="3"/>
        <v>0</v>
      </c>
      <c r="AG12" s="72" t="e">
        <f t="shared" ca="1" si="7"/>
        <v>#N/A</v>
      </c>
      <c r="AH12" s="72" t="e">
        <f t="shared" ca="1" si="8"/>
        <v>#N/A</v>
      </c>
      <c r="AI12" s="3" t="e">
        <f t="shared" ca="1" si="9"/>
        <v>#N/A</v>
      </c>
    </row>
    <row r="13" spans="1:37" x14ac:dyDescent="0.25">
      <c r="A13" s="14" t="s">
        <v>212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13</v>
      </c>
      <c r="H13" s="104">
        <f t="shared" ca="1" si="6"/>
        <v>44938</v>
      </c>
      <c r="I13" s="131" t="e">
        <f>HLOOKUP($H$4,'Met Data'!$A$2:$F$368,G13,FALSE)</f>
        <v>#N/A</v>
      </c>
      <c r="J13" s="131" t="e">
        <f ca="1">HLOOKUP($H$4,'Met Data'!$H$2:$M$368,G13,FALSE)*L13</f>
        <v>#N/A</v>
      </c>
      <c r="K13" s="105" t="e">
        <f>HLOOKUP($H$4,'Met Data'!$O$2:$T$368,G13,FALSE)</f>
        <v>#N/A</v>
      </c>
      <c r="L13">
        <f t="shared" ca="1" si="0"/>
        <v>1</v>
      </c>
      <c r="N13" t="e">
        <f t="shared" ca="1" si="5"/>
        <v>#N/A</v>
      </c>
      <c r="O13" t="e">
        <f t="shared" ca="1" si="1"/>
        <v>#N/A</v>
      </c>
      <c r="P13" s="2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s="4" t="e">
        <f ca="1"/>
        <v>#N/A</v>
      </c>
      <c r="U13" t="e">
        <f ca="1"/>
        <v>#N/A</v>
      </c>
      <c r="V13" t="e">
        <f ca="1"/>
        <v>#N/A</v>
      </c>
      <c r="W13" t="e">
        <f ca="1"/>
        <v>#N/A</v>
      </c>
      <c r="X13" t="e">
        <f ca="1"/>
        <v>#N/A</v>
      </c>
      <c r="Y13" t="e">
        <f ca="1"/>
        <v>#N/A</v>
      </c>
      <c r="Z13" t="e">
        <f ca="1"/>
        <v>#N/A</v>
      </c>
      <c r="AA13" t="e">
        <f ca="1"/>
        <v>#N/A</v>
      </c>
      <c r="AB13" t="e">
        <f ca="1"/>
        <v>#N/A</v>
      </c>
      <c r="AD13" s="2">
        <f t="shared" ca="1" si="2"/>
        <v>0</v>
      </c>
      <c r="AE13" s="46">
        <f t="shared" ca="1" si="3"/>
        <v>0</v>
      </c>
      <c r="AG13" s="72" t="e">
        <f t="shared" ca="1" si="7"/>
        <v>#N/A</v>
      </c>
      <c r="AH13" s="72" t="e">
        <f t="shared" ca="1" si="8"/>
        <v>#N/A</v>
      </c>
      <c r="AI13" s="3" t="e">
        <f t="shared" ca="1" si="9"/>
        <v>#N/A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14</v>
      </c>
      <c r="H14" s="104">
        <f t="shared" ca="1" si="6"/>
        <v>44939</v>
      </c>
      <c r="I14" s="131" t="e">
        <f>HLOOKUP($H$4,'Met Data'!$A$2:$F$368,G14,FALSE)</f>
        <v>#N/A</v>
      </c>
      <c r="J14" s="131" t="e">
        <f ca="1">HLOOKUP($H$4,'Met Data'!$H$2:$M$368,G14,FALSE)*L14</f>
        <v>#N/A</v>
      </c>
      <c r="K14" s="105" t="e">
        <f>HLOOKUP($H$4,'Met Data'!$O$2:$T$368,G14,FALSE)</f>
        <v>#N/A</v>
      </c>
      <c r="L14">
        <f t="shared" ca="1" si="0"/>
        <v>1</v>
      </c>
      <c r="N14" t="e">
        <f t="shared" ca="1" si="5"/>
        <v>#N/A</v>
      </c>
      <c r="O14" t="e">
        <f t="shared" ca="1" si="1"/>
        <v>#N/A</v>
      </c>
      <c r="P14" s="2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s="4" t="e">
        <f ca="1"/>
        <v>#N/A</v>
      </c>
      <c r="U14" t="e">
        <f ca="1"/>
        <v>#N/A</v>
      </c>
      <c r="V14" t="e">
        <f ca="1"/>
        <v>#N/A</v>
      </c>
      <c r="W14" t="e">
        <f ca="1"/>
        <v>#N/A</v>
      </c>
      <c r="X14" t="e">
        <f ca="1"/>
        <v>#N/A</v>
      </c>
      <c r="Y14" t="e">
        <f ca="1"/>
        <v>#N/A</v>
      </c>
      <c r="Z14" t="e">
        <f ca="1"/>
        <v>#N/A</v>
      </c>
      <c r="AA14" t="e">
        <f ca="1"/>
        <v>#N/A</v>
      </c>
      <c r="AB14" t="e">
        <f ca="1"/>
        <v>#N/A</v>
      </c>
      <c r="AD14" s="2">
        <f t="shared" ca="1" si="2"/>
        <v>0</v>
      </c>
      <c r="AE14" s="46">
        <f t="shared" ca="1" si="3"/>
        <v>0</v>
      </c>
      <c r="AG14" s="72" t="e">
        <f t="shared" ca="1" si="7"/>
        <v>#N/A</v>
      </c>
      <c r="AH14" s="72" t="e">
        <f t="shared" ca="1" si="8"/>
        <v>#N/A</v>
      </c>
      <c r="AI14" s="3" t="e">
        <f t="shared" ca="1" si="9"/>
        <v>#N/A</v>
      </c>
    </row>
    <row r="15" spans="1:37" x14ac:dyDescent="0.25">
      <c r="A15" s="7" t="s">
        <v>147</v>
      </c>
      <c r="B15" s="36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15</v>
      </c>
      <c r="H15" s="104">
        <f t="shared" ca="1" si="6"/>
        <v>44940</v>
      </c>
      <c r="I15" s="131" t="e">
        <f>HLOOKUP($H$4,'Met Data'!$A$2:$F$368,G15,FALSE)</f>
        <v>#N/A</v>
      </c>
      <c r="J15" s="131" t="e">
        <f ca="1">HLOOKUP($H$4,'Met Data'!$H$2:$M$368,G15,FALSE)*L15</f>
        <v>#N/A</v>
      </c>
      <c r="K15" s="105" t="e">
        <f>HLOOKUP($H$4,'Met Data'!$O$2:$T$368,G15,FALSE)</f>
        <v>#N/A</v>
      </c>
      <c r="L15">
        <f t="shared" ca="1" si="0"/>
        <v>1</v>
      </c>
      <c r="N15" t="e">
        <f t="shared" ca="1" si="5"/>
        <v>#N/A</v>
      </c>
      <c r="O15" t="e">
        <f t="shared" ca="1" si="1"/>
        <v>#N/A</v>
      </c>
      <c r="P15" s="2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s="4" t="e">
        <f ca="1"/>
        <v>#N/A</v>
      </c>
      <c r="U15" t="e">
        <f ca="1"/>
        <v>#N/A</v>
      </c>
      <c r="V15" t="e">
        <f ca="1"/>
        <v>#N/A</v>
      </c>
      <c r="W15" t="e">
        <f ca="1"/>
        <v>#N/A</v>
      </c>
      <c r="X15" t="e">
        <f ca="1"/>
        <v>#N/A</v>
      </c>
      <c r="Y15" t="e">
        <f ca="1"/>
        <v>#N/A</v>
      </c>
      <c r="Z15" t="e">
        <f ca="1"/>
        <v>#N/A</v>
      </c>
      <c r="AA15" t="e">
        <f ca="1"/>
        <v>#N/A</v>
      </c>
      <c r="AB15" t="e">
        <f ca="1"/>
        <v>#N/A</v>
      </c>
      <c r="AD15" s="2">
        <f t="shared" ca="1" si="2"/>
        <v>0</v>
      </c>
      <c r="AE15" s="46">
        <f t="shared" ca="1" si="3"/>
        <v>0</v>
      </c>
      <c r="AG15" s="72" t="e">
        <f t="shared" ca="1" si="7"/>
        <v>#N/A</v>
      </c>
      <c r="AH15" s="72" t="e">
        <f t="shared" ca="1" si="8"/>
        <v>#N/A</v>
      </c>
      <c r="AI15" s="3" t="e">
        <f t="shared" ca="1" si="9"/>
        <v>#N/A</v>
      </c>
    </row>
    <row r="16" spans="1:37" x14ac:dyDescent="0.25">
      <c r="A16" s="8" t="s">
        <v>117</v>
      </c>
      <c r="B16" s="37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16</v>
      </c>
      <c r="H16" s="104">
        <f t="shared" ca="1" si="6"/>
        <v>44941</v>
      </c>
      <c r="I16" s="131" t="e">
        <f>HLOOKUP($H$4,'Met Data'!$A$2:$F$368,G16,FALSE)</f>
        <v>#N/A</v>
      </c>
      <c r="J16" s="131" t="e">
        <f ca="1">HLOOKUP($H$4,'Met Data'!$H$2:$M$368,G16,FALSE)*L16</f>
        <v>#N/A</v>
      </c>
      <c r="K16" s="105" t="e">
        <f>HLOOKUP($H$4,'Met Data'!$O$2:$T$368,G16,FALSE)</f>
        <v>#N/A</v>
      </c>
      <c r="L16">
        <f t="shared" ca="1" si="0"/>
        <v>1</v>
      </c>
      <c r="N16" t="e">
        <f t="shared" ca="1" si="5"/>
        <v>#N/A</v>
      </c>
      <c r="O16" t="e">
        <f t="shared" ca="1" si="1"/>
        <v>#N/A</v>
      </c>
      <c r="P16" s="2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s="4" t="e">
        <f ca="1"/>
        <v>#N/A</v>
      </c>
      <c r="U16" t="e">
        <f ca="1"/>
        <v>#N/A</v>
      </c>
      <c r="V16" t="e">
        <f ca="1"/>
        <v>#N/A</v>
      </c>
      <c r="W16" t="e">
        <f ca="1"/>
        <v>#N/A</v>
      </c>
      <c r="X16" t="e">
        <f ca="1"/>
        <v>#N/A</v>
      </c>
      <c r="Y16" t="e">
        <f ca="1"/>
        <v>#N/A</v>
      </c>
      <c r="Z16" t="e">
        <f ca="1"/>
        <v>#N/A</v>
      </c>
      <c r="AA16" t="e">
        <f ca="1"/>
        <v>#N/A</v>
      </c>
      <c r="AB16" t="e">
        <f ca="1"/>
        <v>#N/A</v>
      </c>
      <c r="AD16" s="2">
        <f t="shared" ca="1" si="2"/>
        <v>0</v>
      </c>
      <c r="AE16" s="46">
        <f t="shared" ca="1" si="3"/>
        <v>0</v>
      </c>
      <c r="AG16" s="72" t="e">
        <f t="shared" ca="1" si="7"/>
        <v>#N/A</v>
      </c>
      <c r="AH16" s="72" t="e">
        <f t="shared" ca="1" si="8"/>
        <v>#N/A</v>
      </c>
      <c r="AI16" s="3" t="e">
        <f t="shared" ca="1" si="9"/>
        <v>#N/A</v>
      </c>
    </row>
    <row r="17" spans="1:35" x14ac:dyDescent="0.25">
      <c r="A17" s="8" t="s">
        <v>118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17</v>
      </c>
      <c r="H17" s="104">
        <f t="shared" ca="1" si="6"/>
        <v>44942</v>
      </c>
      <c r="I17" s="131" t="e">
        <f>HLOOKUP($H$4,'Met Data'!$A$2:$F$368,G17,FALSE)</f>
        <v>#N/A</v>
      </c>
      <c r="J17" s="131" t="e">
        <f ca="1">HLOOKUP($H$4,'Met Data'!$H$2:$M$368,G17,FALSE)*L17</f>
        <v>#N/A</v>
      </c>
      <c r="K17" s="105" t="e">
        <f>HLOOKUP($H$4,'Met Data'!$O$2:$T$368,G17,FALSE)</f>
        <v>#N/A</v>
      </c>
      <c r="L17">
        <f t="shared" ca="1" si="0"/>
        <v>1</v>
      </c>
      <c r="N17" t="e">
        <f t="shared" ca="1" si="5"/>
        <v>#N/A</v>
      </c>
      <c r="O17" t="e">
        <f t="shared" ca="1" si="1"/>
        <v>#N/A</v>
      </c>
      <c r="P17" s="2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s="4" t="e">
        <f ca="1"/>
        <v>#N/A</v>
      </c>
      <c r="U17" t="e">
        <f ca="1"/>
        <v>#N/A</v>
      </c>
      <c r="V17" t="e">
        <f ca="1"/>
        <v>#N/A</v>
      </c>
      <c r="W17" t="e">
        <f ca="1"/>
        <v>#N/A</v>
      </c>
      <c r="X17" t="e">
        <f ca="1"/>
        <v>#N/A</v>
      </c>
      <c r="Y17" t="e">
        <f ca="1"/>
        <v>#N/A</v>
      </c>
      <c r="Z17" t="e">
        <f ca="1"/>
        <v>#N/A</v>
      </c>
      <c r="AA17" t="e">
        <f ca="1"/>
        <v>#N/A</v>
      </c>
      <c r="AB17" t="e">
        <f ca="1"/>
        <v>#N/A</v>
      </c>
      <c r="AD17" s="2">
        <f t="shared" ca="1" si="2"/>
        <v>0</v>
      </c>
      <c r="AE17" s="46">
        <f t="shared" ca="1" si="3"/>
        <v>0</v>
      </c>
      <c r="AG17" s="72" t="e">
        <f t="shared" ca="1" si="7"/>
        <v>#N/A</v>
      </c>
      <c r="AH17" s="72" t="e">
        <f t="shared" ca="1" si="8"/>
        <v>#N/A</v>
      </c>
      <c r="AI17" s="3" t="e">
        <f t="shared" ca="1" si="9"/>
        <v>#N/A</v>
      </c>
    </row>
    <row r="18" spans="1:35" ht="15.75" thickBot="1" x14ac:dyDescent="0.3">
      <c r="A18" s="8" t="s">
        <v>119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18</v>
      </c>
      <c r="H18" s="104">
        <f t="shared" ca="1" si="6"/>
        <v>44943</v>
      </c>
      <c r="I18" s="131" t="e">
        <f>HLOOKUP($H$4,'Met Data'!$A$2:$F$368,G18,FALSE)</f>
        <v>#N/A</v>
      </c>
      <c r="J18" s="131" t="e">
        <f ca="1">HLOOKUP($H$4,'Met Data'!$H$2:$M$368,G18,FALSE)*L18</f>
        <v>#N/A</v>
      </c>
      <c r="K18" s="105" t="e">
        <f>HLOOKUP($H$4,'Met Data'!$O$2:$T$368,G18,FALSE)</f>
        <v>#N/A</v>
      </c>
      <c r="L18">
        <f t="shared" ca="1" si="0"/>
        <v>1</v>
      </c>
      <c r="N18" t="e">
        <f t="shared" ca="1" si="5"/>
        <v>#N/A</v>
      </c>
      <c r="O18" t="e">
        <f t="shared" ca="1" si="1"/>
        <v>#N/A</v>
      </c>
      <c r="P18" s="2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s="4" t="e">
        <f ca="1"/>
        <v>#N/A</v>
      </c>
      <c r="U18" t="e">
        <f ca="1"/>
        <v>#N/A</v>
      </c>
      <c r="V18" t="e">
        <f ca="1"/>
        <v>#N/A</v>
      </c>
      <c r="W18" t="e">
        <f ca="1"/>
        <v>#N/A</v>
      </c>
      <c r="X18" t="e">
        <f ca="1"/>
        <v>#N/A</v>
      </c>
      <c r="Y18" t="e">
        <f ca="1"/>
        <v>#N/A</v>
      </c>
      <c r="Z18" t="e">
        <f ca="1"/>
        <v>#N/A</v>
      </c>
      <c r="AA18" t="e">
        <f ca="1"/>
        <v>#N/A</v>
      </c>
      <c r="AB18" t="e">
        <f ca="1"/>
        <v>#N/A</v>
      </c>
      <c r="AD18" s="2">
        <f t="shared" ca="1" si="2"/>
        <v>0</v>
      </c>
      <c r="AE18" s="46">
        <f t="shared" ca="1" si="3"/>
        <v>0</v>
      </c>
      <c r="AG18" s="72" t="e">
        <f t="shared" ca="1" si="7"/>
        <v>#N/A</v>
      </c>
      <c r="AH18" s="72" t="e">
        <f t="shared" ca="1" si="8"/>
        <v>#N/A</v>
      </c>
      <c r="AI18" s="3" t="e">
        <f t="shared" ca="1" si="9"/>
        <v>#N/A</v>
      </c>
    </row>
    <row r="19" spans="1:35" x14ac:dyDescent="0.25">
      <c r="A19" s="8" t="s">
        <v>120</v>
      </c>
      <c r="B19" s="37">
        <f>PriorMoistureContent</f>
        <v>0</v>
      </c>
      <c r="G19" s="3">
        <f t="shared" ca="1" si="4"/>
        <v>19</v>
      </c>
      <c r="H19" s="104">
        <f t="shared" ca="1" si="6"/>
        <v>44944</v>
      </c>
      <c r="I19" s="131" t="e">
        <f>HLOOKUP($H$4,'Met Data'!$A$2:$F$368,G19,FALSE)</f>
        <v>#N/A</v>
      </c>
      <c r="J19" s="131" t="e">
        <f ca="1">HLOOKUP($H$4,'Met Data'!$H$2:$M$368,G19,FALSE)*L19</f>
        <v>#N/A</v>
      </c>
      <c r="K19" s="105" t="e">
        <f>HLOOKUP($H$4,'Met Data'!$O$2:$T$368,G19,FALSE)</f>
        <v>#N/A</v>
      </c>
      <c r="L19">
        <f t="shared" ca="1" si="0"/>
        <v>1</v>
      </c>
      <c r="N19" t="e">
        <f t="shared" ca="1" si="5"/>
        <v>#N/A</v>
      </c>
      <c r="O19" t="e">
        <f t="shared" ca="1" si="1"/>
        <v>#N/A</v>
      </c>
      <c r="P19" s="2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s="4" t="e">
        <f ca="1"/>
        <v>#N/A</v>
      </c>
      <c r="U19" t="e">
        <f ca="1"/>
        <v>#N/A</v>
      </c>
      <c r="V19" t="e">
        <f ca="1"/>
        <v>#N/A</v>
      </c>
      <c r="W19" t="e">
        <f ca="1"/>
        <v>#N/A</v>
      </c>
      <c r="X19" t="e">
        <f ca="1"/>
        <v>#N/A</v>
      </c>
      <c r="Y19" t="e">
        <f ca="1"/>
        <v>#N/A</v>
      </c>
      <c r="Z19" t="e">
        <f ca="1"/>
        <v>#N/A</v>
      </c>
      <c r="AA19" t="e">
        <f ca="1"/>
        <v>#N/A</v>
      </c>
      <c r="AB19" t="e">
        <f ca="1"/>
        <v>#N/A</v>
      </c>
      <c r="AD19" s="2">
        <f t="shared" ca="1" si="2"/>
        <v>0</v>
      </c>
      <c r="AE19" s="46">
        <f t="shared" ca="1" si="3"/>
        <v>0</v>
      </c>
      <c r="AG19" s="72" t="e">
        <f t="shared" ca="1" si="7"/>
        <v>#N/A</v>
      </c>
      <c r="AH19" s="72" t="e">
        <f t="shared" ca="1" si="8"/>
        <v>#N/A</v>
      </c>
      <c r="AI19" s="3" t="e">
        <f t="shared" ca="1" si="9"/>
        <v>#N/A</v>
      </c>
    </row>
    <row r="20" spans="1:35" x14ac:dyDescent="0.25">
      <c r="A20" s="8" t="s">
        <v>121</v>
      </c>
      <c r="B20" s="39">
        <f ca="1">PriorEstablishDate</f>
        <v>44932</v>
      </c>
      <c r="G20" s="3">
        <f t="shared" ca="1" si="4"/>
        <v>20</v>
      </c>
      <c r="H20" s="104">
        <f t="shared" ca="1" si="6"/>
        <v>44945</v>
      </c>
      <c r="I20" s="131" t="e">
        <f>HLOOKUP($H$4,'Met Data'!$A$2:$F$368,G20,FALSE)</f>
        <v>#N/A</v>
      </c>
      <c r="J20" s="131" t="e">
        <f ca="1">HLOOKUP($H$4,'Met Data'!$H$2:$M$368,G20,FALSE)*L20</f>
        <v>#N/A</v>
      </c>
      <c r="K20" s="105" t="e">
        <f>HLOOKUP($H$4,'Met Data'!$O$2:$T$368,G20,FALSE)</f>
        <v>#N/A</v>
      </c>
      <c r="L20">
        <f t="shared" ca="1" si="0"/>
        <v>1</v>
      </c>
      <c r="N20" t="e">
        <f t="shared" ca="1" si="5"/>
        <v>#N/A</v>
      </c>
      <c r="O20" t="e">
        <f t="shared" ca="1" si="1"/>
        <v>#N/A</v>
      </c>
      <c r="P20" s="2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s="4" t="e">
        <f ca="1"/>
        <v>#N/A</v>
      </c>
      <c r="U20" t="e">
        <f ca="1"/>
        <v>#N/A</v>
      </c>
      <c r="V20" t="e">
        <f ca="1"/>
        <v>#N/A</v>
      </c>
      <c r="W20" t="e">
        <f ca="1"/>
        <v>#N/A</v>
      </c>
      <c r="X20" t="e">
        <f ca="1"/>
        <v>#N/A</v>
      </c>
      <c r="Y20" t="e">
        <f ca="1"/>
        <v>#N/A</v>
      </c>
      <c r="Z20" t="e">
        <f ca="1"/>
        <v>#N/A</v>
      </c>
      <c r="AA20" t="e">
        <f ca="1"/>
        <v>#N/A</v>
      </c>
      <c r="AB20" t="e">
        <f ca="1"/>
        <v>#N/A</v>
      </c>
      <c r="AD20" s="2">
        <f t="shared" ca="1" si="2"/>
        <v>0</v>
      </c>
      <c r="AE20" s="46">
        <f t="shared" ca="1" si="3"/>
        <v>0</v>
      </c>
      <c r="AG20" s="72" t="e">
        <f t="shared" ca="1" si="7"/>
        <v>#N/A</v>
      </c>
      <c r="AH20" s="72" t="e">
        <f t="shared" ca="1" si="8"/>
        <v>#N/A</v>
      </c>
      <c r="AI20" s="3" t="e">
        <f t="shared" ca="1" si="9"/>
        <v>#N/A</v>
      </c>
    </row>
    <row r="21" spans="1:35" x14ac:dyDescent="0.25">
      <c r="A21" s="8" t="s">
        <v>122</v>
      </c>
      <c r="B21" s="37" t="str">
        <f>PriorEstablishStage</f>
        <v>Seed</v>
      </c>
      <c r="G21" s="3">
        <f t="shared" ca="1" si="4"/>
        <v>21</v>
      </c>
      <c r="H21" s="104">
        <f t="shared" ca="1" si="6"/>
        <v>44946</v>
      </c>
      <c r="I21" s="131" t="e">
        <f>HLOOKUP($H$4,'Met Data'!$A$2:$F$368,G21,FALSE)</f>
        <v>#N/A</v>
      </c>
      <c r="J21" s="131" t="e">
        <f ca="1">HLOOKUP($H$4,'Met Data'!$H$2:$M$368,G21,FALSE)*L21</f>
        <v>#N/A</v>
      </c>
      <c r="K21" s="105" t="e">
        <f>HLOOKUP($H$4,'Met Data'!$O$2:$T$368,G21,FALSE)</f>
        <v>#N/A</v>
      </c>
      <c r="L21">
        <f t="shared" ca="1" si="0"/>
        <v>1</v>
      </c>
      <c r="N21" t="e">
        <f t="shared" ca="1" si="5"/>
        <v>#N/A</v>
      </c>
      <c r="O21" t="e">
        <f t="shared" ca="1" si="1"/>
        <v>#N/A</v>
      </c>
      <c r="P21" s="2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s="4" t="e">
        <f ca="1"/>
        <v>#N/A</v>
      </c>
      <c r="U21" t="e">
        <f ca="1"/>
        <v>#N/A</v>
      </c>
      <c r="V21" t="e">
        <f ca="1"/>
        <v>#N/A</v>
      </c>
      <c r="W21" t="e">
        <f ca="1"/>
        <v>#N/A</v>
      </c>
      <c r="X21" t="e">
        <f ca="1"/>
        <v>#N/A</v>
      </c>
      <c r="Y21" t="e">
        <f ca="1"/>
        <v>#N/A</v>
      </c>
      <c r="Z21" t="e">
        <f ca="1"/>
        <v>#N/A</v>
      </c>
      <c r="AA21" t="e">
        <f ca="1"/>
        <v>#N/A</v>
      </c>
      <c r="AB21" t="e">
        <f ca="1"/>
        <v>#N/A</v>
      </c>
      <c r="AD21" s="2">
        <f t="shared" ca="1" si="2"/>
        <v>0</v>
      </c>
      <c r="AE21" s="46">
        <f t="shared" ca="1" si="3"/>
        <v>0</v>
      </c>
      <c r="AG21" s="72" t="e">
        <f t="shared" ca="1" si="7"/>
        <v>#N/A</v>
      </c>
      <c r="AH21" s="72" t="e">
        <f t="shared" ca="1" si="8"/>
        <v>#N/A</v>
      </c>
      <c r="AI21" s="3" t="e">
        <f t="shared" ca="1" si="9"/>
        <v>#N/A</v>
      </c>
    </row>
    <row r="22" spans="1:35" x14ac:dyDescent="0.25">
      <c r="A22" s="8" t="s">
        <v>123</v>
      </c>
      <c r="B22" s="39">
        <f ca="1">PriorHarvestDate</f>
        <v>44977</v>
      </c>
      <c r="G22" s="3">
        <f t="shared" ca="1" si="4"/>
        <v>22</v>
      </c>
      <c r="H22" s="104">
        <f t="shared" ca="1" si="6"/>
        <v>44947</v>
      </c>
      <c r="I22" s="131" t="e">
        <f>HLOOKUP($H$4,'Met Data'!$A$2:$F$368,G22,FALSE)</f>
        <v>#N/A</v>
      </c>
      <c r="J22" s="131" t="e">
        <f ca="1">HLOOKUP($H$4,'Met Data'!$H$2:$M$368,G22,FALSE)*L22</f>
        <v>#N/A</v>
      </c>
      <c r="K22" s="105" t="e">
        <f>HLOOKUP($H$4,'Met Data'!$O$2:$T$368,G22,FALSE)</f>
        <v>#N/A</v>
      </c>
      <c r="L22">
        <f t="shared" ca="1" si="0"/>
        <v>1</v>
      </c>
      <c r="N22" t="e">
        <f t="shared" ca="1" si="5"/>
        <v>#N/A</v>
      </c>
      <c r="O22" t="e">
        <f t="shared" ca="1" si="1"/>
        <v>#N/A</v>
      </c>
      <c r="P22" s="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s="4" t="e">
        <f ca="1"/>
        <v>#N/A</v>
      </c>
      <c r="U22" t="e">
        <f ca="1"/>
        <v>#N/A</v>
      </c>
      <c r="V22" t="e">
        <f ca="1"/>
        <v>#N/A</v>
      </c>
      <c r="W22" t="e">
        <f ca="1"/>
        <v>#N/A</v>
      </c>
      <c r="X22" t="e">
        <f ca="1"/>
        <v>#N/A</v>
      </c>
      <c r="Y22" t="e">
        <f ca="1"/>
        <v>#N/A</v>
      </c>
      <c r="Z22" t="e">
        <f ca="1"/>
        <v>#N/A</v>
      </c>
      <c r="AA22" t="e">
        <f ca="1"/>
        <v>#N/A</v>
      </c>
      <c r="AB22" t="e">
        <f ca="1"/>
        <v>#N/A</v>
      </c>
      <c r="AD22" s="2">
        <f t="shared" ca="1" si="2"/>
        <v>0</v>
      </c>
      <c r="AE22" s="46">
        <f t="shared" ca="1" si="3"/>
        <v>0</v>
      </c>
      <c r="AG22" s="72" t="e">
        <f t="shared" ca="1" si="7"/>
        <v>#N/A</v>
      </c>
      <c r="AH22" s="72" t="e">
        <f t="shared" ca="1" si="8"/>
        <v>#N/A</v>
      </c>
      <c r="AI22" s="3" t="e">
        <f t="shared" ca="1" si="9"/>
        <v>#N/A</v>
      </c>
    </row>
    <row r="23" spans="1:35" x14ac:dyDescent="0.25">
      <c r="A23" s="8" t="s">
        <v>124</v>
      </c>
      <c r="B23" s="37" t="str">
        <f>PriorHarvestStage</f>
        <v>EarlyReproductive</v>
      </c>
      <c r="G23" s="3">
        <f t="shared" ca="1" si="4"/>
        <v>23</v>
      </c>
      <c r="H23" s="104">
        <f t="shared" ca="1" si="6"/>
        <v>44948</v>
      </c>
      <c r="I23" s="131" t="e">
        <f>HLOOKUP($H$4,'Met Data'!$A$2:$F$368,G23,FALSE)</f>
        <v>#N/A</v>
      </c>
      <c r="J23" s="131" t="e">
        <f ca="1">HLOOKUP($H$4,'Met Data'!$H$2:$M$368,G23,FALSE)*L23</f>
        <v>#N/A</v>
      </c>
      <c r="K23" s="105" t="e">
        <f>HLOOKUP($H$4,'Met Data'!$O$2:$T$368,G23,FALSE)</f>
        <v>#N/A</v>
      </c>
      <c r="L23">
        <f t="shared" ca="1" si="0"/>
        <v>1</v>
      </c>
      <c r="N23" t="e">
        <f t="shared" ca="1" si="5"/>
        <v>#N/A</v>
      </c>
      <c r="O23" t="e">
        <f t="shared" ca="1" si="1"/>
        <v>#N/A</v>
      </c>
      <c r="P23" s="2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s="4" t="e">
        <f ca="1"/>
        <v>#N/A</v>
      </c>
      <c r="U23" t="e">
        <f ca="1"/>
        <v>#N/A</v>
      </c>
      <c r="V23" t="e">
        <f ca="1"/>
        <v>#N/A</v>
      </c>
      <c r="W23" t="e">
        <f ca="1"/>
        <v>#N/A</v>
      </c>
      <c r="X23" t="e">
        <f ca="1"/>
        <v>#N/A</v>
      </c>
      <c r="Y23" t="e">
        <f ca="1"/>
        <v>#N/A</v>
      </c>
      <c r="Z23" t="e">
        <f ca="1"/>
        <v>#N/A</v>
      </c>
      <c r="AA23" t="e">
        <f ca="1"/>
        <v>#N/A</v>
      </c>
      <c r="AB23" t="e">
        <f ca="1"/>
        <v>#N/A</v>
      </c>
      <c r="AD23" s="2">
        <f t="shared" ca="1" si="2"/>
        <v>0</v>
      </c>
      <c r="AE23" s="46">
        <f t="shared" ca="1" si="3"/>
        <v>0</v>
      </c>
      <c r="AG23" s="72" t="e">
        <f t="shared" ca="1" si="7"/>
        <v>#N/A</v>
      </c>
      <c r="AH23" s="72" t="e">
        <f t="shared" ca="1" si="8"/>
        <v>#N/A</v>
      </c>
      <c r="AI23" s="3" t="e">
        <f t="shared" ca="1" si="9"/>
        <v>#N/A</v>
      </c>
    </row>
    <row r="24" spans="1:35" x14ac:dyDescent="0.25">
      <c r="A24" s="8" t="s">
        <v>173</v>
      </c>
      <c r="B24" s="37" t="str">
        <f>PriorResidueRemoval</f>
        <v>None removed</v>
      </c>
      <c r="G24" s="3">
        <f t="shared" ca="1" si="4"/>
        <v>24</v>
      </c>
      <c r="H24" s="104">
        <f t="shared" ca="1" si="6"/>
        <v>44949</v>
      </c>
      <c r="I24" s="131" t="e">
        <f>HLOOKUP($H$4,'Met Data'!$A$2:$F$368,G24,FALSE)</f>
        <v>#N/A</v>
      </c>
      <c r="J24" s="131" t="e">
        <f ca="1">HLOOKUP($H$4,'Met Data'!$H$2:$M$368,G24,FALSE)*L24</f>
        <v>#N/A</v>
      </c>
      <c r="K24" s="105" t="e">
        <f>HLOOKUP($H$4,'Met Data'!$O$2:$T$368,G24,FALSE)</f>
        <v>#N/A</v>
      </c>
      <c r="L24">
        <f t="shared" ca="1" si="0"/>
        <v>1</v>
      </c>
      <c r="N24" t="e">
        <f t="shared" ca="1" si="5"/>
        <v>#N/A</v>
      </c>
      <c r="O24" t="e">
        <f t="shared" ca="1" si="1"/>
        <v>#N/A</v>
      </c>
      <c r="P24" s="2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s="4" t="e">
        <f ca="1"/>
        <v>#N/A</v>
      </c>
      <c r="U24" t="e">
        <f ca="1"/>
        <v>#N/A</v>
      </c>
      <c r="V24" t="e">
        <f ca="1"/>
        <v>#N/A</v>
      </c>
      <c r="W24" t="e">
        <f ca="1"/>
        <v>#N/A</v>
      </c>
      <c r="X24" t="e">
        <f ca="1"/>
        <v>#N/A</v>
      </c>
      <c r="Y24" t="e">
        <f ca="1"/>
        <v>#N/A</v>
      </c>
      <c r="Z24" t="e">
        <f ca="1"/>
        <v>#N/A</v>
      </c>
      <c r="AA24" t="e">
        <f ca="1"/>
        <v>#N/A</v>
      </c>
      <c r="AB24" t="e">
        <f ca="1"/>
        <v>#N/A</v>
      </c>
      <c r="AD24" s="2">
        <f t="shared" ca="1" si="2"/>
        <v>0</v>
      </c>
      <c r="AE24" s="46">
        <f t="shared" ca="1" si="3"/>
        <v>0</v>
      </c>
      <c r="AG24" s="72" t="e">
        <f t="shared" ca="1" si="7"/>
        <v>#N/A</v>
      </c>
      <c r="AH24" s="72" t="e">
        <f t="shared" ca="1" si="8"/>
        <v>#N/A</v>
      </c>
      <c r="AI24" s="3" t="e">
        <f t="shared" ca="1" si="9"/>
        <v>#N/A</v>
      </c>
    </row>
    <row r="25" spans="1:35" ht="15.75" thickBot="1" x14ac:dyDescent="0.3">
      <c r="A25" s="8" t="s">
        <v>176</v>
      </c>
      <c r="B25" s="110" t="str">
        <f>PriorResidueIncorporation</f>
        <v>Full (Plough)</v>
      </c>
      <c r="G25" s="3">
        <f t="shared" ca="1" si="4"/>
        <v>25</v>
      </c>
      <c r="H25" s="104">
        <f t="shared" ca="1" si="6"/>
        <v>44950</v>
      </c>
      <c r="I25" s="131" t="e">
        <f>HLOOKUP($H$4,'Met Data'!$A$2:$F$368,G25,FALSE)</f>
        <v>#N/A</v>
      </c>
      <c r="J25" s="131" t="e">
        <f ca="1">HLOOKUP($H$4,'Met Data'!$H$2:$M$368,G25,FALSE)*L25</f>
        <v>#N/A</v>
      </c>
      <c r="K25" s="105" t="e">
        <f>HLOOKUP($H$4,'Met Data'!$O$2:$T$368,G25,FALSE)</f>
        <v>#N/A</v>
      </c>
      <c r="L25">
        <f t="shared" ca="1" si="0"/>
        <v>1</v>
      </c>
      <c r="N25" t="e">
        <f t="shared" ca="1" si="5"/>
        <v>#N/A</v>
      </c>
      <c r="O25" t="e">
        <f t="shared" ca="1" si="1"/>
        <v>#N/A</v>
      </c>
      <c r="P25" s="2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s="4" t="e">
        <f ca="1"/>
        <v>#N/A</v>
      </c>
      <c r="U25" t="e">
        <f ca="1"/>
        <v>#N/A</v>
      </c>
      <c r="V25" t="e">
        <f ca="1"/>
        <v>#N/A</v>
      </c>
      <c r="W25" t="e">
        <f ca="1"/>
        <v>#N/A</v>
      </c>
      <c r="X25" t="e">
        <f ca="1"/>
        <v>#N/A</v>
      </c>
      <c r="Y25" t="e">
        <f ca="1"/>
        <v>#N/A</v>
      </c>
      <c r="Z25" t="e">
        <f ca="1"/>
        <v>#N/A</v>
      </c>
      <c r="AA25" t="e">
        <f ca="1"/>
        <v>#N/A</v>
      </c>
      <c r="AB25" t="e">
        <f ca="1"/>
        <v>#N/A</v>
      </c>
      <c r="AD25" s="2">
        <f t="shared" ca="1" si="2"/>
        <v>0</v>
      </c>
      <c r="AE25" s="46">
        <f t="shared" ca="1" si="3"/>
        <v>0</v>
      </c>
      <c r="AG25" s="72" t="e">
        <f t="shared" ca="1" si="7"/>
        <v>#N/A</v>
      </c>
      <c r="AH25" s="72" t="e">
        <f t="shared" ca="1" si="8"/>
        <v>#N/A</v>
      </c>
      <c r="AI25" s="3" t="e">
        <f t="shared" ca="1" si="9"/>
        <v>#N/A</v>
      </c>
    </row>
    <row r="26" spans="1:35" ht="15.75" thickBot="1" x14ac:dyDescent="0.3">
      <c r="A26" s="10" t="s">
        <v>148</v>
      </c>
      <c r="B26" s="13" t="str">
        <f>CurrentCropNameFull</f>
        <v xml:space="preserve">  General</v>
      </c>
      <c r="G26" s="3">
        <f t="shared" ca="1" si="4"/>
        <v>26</v>
      </c>
      <c r="H26" s="104">
        <f t="shared" ca="1" si="6"/>
        <v>44951</v>
      </c>
      <c r="I26" s="131" t="e">
        <f>HLOOKUP($H$4,'Met Data'!$A$2:$F$368,G26,FALSE)</f>
        <v>#N/A</v>
      </c>
      <c r="J26" s="131" t="e">
        <f ca="1">HLOOKUP($H$4,'Met Data'!$H$2:$M$368,G26,FALSE)*L26</f>
        <v>#N/A</v>
      </c>
      <c r="K26" s="105" t="e">
        <f>HLOOKUP($H$4,'Met Data'!$O$2:$T$368,G26,FALSE)</f>
        <v>#N/A</v>
      </c>
      <c r="L26">
        <f t="shared" ca="1" si="0"/>
        <v>1</v>
      </c>
      <c r="N26" t="e">
        <f t="shared" ca="1" si="5"/>
        <v>#N/A</v>
      </c>
      <c r="O26" t="e">
        <f t="shared" ca="1" si="1"/>
        <v>#N/A</v>
      </c>
      <c r="P26" s="2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s="4" t="e">
        <f ca="1"/>
        <v>#N/A</v>
      </c>
      <c r="U26" t="e">
        <f ca="1"/>
        <v>#N/A</v>
      </c>
      <c r="V26" t="e">
        <f ca="1"/>
        <v>#N/A</v>
      </c>
      <c r="W26" t="e">
        <f ca="1"/>
        <v>#N/A</v>
      </c>
      <c r="X26" t="e">
        <f ca="1"/>
        <v>#N/A</v>
      </c>
      <c r="Y26" t="e">
        <f ca="1"/>
        <v>#N/A</v>
      </c>
      <c r="Z26" t="e">
        <f ca="1"/>
        <v>#N/A</v>
      </c>
      <c r="AA26" t="e">
        <f ca="1"/>
        <v>#N/A</v>
      </c>
      <c r="AB26" t="e">
        <f ca="1"/>
        <v>#N/A</v>
      </c>
      <c r="AD26" s="2">
        <f t="shared" ca="1" si="2"/>
        <v>0</v>
      </c>
      <c r="AE26" s="46">
        <f t="shared" ca="1" si="3"/>
        <v>0</v>
      </c>
      <c r="AG26" s="72" t="e">
        <f t="shared" ca="1" si="7"/>
        <v>#N/A</v>
      </c>
      <c r="AH26" s="72" t="e">
        <f t="shared" ca="1" si="8"/>
        <v>#N/A</v>
      </c>
      <c r="AI26" s="3" t="e">
        <f t="shared" ca="1" si="9"/>
        <v>#N/A</v>
      </c>
    </row>
    <row r="27" spans="1:35" x14ac:dyDescent="0.25">
      <c r="A27" s="11" t="s">
        <v>125</v>
      </c>
      <c r="B27" s="13" t="e">
        <f>CurrentYield_tperHa</f>
        <v>#N/A</v>
      </c>
      <c r="G27" s="3">
        <f t="shared" ca="1" si="4"/>
        <v>27</v>
      </c>
      <c r="H27" s="104">
        <f t="shared" ca="1" si="6"/>
        <v>44952</v>
      </c>
      <c r="I27" s="131" t="e">
        <f>HLOOKUP($H$4,'Met Data'!$A$2:$F$368,G27,FALSE)</f>
        <v>#N/A</v>
      </c>
      <c r="J27" s="131" t="e">
        <f ca="1">HLOOKUP($H$4,'Met Data'!$H$2:$M$368,G27,FALSE)*L27</f>
        <v>#N/A</v>
      </c>
      <c r="K27" s="105" t="e">
        <f>HLOOKUP($H$4,'Met Data'!$O$2:$T$368,G27,FALSE)</f>
        <v>#N/A</v>
      </c>
      <c r="L27">
        <f t="shared" ca="1" si="0"/>
        <v>1</v>
      </c>
      <c r="N27" t="e">
        <f t="shared" ca="1" si="5"/>
        <v>#N/A</v>
      </c>
      <c r="O27" t="e">
        <f t="shared" ca="1" si="1"/>
        <v>#N/A</v>
      </c>
      <c r="P27" s="2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s="4" t="e">
        <f ca="1"/>
        <v>#N/A</v>
      </c>
      <c r="U27" t="e">
        <f ca="1"/>
        <v>#N/A</v>
      </c>
      <c r="V27" t="e">
        <f ca="1"/>
        <v>#N/A</v>
      </c>
      <c r="W27" t="e">
        <f ca="1"/>
        <v>#N/A</v>
      </c>
      <c r="X27" t="e">
        <f ca="1"/>
        <v>#N/A</v>
      </c>
      <c r="Y27" t="e">
        <f ca="1"/>
        <v>#N/A</v>
      </c>
      <c r="Z27" t="e">
        <f ca="1"/>
        <v>#N/A</v>
      </c>
      <c r="AA27" t="e">
        <f ca="1"/>
        <v>#N/A</v>
      </c>
      <c r="AB27" t="e">
        <f ca="1"/>
        <v>#N/A</v>
      </c>
      <c r="AD27" s="2">
        <f t="shared" ca="1" si="2"/>
        <v>0</v>
      </c>
      <c r="AE27" s="46">
        <f t="shared" ca="1" si="3"/>
        <v>0</v>
      </c>
      <c r="AG27" s="72" t="e">
        <f t="shared" ca="1" si="7"/>
        <v>#N/A</v>
      </c>
      <c r="AH27" s="72" t="e">
        <f t="shared" ca="1" si="8"/>
        <v>#N/A</v>
      </c>
      <c r="AI27" s="3" t="e">
        <f t="shared" ca="1" si="9"/>
        <v>#N/A</v>
      </c>
    </row>
    <row r="28" spans="1:35" x14ac:dyDescent="0.25">
      <c r="A28" s="11" t="s">
        <v>126</v>
      </c>
      <c r="B28" s="12" t="e">
        <f>CurrentFieldLoss</f>
        <v>#N/A</v>
      </c>
      <c r="G28" s="3">
        <f t="shared" ca="1" si="4"/>
        <v>28</v>
      </c>
      <c r="H28" s="104">
        <f t="shared" ca="1" si="6"/>
        <v>44953</v>
      </c>
      <c r="I28" s="131" t="e">
        <f>HLOOKUP($H$4,'Met Data'!$A$2:$F$368,G28,FALSE)</f>
        <v>#N/A</v>
      </c>
      <c r="J28" s="131" t="e">
        <f ca="1">HLOOKUP($H$4,'Met Data'!$H$2:$M$368,G28,FALSE)*L28</f>
        <v>#N/A</v>
      </c>
      <c r="K28" s="105" t="e">
        <f>HLOOKUP($H$4,'Met Data'!$O$2:$T$368,G28,FALSE)</f>
        <v>#N/A</v>
      </c>
      <c r="L28">
        <f t="shared" ca="1" si="0"/>
        <v>1</v>
      </c>
      <c r="N28" t="e">
        <f t="shared" ca="1" si="5"/>
        <v>#N/A</v>
      </c>
      <c r="O28" t="e">
        <f t="shared" ca="1" si="1"/>
        <v>#N/A</v>
      </c>
      <c r="P28" s="2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s="4" t="e">
        <f ca="1"/>
        <v>#N/A</v>
      </c>
      <c r="U28" t="e">
        <f ca="1"/>
        <v>#N/A</v>
      </c>
      <c r="V28" t="e">
        <f ca="1"/>
        <v>#N/A</v>
      </c>
      <c r="W28" t="e">
        <f ca="1"/>
        <v>#N/A</v>
      </c>
      <c r="X28" t="e">
        <f ca="1"/>
        <v>#N/A</v>
      </c>
      <c r="Y28" t="e">
        <f ca="1"/>
        <v>#N/A</v>
      </c>
      <c r="Z28" t="e">
        <f ca="1"/>
        <v>#N/A</v>
      </c>
      <c r="AA28" t="e">
        <f ca="1"/>
        <v>#N/A</v>
      </c>
      <c r="AB28" t="e">
        <f ca="1"/>
        <v>#N/A</v>
      </c>
      <c r="AD28" s="2">
        <f t="shared" ca="1" si="2"/>
        <v>0</v>
      </c>
      <c r="AE28" s="46">
        <f t="shared" ca="1" si="3"/>
        <v>0</v>
      </c>
      <c r="AG28" s="72" t="e">
        <f t="shared" ca="1" si="7"/>
        <v>#N/A</v>
      </c>
      <c r="AH28" s="72" t="e">
        <f t="shared" ca="1" si="8"/>
        <v>#N/A</v>
      </c>
      <c r="AI28" s="3" t="e">
        <f t="shared" ca="1" si="9"/>
        <v>#N/A</v>
      </c>
    </row>
    <row r="29" spans="1:35" x14ac:dyDescent="0.25">
      <c r="A29" s="11" t="s">
        <v>127</v>
      </c>
      <c r="B29" s="12" t="e">
        <f>CurrentDressingLoss</f>
        <v>#N/A</v>
      </c>
      <c r="G29" s="3">
        <f t="shared" ca="1" si="4"/>
        <v>29</v>
      </c>
      <c r="H29" s="104">
        <f t="shared" ca="1" si="6"/>
        <v>44954</v>
      </c>
      <c r="I29" s="131" t="e">
        <f>HLOOKUP($H$4,'Met Data'!$A$2:$F$368,G29,FALSE)</f>
        <v>#N/A</v>
      </c>
      <c r="J29" s="131" t="e">
        <f ca="1">HLOOKUP($H$4,'Met Data'!$H$2:$M$368,G29,FALSE)*L29</f>
        <v>#N/A</v>
      </c>
      <c r="K29" s="105" t="e">
        <f>HLOOKUP($H$4,'Met Data'!$O$2:$T$368,G29,FALSE)</f>
        <v>#N/A</v>
      </c>
      <c r="L29">
        <f t="shared" ca="1" si="0"/>
        <v>1</v>
      </c>
      <c r="N29" t="e">
        <f t="shared" ca="1" si="5"/>
        <v>#N/A</v>
      </c>
      <c r="O29" t="e">
        <f t="shared" ca="1" si="1"/>
        <v>#N/A</v>
      </c>
      <c r="P29" s="2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s="4" t="e">
        <f ca="1"/>
        <v>#N/A</v>
      </c>
      <c r="U29" t="e">
        <f ca="1"/>
        <v>#N/A</v>
      </c>
      <c r="V29" t="e">
        <f ca="1"/>
        <v>#N/A</v>
      </c>
      <c r="W29" t="e">
        <f ca="1"/>
        <v>#N/A</v>
      </c>
      <c r="X29" t="e">
        <f ca="1"/>
        <v>#N/A</v>
      </c>
      <c r="Y29" t="e">
        <f ca="1"/>
        <v>#N/A</v>
      </c>
      <c r="Z29" t="e">
        <f ca="1"/>
        <v>#N/A</v>
      </c>
      <c r="AA29" t="e">
        <f ca="1"/>
        <v>#N/A</v>
      </c>
      <c r="AB29" t="e">
        <f ca="1"/>
        <v>#N/A</v>
      </c>
      <c r="AD29" s="2">
        <f t="shared" ca="1" si="2"/>
        <v>0</v>
      </c>
      <c r="AE29" s="46">
        <f t="shared" ca="1" si="3"/>
        <v>0</v>
      </c>
      <c r="AG29" s="72" t="e">
        <f t="shared" ca="1" si="7"/>
        <v>#N/A</v>
      </c>
      <c r="AH29" s="72" t="e">
        <f t="shared" ca="1" si="8"/>
        <v>#N/A</v>
      </c>
      <c r="AI29" s="3" t="e">
        <f t="shared" ca="1" si="9"/>
        <v>#N/A</v>
      </c>
    </row>
    <row r="30" spans="1:35" x14ac:dyDescent="0.25">
      <c r="A30" s="11" t="s">
        <v>128</v>
      </c>
      <c r="B30" s="12" t="e">
        <f>CurrentMoistureContent</f>
        <v>#N/A</v>
      </c>
      <c r="G30" s="3">
        <f t="shared" ca="1" si="4"/>
        <v>30</v>
      </c>
      <c r="H30" s="104">
        <f t="shared" ca="1" si="6"/>
        <v>44955</v>
      </c>
      <c r="I30" s="131" t="e">
        <f>HLOOKUP($H$4,'Met Data'!$A$2:$F$368,G30,FALSE)</f>
        <v>#N/A</v>
      </c>
      <c r="J30" s="131" t="e">
        <f ca="1">HLOOKUP($H$4,'Met Data'!$H$2:$M$368,G30,FALSE)*L30</f>
        <v>#N/A</v>
      </c>
      <c r="K30" s="105" t="e">
        <f>HLOOKUP($H$4,'Met Data'!$O$2:$T$368,G30,FALSE)</f>
        <v>#N/A</v>
      </c>
      <c r="L30">
        <f t="shared" ca="1" si="0"/>
        <v>1</v>
      </c>
      <c r="N30" t="e">
        <f t="shared" ca="1" si="5"/>
        <v>#N/A</v>
      </c>
      <c r="O30" t="e">
        <f t="shared" ca="1" si="1"/>
        <v>#N/A</v>
      </c>
      <c r="P30" s="2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s="4" t="e">
        <f ca="1"/>
        <v>#N/A</v>
      </c>
      <c r="U30" t="e">
        <f ca="1"/>
        <v>#N/A</v>
      </c>
      <c r="V30" t="e">
        <f ca="1"/>
        <v>#N/A</v>
      </c>
      <c r="W30" t="e">
        <f ca="1"/>
        <v>#N/A</v>
      </c>
      <c r="X30" t="e">
        <f ca="1"/>
        <v>#N/A</v>
      </c>
      <c r="Y30" t="e">
        <f ca="1"/>
        <v>#N/A</v>
      </c>
      <c r="Z30" t="e">
        <f ca="1"/>
        <v>#N/A</v>
      </c>
      <c r="AA30" t="e">
        <f ca="1"/>
        <v>#N/A</v>
      </c>
      <c r="AB30" t="e">
        <f ca="1"/>
        <v>#N/A</v>
      </c>
      <c r="AD30" s="2">
        <f t="shared" ca="1" si="2"/>
        <v>0</v>
      </c>
      <c r="AE30" s="46">
        <f t="shared" ca="1" si="3"/>
        <v>0</v>
      </c>
      <c r="AG30" s="72" t="e">
        <f t="shared" ca="1" si="7"/>
        <v>#N/A</v>
      </c>
      <c r="AH30" s="72" t="e">
        <f t="shared" ca="1" si="8"/>
        <v>#N/A</v>
      </c>
      <c r="AI30" s="3" t="e">
        <f t="shared" ca="1" si="9"/>
        <v>#N/A</v>
      </c>
    </row>
    <row r="31" spans="1:35" x14ac:dyDescent="0.25">
      <c r="A31" s="11" t="s">
        <v>129</v>
      </c>
      <c r="B31" s="41">
        <f ca="1">CurrentEstablishDate</f>
        <v>44992</v>
      </c>
      <c r="G31" s="3">
        <f t="shared" ca="1" si="4"/>
        <v>31</v>
      </c>
      <c r="H31" s="104">
        <f t="shared" ca="1" si="6"/>
        <v>44956</v>
      </c>
      <c r="I31" s="131" t="e">
        <f>HLOOKUP($H$4,'Met Data'!$A$2:$F$368,G31,FALSE)</f>
        <v>#N/A</v>
      </c>
      <c r="J31" s="131" t="e">
        <f ca="1">HLOOKUP($H$4,'Met Data'!$H$2:$M$368,G31,FALSE)*L31</f>
        <v>#N/A</v>
      </c>
      <c r="K31" s="105" t="e">
        <f>HLOOKUP($H$4,'Met Data'!$O$2:$T$368,G31,FALSE)</f>
        <v>#N/A</v>
      </c>
      <c r="L31">
        <f t="shared" ca="1" si="0"/>
        <v>1</v>
      </c>
      <c r="N31" t="e">
        <f t="shared" ca="1" si="5"/>
        <v>#N/A</v>
      </c>
      <c r="O31" t="e">
        <f t="shared" ca="1" si="1"/>
        <v>#N/A</v>
      </c>
      <c r="P31" s="2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s="4" t="e">
        <f ca="1"/>
        <v>#N/A</v>
      </c>
      <c r="U31" t="e">
        <f ca="1"/>
        <v>#N/A</v>
      </c>
      <c r="V31" t="e">
        <f ca="1"/>
        <v>#N/A</v>
      </c>
      <c r="W31" t="e">
        <f ca="1"/>
        <v>#N/A</v>
      </c>
      <c r="X31" t="e">
        <f ca="1"/>
        <v>#N/A</v>
      </c>
      <c r="Y31" t="e">
        <f ca="1"/>
        <v>#N/A</v>
      </c>
      <c r="Z31" t="e">
        <f ca="1"/>
        <v>#N/A</v>
      </c>
      <c r="AA31" t="e">
        <f ca="1"/>
        <v>#N/A</v>
      </c>
      <c r="AB31" t="e">
        <f ca="1"/>
        <v>#N/A</v>
      </c>
      <c r="AD31" s="2">
        <f t="shared" ca="1" si="2"/>
        <v>0</v>
      </c>
      <c r="AE31" s="46">
        <f t="shared" ca="1" si="3"/>
        <v>0</v>
      </c>
      <c r="AG31" s="72" t="e">
        <f t="shared" ca="1" si="7"/>
        <v>#N/A</v>
      </c>
      <c r="AH31" s="72" t="e">
        <f t="shared" ca="1" si="8"/>
        <v>#N/A</v>
      </c>
      <c r="AI31" s="3" t="e">
        <f t="shared" ca="1" si="9"/>
        <v>#N/A</v>
      </c>
    </row>
    <row r="32" spans="1:35" x14ac:dyDescent="0.25">
      <c r="A32" s="11" t="s">
        <v>130</v>
      </c>
      <c r="B32" s="12" t="e">
        <f>CurrentEstablishStage</f>
        <v>#N/A</v>
      </c>
      <c r="G32" s="3">
        <f t="shared" ca="1" si="4"/>
        <v>32</v>
      </c>
      <c r="H32" s="104">
        <f t="shared" ca="1" si="6"/>
        <v>44957</v>
      </c>
      <c r="I32" s="131" t="e">
        <f>HLOOKUP($H$4,'Met Data'!$A$2:$F$368,G32,FALSE)</f>
        <v>#N/A</v>
      </c>
      <c r="J32" s="131" t="e">
        <f ca="1">HLOOKUP($H$4,'Met Data'!$H$2:$M$368,G32,FALSE)*L32</f>
        <v>#N/A</v>
      </c>
      <c r="K32" s="105" t="e">
        <f>HLOOKUP($H$4,'Met Data'!$O$2:$T$368,G32,FALSE)</f>
        <v>#N/A</v>
      </c>
      <c r="L32">
        <f t="shared" ca="1" si="0"/>
        <v>1</v>
      </c>
      <c r="N32" t="e">
        <f t="shared" ca="1" si="5"/>
        <v>#N/A</v>
      </c>
      <c r="O32" t="e">
        <f t="shared" ca="1" si="1"/>
        <v>#N/A</v>
      </c>
      <c r="P32" s="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s="4" t="e">
        <f ca="1"/>
        <v>#N/A</v>
      </c>
      <c r="U32" t="e">
        <f ca="1"/>
        <v>#N/A</v>
      </c>
      <c r="V32" t="e">
        <f ca="1"/>
        <v>#N/A</v>
      </c>
      <c r="W32" t="e">
        <f ca="1"/>
        <v>#N/A</v>
      </c>
      <c r="X32" t="e">
        <f ca="1"/>
        <v>#N/A</v>
      </c>
      <c r="Y32" t="e">
        <f ca="1"/>
        <v>#N/A</v>
      </c>
      <c r="Z32" t="e">
        <f ca="1"/>
        <v>#N/A</v>
      </c>
      <c r="AA32" t="e">
        <f ca="1"/>
        <v>#N/A</v>
      </c>
      <c r="AB32" t="e">
        <f ca="1"/>
        <v>#N/A</v>
      </c>
      <c r="AD32" s="2">
        <f t="shared" ca="1" si="2"/>
        <v>0</v>
      </c>
      <c r="AE32" s="46">
        <f t="shared" ca="1" si="3"/>
        <v>0</v>
      </c>
      <c r="AG32" s="72" t="e">
        <f t="shared" ca="1" si="7"/>
        <v>#N/A</v>
      </c>
      <c r="AH32" s="72" t="e">
        <f t="shared" ca="1" si="8"/>
        <v>#N/A</v>
      </c>
      <c r="AI32" s="3" t="e">
        <f t="shared" ca="1" si="9"/>
        <v>#N/A</v>
      </c>
    </row>
    <row r="33" spans="1:35" x14ac:dyDescent="0.25">
      <c r="A33" s="11" t="s">
        <v>131</v>
      </c>
      <c r="B33" s="41">
        <f ca="1">CurrentHarvestDate</f>
        <v>45117</v>
      </c>
      <c r="G33" s="3">
        <f t="shared" ca="1" si="4"/>
        <v>33</v>
      </c>
      <c r="H33" s="104">
        <f t="shared" ca="1" si="6"/>
        <v>44958</v>
      </c>
      <c r="I33" s="131" t="e">
        <f>HLOOKUP($H$4,'Met Data'!$A$2:$F$368,G33,FALSE)</f>
        <v>#N/A</v>
      </c>
      <c r="J33" s="131" t="e">
        <f ca="1">HLOOKUP($H$4,'Met Data'!$H$2:$M$368,G33,FALSE)*L33</f>
        <v>#N/A</v>
      </c>
      <c r="K33" s="105" t="e">
        <f>HLOOKUP($H$4,'Met Data'!$O$2:$T$368,G33,FALSE)</f>
        <v>#N/A</v>
      </c>
      <c r="L33">
        <f t="shared" ca="1" si="0"/>
        <v>1</v>
      </c>
      <c r="N33" t="e">
        <f t="shared" ca="1" si="5"/>
        <v>#N/A</v>
      </c>
      <c r="O33" t="e">
        <f t="shared" ca="1" si="1"/>
        <v>#N/A</v>
      </c>
      <c r="P33" s="2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s="4" t="e">
        <f ca="1"/>
        <v>#N/A</v>
      </c>
      <c r="U33" t="e">
        <f ca="1"/>
        <v>#N/A</v>
      </c>
      <c r="V33" t="e">
        <f ca="1"/>
        <v>#N/A</v>
      </c>
      <c r="W33" t="e">
        <f ca="1"/>
        <v>#N/A</v>
      </c>
      <c r="X33" t="e">
        <f ca="1"/>
        <v>#N/A</v>
      </c>
      <c r="Y33" t="e">
        <f ca="1"/>
        <v>#N/A</v>
      </c>
      <c r="Z33" t="e">
        <f ca="1"/>
        <v>#N/A</v>
      </c>
      <c r="AA33" t="e">
        <f ca="1"/>
        <v>#N/A</v>
      </c>
      <c r="AB33" t="e">
        <f ca="1"/>
        <v>#N/A</v>
      </c>
      <c r="AD33" s="2">
        <f t="shared" ca="1" si="2"/>
        <v>0</v>
      </c>
      <c r="AE33" s="46">
        <f t="shared" ca="1" si="3"/>
        <v>0</v>
      </c>
      <c r="AG33" s="72" t="e">
        <f t="shared" ca="1" si="7"/>
        <v>#N/A</v>
      </c>
      <c r="AH33" s="72" t="e">
        <f t="shared" ca="1" si="8"/>
        <v>#N/A</v>
      </c>
      <c r="AI33" s="3" t="e">
        <f t="shared" ca="1" si="9"/>
        <v>#N/A</v>
      </c>
    </row>
    <row r="34" spans="1:35" x14ac:dyDescent="0.25">
      <c r="A34" s="11" t="s">
        <v>132</v>
      </c>
      <c r="B34" s="12" t="e">
        <f>CurrentHarvestStage</f>
        <v>#N/A</v>
      </c>
      <c r="G34" s="3">
        <f t="shared" ca="1" si="4"/>
        <v>34</v>
      </c>
      <c r="H34" s="104">
        <f t="shared" ca="1" si="6"/>
        <v>44959</v>
      </c>
      <c r="I34" s="131" t="e">
        <f>HLOOKUP($H$4,'Met Data'!$A$2:$F$368,G34,FALSE)</f>
        <v>#N/A</v>
      </c>
      <c r="J34" s="131" t="e">
        <f ca="1">HLOOKUP($H$4,'Met Data'!$H$2:$M$368,G34,FALSE)*L34</f>
        <v>#N/A</v>
      </c>
      <c r="K34" s="105" t="e">
        <f>HLOOKUP($H$4,'Met Data'!$O$2:$T$368,G34,FALSE)</f>
        <v>#N/A</v>
      </c>
      <c r="L34">
        <f t="shared" ca="1" si="0"/>
        <v>1</v>
      </c>
      <c r="N34" t="e">
        <f t="shared" ca="1" si="5"/>
        <v>#N/A</v>
      </c>
      <c r="O34" t="e">
        <f t="shared" ca="1" si="1"/>
        <v>#N/A</v>
      </c>
      <c r="P34" s="2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s="4" t="e">
        <f ca="1"/>
        <v>#N/A</v>
      </c>
      <c r="U34" t="e">
        <f ca="1"/>
        <v>#N/A</v>
      </c>
      <c r="V34" t="e">
        <f ca="1"/>
        <v>#N/A</v>
      </c>
      <c r="W34" t="e">
        <f ca="1"/>
        <v>#N/A</v>
      </c>
      <c r="X34" t="e">
        <f ca="1"/>
        <v>#N/A</v>
      </c>
      <c r="Y34" t="e">
        <f ca="1"/>
        <v>#N/A</v>
      </c>
      <c r="Z34" t="e">
        <f ca="1"/>
        <v>#N/A</v>
      </c>
      <c r="AA34" t="e">
        <f ca="1"/>
        <v>#N/A</v>
      </c>
      <c r="AB34" t="e">
        <f ca="1"/>
        <v>#N/A</v>
      </c>
      <c r="AD34" s="2">
        <f t="shared" ca="1" si="2"/>
        <v>0</v>
      </c>
      <c r="AE34" s="46">
        <f t="shared" ca="1" si="3"/>
        <v>0</v>
      </c>
      <c r="AG34" s="72" t="e">
        <f t="shared" ca="1" si="7"/>
        <v>#N/A</v>
      </c>
      <c r="AH34" s="72" t="e">
        <f t="shared" ca="1" si="8"/>
        <v>#N/A</v>
      </c>
      <c r="AI34" s="3" t="e">
        <f t="shared" ca="1" si="9"/>
        <v>#N/A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35</v>
      </c>
      <c r="H35" s="104">
        <f t="shared" ca="1" si="6"/>
        <v>44960</v>
      </c>
      <c r="I35" s="131" t="e">
        <f>HLOOKUP($H$4,'Met Data'!$A$2:$F$368,G35,FALSE)</f>
        <v>#N/A</v>
      </c>
      <c r="J35" s="131" t="e">
        <f ca="1">HLOOKUP($H$4,'Met Data'!$H$2:$M$368,G35,FALSE)*L35</f>
        <v>#N/A</v>
      </c>
      <c r="K35" s="105" t="e">
        <f>HLOOKUP($H$4,'Met Data'!$O$2:$T$368,G35,FALSE)</f>
        <v>#N/A</v>
      </c>
      <c r="L35">
        <f t="shared" ca="1" si="0"/>
        <v>1</v>
      </c>
      <c r="N35" t="e">
        <f t="shared" ca="1" si="5"/>
        <v>#N/A</v>
      </c>
      <c r="O35" t="e">
        <f t="shared" ca="1" si="1"/>
        <v>#N/A</v>
      </c>
      <c r="P35" s="2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s="4" t="e">
        <f ca="1"/>
        <v>#N/A</v>
      </c>
      <c r="U35" t="e">
        <f ca="1"/>
        <v>#N/A</v>
      </c>
      <c r="V35" t="e">
        <f ca="1"/>
        <v>#N/A</v>
      </c>
      <c r="W35" t="e">
        <f ca="1"/>
        <v>#N/A</v>
      </c>
      <c r="X35" t="e">
        <f ca="1"/>
        <v>#N/A</v>
      </c>
      <c r="Y35" t="e">
        <f ca="1"/>
        <v>#N/A</v>
      </c>
      <c r="Z35" t="e">
        <f ca="1"/>
        <v>#N/A</v>
      </c>
      <c r="AA35" t="e">
        <f ca="1"/>
        <v>#N/A</v>
      </c>
      <c r="AB35" t="e">
        <f ca="1"/>
        <v>#N/A</v>
      </c>
      <c r="AD35" s="2">
        <f t="shared" ca="1" si="2"/>
        <v>0</v>
      </c>
      <c r="AE35" s="46">
        <f t="shared" ca="1" si="3"/>
        <v>0</v>
      </c>
      <c r="AG35" s="72" t="e">
        <f t="shared" ca="1" si="7"/>
        <v>#N/A</v>
      </c>
      <c r="AH35" s="72" t="e">
        <f t="shared" ca="1" si="8"/>
        <v>#N/A</v>
      </c>
      <c r="AI35" s="3" t="e">
        <f t="shared" ca="1" si="9"/>
        <v>#N/A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36</v>
      </c>
      <c r="H36" s="104">
        <f t="shared" ca="1" si="6"/>
        <v>44961</v>
      </c>
      <c r="I36" s="131" t="e">
        <f>HLOOKUP($H$4,'Met Data'!$A$2:$F$368,G36,FALSE)</f>
        <v>#N/A</v>
      </c>
      <c r="J36" s="131" t="e">
        <f ca="1">HLOOKUP($H$4,'Met Data'!$H$2:$M$368,G36,FALSE)*L36</f>
        <v>#N/A</v>
      </c>
      <c r="K36" s="105" t="e">
        <f>HLOOKUP($H$4,'Met Data'!$O$2:$T$368,G36,FALSE)</f>
        <v>#N/A</v>
      </c>
      <c r="L36">
        <f t="shared" ca="1" si="0"/>
        <v>1</v>
      </c>
      <c r="N36" t="e">
        <f t="shared" ca="1" si="5"/>
        <v>#N/A</v>
      </c>
      <c r="O36" t="e">
        <f t="shared" ca="1" si="1"/>
        <v>#N/A</v>
      </c>
      <c r="P36" s="2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  <c r="V36" t="e">
        <f ca="1"/>
        <v>#N/A</v>
      </c>
      <c r="W36" t="e">
        <f ca="1"/>
        <v>#N/A</v>
      </c>
      <c r="X36" t="e">
        <f ca="1"/>
        <v>#N/A</v>
      </c>
      <c r="Y36" t="e">
        <f ca="1"/>
        <v>#N/A</v>
      </c>
      <c r="Z36" t="e">
        <f ca="1"/>
        <v>#N/A</v>
      </c>
      <c r="AA36" t="e">
        <f ca="1"/>
        <v>#N/A</v>
      </c>
      <c r="AB36" t="e">
        <f ca="1"/>
        <v>#N/A</v>
      </c>
      <c r="AD36" s="2">
        <f t="shared" ca="1" si="2"/>
        <v>0</v>
      </c>
      <c r="AE36" s="46">
        <f t="shared" ca="1" si="3"/>
        <v>0</v>
      </c>
      <c r="AG36" s="72" t="e">
        <f t="shared" ca="1" si="7"/>
        <v>#N/A</v>
      </c>
      <c r="AH36" s="72" t="e">
        <f t="shared" ca="1" si="8"/>
        <v>#N/A</v>
      </c>
      <c r="AI36" s="3" t="e">
        <f t="shared" ca="1" si="9"/>
        <v>#N/A</v>
      </c>
    </row>
    <row r="37" spans="1:35" x14ac:dyDescent="0.25">
      <c r="A37" s="7" t="s">
        <v>149</v>
      </c>
      <c r="B37" s="36" t="str">
        <f>FollowingCropFullName</f>
        <v>Oat Fodder General</v>
      </c>
      <c r="G37" s="3">
        <f t="shared" ca="1" si="4"/>
        <v>37</v>
      </c>
      <c r="H37" s="104">
        <f t="shared" ca="1" si="6"/>
        <v>44962</v>
      </c>
      <c r="I37" s="131" t="e">
        <f>HLOOKUP($H$4,'Met Data'!$A$2:$F$368,G37,FALSE)</f>
        <v>#N/A</v>
      </c>
      <c r="J37" s="131" t="e">
        <f ca="1">HLOOKUP($H$4,'Met Data'!$H$2:$M$368,G37,FALSE)*L37</f>
        <v>#N/A</v>
      </c>
      <c r="K37" s="105" t="e">
        <f>HLOOKUP($H$4,'Met Data'!$O$2:$T$368,G37,FALSE)</f>
        <v>#N/A</v>
      </c>
      <c r="L37">
        <f t="shared" ca="1" si="0"/>
        <v>1</v>
      </c>
      <c r="N37" t="e">
        <f t="shared" ca="1" si="5"/>
        <v>#N/A</v>
      </c>
      <c r="O37" t="e">
        <f t="shared" ca="1" si="1"/>
        <v>#N/A</v>
      </c>
      <c r="P37" s="2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  <c r="V37" t="e">
        <f ca="1"/>
        <v>#N/A</v>
      </c>
      <c r="W37" t="e">
        <f ca="1"/>
        <v>#N/A</v>
      </c>
      <c r="X37" t="e">
        <f ca="1"/>
        <v>#N/A</v>
      </c>
      <c r="Y37" t="e">
        <f ca="1"/>
        <v>#N/A</v>
      </c>
      <c r="Z37" t="e">
        <f ca="1"/>
        <v>#N/A</v>
      </c>
      <c r="AA37" t="e">
        <f ca="1"/>
        <v>#N/A</v>
      </c>
      <c r="AB37" t="e">
        <f ca="1"/>
        <v>#N/A</v>
      </c>
      <c r="AD37" s="2">
        <f t="shared" ca="1" si="2"/>
        <v>0</v>
      </c>
      <c r="AE37" s="46">
        <f t="shared" ca="1" si="3"/>
        <v>0</v>
      </c>
      <c r="AG37" s="72" t="e">
        <f t="shared" ca="1" si="7"/>
        <v>#N/A</v>
      </c>
      <c r="AH37" s="72" t="e">
        <f t="shared" ca="1" si="8"/>
        <v>#N/A</v>
      </c>
      <c r="AI37" s="3" t="e">
        <f t="shared" ca="1" si="9"/>
        <v>#N/A</v>
      </c>
    </row>
    <row r="38" spans="1:35" x14ac:dyDescent="0.25">
      <c r="A38" s="8" t="s">
        <v>133</v>
      </c>
      <c r="B38" s="37">
        <f>FollowingYield_tperHa</f>
        <v>10</v>
      </c>
      <c r="G38" s="3">
        <f t="shared" ca="1" si="4"/>
        <v>38</v>
      </c>
      <c r="H38" s="104">
        <f t="shared" ca="1" si="6"/>
        <v>44963</v>
      </c>
      <c r="I38" s="131" t="e">
        <f>HLOOKUP($H$4,'Met Data'!$A$2:$F$368,G38,FALSE)</f>
        <v>#N/A</v>
      </c>
      <c r="J38" s="131" t="e">
        <f ca="1">HLOOKUP($H$4,'Met Data'!$H$2:$M$368,G38,FALSE)*L38</f>
        <v>#N/A</v>
      </c>
      <c r="K38" s="105" t="e">
        <f>HLOOKUP($H$4,'Met Data'!$O$2:$T$368,G38,FALSE)</f>
        <v>#N/A</v>
      </c>
      <c r="L38">
        <f t="shared" ca="1" si="0"/>
        <v>1</v>
      </c>
      <c r="N38" t="e">
        <f t="shared" ca="1" si="5"/>
        <v>#N/A</v>
      </c>
      <c r="O38" t="e">
        <f t="shared" ca="1" si="1"/>
        <v>#N/A</v>
      </c>
      <c r="P38" s="2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  <c r="V38" t="e">
        <f ca="1"/>
        <v>#N/A</v>
      </c>
      <c r="W38" t="e">
        <f ca="1"/>
        <v>#N/A</v>
      </c>
      <c r="X38" t="e">
        <f ca="1"/>
        <v>#N/A</v>
      </c>
      <c r="Y38" t="e">
        <f ca="1"/>
        <v>#N/A</v>
      </c>
      <c r="Z38" t="e">
        <f ca="1"/>
        <v>#N/A</v>
      </c>
      <c r="AA38" t="e">
        <f ca="1"/>
        <v>#N/A</v>
      </c>
      <c r="AB38" t="e">
        <f ca="1"/>
        <v>#N/A</v>
      </c>
      <c r="AD38" s="2">
        <f t="shared" ca="1" si="2"/>
        <v>0</v>
      </c>
      <c r="AE38" s="46">
        <f t="shared" ca="1" si="3"/>
        <v>0</v>
      </c>
      <c r="AG38" s="72" t="e">
        <f t="shared" ca="1" si="7"/>
        <v>#N/A</v>
      </c>
      <c r="AH38" s="72" t="e">
        <f t="shared" ca="1" si="8"/>
        <v>#N/A</v>
      </c>
      <c r="AI38" s="3" t="e">
        <f t="shared" ca="1" si="9"/>
        <v>#N/A</v>
      </c>
    </row>
    <row r="39" spans="1:35" x14ac:dyDescent="0.25">
      <c r="A39" s="8" t="s">
        <v>134</v>
      </c>
      <c r="B39" s="37">
        <f>FollowingFieldLoss</f>
        <v>0</v>
      </c>
      <c r="G39" s="3">
        <f t="shared" ca="1" si="4"/>
        <v>39</v>
      </c>
      <c r="H39" s="104">
        <f t="shared" ca="1" si="6"/>
        <v>44964</v>
      </c>
      <c r="I39" s="131" t="e">
        <f>HLOOKUP($H$4,'Met Data'!$A$2:$F$368,G39,FALSE)</f>
        <v>#N/A</v>
      </c>
      <c r="J39" s="131" t="e">
        <f ca="1">HLOOKUP($H$4,'Met Data'!$H$2:$M$368,G39,FALSE)*L39</f>
        <v>#N/A</v>
      </c>
      <c r="K39" s="105" t="e">
        <f>HLOOKUP($H$4,'Met Data'!$O$2:$T$368,G39,FALSE)</f>
        <v>#N/A</v>
      </c>
      <c r="L39">
        <f t="shared" ca="1" si="0"/>
        <v>1</v>
      </c>
      <c r="N39" t="e">
        <f t="shared" ca="1" si="5"/>
        <v>#N/A</v>
      </c>
      <c r="O39" t="e">
        <f t="shared" ca="1" si="1"/>
        <v>#N/A</v>
      </c>
      <c r="P39" s="2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  <c r="V39" t="e">
        <f ca="1"/>
        <v>#N/A</v>
      </c>
      <c r="W39" t="e">
        <f ca="1"/>
        <v>#N/A</v>
      </c>
      <c r="X39" t="e">
        <f ca="1"/>
        <v>#N/A</v>
      </c>
      <c r="Y39" t="e">
        <f ca="1"/>
        <v>#N/A</v>
      </c>
      <c r="Z39" t="e">
        <f ca="1"/>
        <v>#N/A</v>
      </c>
      <c r="AA39" t="e">
        <f ca="1"/>
        <v>#N/A</v>
      </c>
      <c r="AB39" t="e">
        <f ca="1"/>
        <v>#N/A</v>
      </c>
      <c r="AD39" s="2">
        <f t="shared" ca="1" si="2"/>
        <v>0</v>
      </c>
      <c r="AE39" s="46">
        <f t="shared" ca="1" si="3"/>
        <v>0</v>
      </c>
      <c r="AG39" s="72" t="e">
        <f t="shared" ca="1" si="7"/>
        <v>#N/A</v>
      </c>
      <c r="AH39" s="72" t="e">
        <f t="shared" ca="1" si="8"/>
        <v>#N/A</v>
      </c>
      <c r="AI39" s="3" t="e">
        <f t="shared" ca="1" si="9"/>
        <v>#N/A</v>
      </c>
    </row>
    <row r="40" spans="1:35" x14ac:dyDescent="0.25">
      <c r="A40" s="8" t="s">
        <v>135</v>
      </c>
      <c r="B40" s="37">
        <f>FollowingDressingLoss</f>
        <v>0</v>
      </c>
      <c r="G40" s="3">
        <f t="shared" ca="1" si="4"/>
        <v>40</v>
      </c>
      <c r="H40" s="104">
        <f t="shared" ca="1" si="6"/>
        <v>44965</v>
      </c>
      <c r="I40" s="131" t="e">
        <f>HLOOKUP($H$4,'Met Data'!$A$2:$F$368,G40,FALSE)</f>
        <v>#N/A</v>
      </c>
      <c r="J40" s="131" t="e">
        <f ca="1">HLOOKUP($H$4,'Met Data'!$H$2:$M$368,G40,FALSE)*L40</f>
        <v>#N/A</v>
      </c>
      <c r="K40" s="105" t="e">
        <f>HLOOKUP($H$4,'Met Data'!$O$2:$T$368,G40,FALSE)</f>
        <v>#N/A</v>
      </c>
      <c r="L40">
        <f t="shared" ca="1" si="0"/>
        <v>1</v>
      </c>
      <c r="N40" t="e">
        <f t="shared" ca="1" si="5"/>
        <v>#N/A</v>
      </c>
      <c r="O40" t="e">
        <f t="shared" ca="1" si="1"/>
        <v>#N/A</v>
      </c>
      <c r="P40" s="2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  <c r="V40" t="e">
        <f ca="1"/>
        <v>#N/A</v>
      </c>
      <c r="W40" t="e">
        <f ca="1"/>
        <v>#N/A</v>
      </c>
      <c r="X40" t="e">
        <f ca="1"/>
        <v>#N/A</v>
      </c>
      <c r="Y40" t="e">
        <f ca="1"/>
        <v>#N/A</v>
      </c>
      <c r="Z40" t="e">
        <f ca="1"/>
        <v>#N/A</v>
      </c>
      <c r="AA40" t="e">
        <f ca="1"/>
        <v>#N/A</v>
      </c>
      <c r="AB40" t="e">
        <f ca="1"/>
        <v>#N/A</v>
      </c>
      <c r="AD40" s="2">
        <f t="shared" ca="1" si="2"/>
        <v>0</v>
      </c>
      <c r="AE40" s="46">
        <f t="shared" ca="1" si="3"/>
        <v>0</v>
      </c>
      <c r="AG40" s="72" t="e">
        <f t="shared" ca="1" si="7"/>
        <v>#N/A</v>
      </c>
      <c r="AH40" s="72" t="e">
        <f t="shared" ca="1" si="8"/>
        <v>#N/A</v>
      </c>
      <c r="AI40" s="3" t="e">
        <f t="shared" ca="1" si="9"/>
        <v>#N/A</v>
      </c>
    </row>
    <row r="41" spans="1:35" x14ac:dyDescent="0.25">
      <c r="A41" s="8" t="s">
        <v>136</v>
      </c>
      <c r="B41" s="37">
        <f>FollowingMoistureLoss</f>
        <v>0</v>
      </c>
      <c r="G41" s="3">
        <f t="shared" ca="1" si="4"/>
        <v>41</v>
      </c>
      <c r="H41" s="104">
        <f t="shared" ca="1" si="6"/>
        <v>44966</v>
      </c>
      <c r="I41" s="131" t="e">
        <f>HLOOKUP($H$4,'Met Data'!$A$2:$F$368,G41,FALSE)</f>
        <v>#N/A</v>
      </c>
      <c r="J41" s="131" t="e">
        <f ca="1">HLOOKUP($H$4,'Met Data'!$H$2:$M$368,G41,FALSE)*L41</f>
        <v>#N/A</v>
      </c>
      <c r="K41" s="105" t="e">
        <f>HLOOKUP($H$4,'Met Data'!$O$2:$T$368,G41,FALSE)</f>
        <v>#N/A</v>
      </c>
      <c r="L41">
        <f t="shared" ca="1" si="0"/>
        <v>1</v>
      </c>
      <c r="N41" t="e">
        <f t="shared" ca="1" si="5"/>
        <v>#N/A</v>
      </c>
      <c r="O41" t="e">
        <f t="shared" ca="1" si="1"/>
        <v>#N/A</v>
      </c>
      <c r="P41" s="2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  <c r="V41" t="e">
        <f ca="1"/>
        <v>#N/A</v>
      </c>
      <c r="W41" t="e">
        <f ca="1"/>
        <v>#N/A</v>
      </c>
      <c r="X41" t="e">
        <f ca="1"/>
        <v>#N/A</v>
      </c>
      <c r="Y41" t="e">
        <f ca="1"/>
        <v>#N/A</v>
      </c>
      <c r="Z41" t="e">
        <f ca="1"/>
        <v>#N/A</v>
      </c>
      <c r="AA41" t="e">
        <f ca="1"/>
        <v>#N/A</v>
      </c>
      <c r="AB41" t="e">
        <f ca="1"/>
        <v>#N/A</v>
      </c>
      <c r="AD41" s="2">
        <f t="shared" ca="1" si="2"/>
        <v>0</v>
      </c>
      <c r="AE41" s="46">
        <f t="shared" ca="1" si="3"/>
        <v>0</v>
      </c>
      <c r="AG41" s="72" t="e">
        <f t="shared" ca="1" si="7"/>
        <v>#N/A</v>
      </c>
      <c r="AH41" s="72" t="e">
        <f t="shared" ca="1" si="8"/>
        <v>#N/A</v>
      </c>
      <c r="AI41" s="3" t="e">
        <f t="shared" ca="1" si="9"/>
        <v>#N/A</v>
      </c>
    </row>
    <row r="42" spans="1:35" x14ac:dyDescent="0.25">
      <c r="A42" s="8" t="s">
        <v>137</v>
      </c>
      <c r="B42" s="39">
        <f ca="1">FollowingEstablishDate</f>
        <v>45132</v>
      </c>
      <c r="G42" s="3">
        <f t="shared" ca="1" si="4"/>
        <v>42</v>
      </c>
      <c r="H42" s="104">
        <f t="shared" ca="1" si="6"/>
        <v>44967</v>
      </c>
      <c r="I42" s="131" t="e">
        <f>HLOOKUP($H$4,'Met Data'!$A$2:$F$368,G42,FALSE)</f>
        <v>#N/A</v>
      </c>
      <c r="J42" s="131" t="e">
        <f ca="1">HLOOKUP($H$4,'Met Data'!$H$2:$M$368,G42,FALSE)*L42</f>
        <v>#N/A</v>
      </c>
      <c r="K42" s="105" t="e">
        <f>HLOOKUP($H$4,'Met Data'!$O$2:$T$368,G42,FALSE)</f>
        <v>#N/A</v>
      </c>
      <c r="L42">
        <f t="shared" ca="1" si="0"/>
        <v>1</v>
      </c>
      <c r="N42" t="e">
        <f t="shared" ca="1" si="5"/>
        <v>#N/A</v>
      </c>
      <c r="O42" t="e">
        <f t="shared" ca="1" si="1"/>
        <v>#N/A</v>
      </c>
      <c r="P42" s="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  <c r="V42" t="e">
        <f ca="1"/>
        <v>#N/A</v>
      </c>
      <c r="W42" t="e">
        <f ca="1"/>
        <v>#N/A</v>
      </c>
      <c r="X42" t="e">
        <f ca="1"/>
        <v>#N/A</v>
      </c>
      <c r="Y42" t="e">
        <f ca="1"/>
        <v>#N/A</v>
      </c>
      <c r="Z42" t="e">
        <f ca="1"/>
        <v>#N/A</v>
      </c>
      <c r="AA42" t="e">
        <f ca="1"/>
        <v>#N/A</v>
      </c>
      <c r="AB42" t="e">
        <f ca="1"/>
        <v>#N/A</v>
      </c>
      <c r="AD42" s="2">
        <f t="shared" ca="1" si="2"/>
        <v>0</v>
      </c>
      <c r="AE42" s="46">
        <f t="shared" ca="1" si="3"/>
        <v>0</v>
      </c>
      <c r="AG42" s="72" t="e">
        <f t="shared" ca="1" si="7"/>
        <v>#N/A</v>
      </c>
      <c r="AH42" s="72" t="e">
        <f t="shared" ca="1" si="8"/>
        <v>#N/A</v>
      </c>
      <c r="AI42" s="3" t="e">
        <f t="shared" ca="1" si="9"/>
        <v>#N/A</v>
      </c>
    </row>
    <row r="43" spans="1:35" x14ac:dyDescent="0.25">
      <c r="A43" s="8" t="s">
        <v>138</v>
      </c>
      <c r="B43" s="37" t="str">
        <f>FollowingEstablishStage</f>
        <v>Seed</v>
      </c>
      <c r="G43" s="3">
        <f t="shared" ca="1" si="4"/>
        <v>43</v>
      </c>
      <c r="H43" s="104">
        <f t="shared" ca="1" si="6"/>
        <v>44968</v>
      </c>
      <c r="I43" s="131" t="e">
        <f>HLOOKUP($H$4,'Met Data'!$A$2:$F$368,G43,FALSE)</f>
        <v>#N/A</v>
      </c>
      <c r="J43" s="131" t="e">
        <f ca="1">HLOOKUP($H$4,'Met Data'!$H$2:$M$368,G43,FALSE)*L43</f>
        <v>#N/A</v>
      </c>
      <c r="K43" s="105" t="e">
        <f>HLOOKUP($H$4,'Met Data'!$O$2:$T$368,G43,FALSE)</f>
        <v>#N/A</v>
      </c>
      <c r="L43">
        <f t="shared" ca="1" si="0"/>
        <v>1</v>
      </c>
      <c r="N43" t="e">
        <f t="shared" ca="1" si="5"/>
        <v>#N/A</v>
      </c>
      <c r="O43" t="e">
        <f t="shared" ca="1" si="1"/>
        <v>#N/A</v>
      </c>
      <c r="P43" s="2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D43" s="2">
        <f t="shared" ca="1" si="2"/>
        <v>0</v>
      </c>
      <c r="AE43" s="46">
        <f t="shared" ca="1" si="3"/>
        <v>0</v>
      </c>
      <c r="AG43" s="72" t="e">
        <f t="shared" ca="1" si="7"/>
        <v>#N/A</v>
      </c>
      <c r="AH43" s="72" t="e">
        <f t="shared" ca="1" si="8"/>
        <v>#N/A</v>
      </c>
      <c r="AI43" s="3" t="e">
        <f t="shared" ca="1" si="9"/>
        <v>#N/A</v>
      </c>
    </row>
    <row r="44" spans="1:35" x14ac:dyDescent="0.25">
      <c r="A44" s="8" t="s">
        <v>139</v>
      </c>
      <c r="B44" s="39">
        <f ca="1">FollowingHarvestDate</f>
        <v>45252</v>
      </c>
      <c r="G44" s="3">
        <f t="shared" ca="1" si="4"/>
        <v>44</v>
      </c>
      <c r="H44" s="104">
        <f t="shared" ca="1" si="6"/>
        <v>44969</v>
      </c>
      <c r="I44" s="131" t="e">
        <f>HLOOKUP($H$4,'Met Data'!$A$2:$F$368,G44,FALSE)</f>
        <v>#N/A</v>
      </c>
      <c r="J44" s="131" t="e">
        <f ca="1">HLOOKUP($H$4,'Met Data'!$H$2:$M$368,G44,FALSE)*L44</f>
        <v>#N/A</v>
      </c>
      <c r="K44" s="105" t="e">
        <f>HLOOKUP($H$4,'Met Data'!$O$2:$T$368,G44,FALSE)</f>
        <v>#N/A</v>
      </c>
      <c r="L44">
        <f t="shared" ca="1" si="0"/>
        <v>1</v>
      </c>
      <c r="N44" t="e">
        <f t="shared" ca="1" si="5"/>
        <v>#N/A</v>
      </c>
      <c r="O44" t="e">
        <f t="shared" ca="1" si="1"/>
        <v>#N/A</v>
      </c>
      <c r="P44" s="2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  <c r="V44" t="e">
        <f ca="1"/>
        <v>#N/A</v>
      </c>
      <c r="W44" t="e">
        <f ca="1"/>
        <v>#N/A</v>
      </c>
      <c r="X44" t="e">
        <f ca="1"/>
        <v>#N/A</v>
      </c>
      <c r="Y44" t="e">
        <f ca="1"/>
        <v>#N/A</v>
      </c>
      <c r="Z44" t="e">
        <f ca="1"/>
        <v>#N/A</v>
      </c>
      <c r="AA44" t="e">
        <f ca="1"/>
        <v>#N/A</v>
      </c>
      <c r="AB44" t="e">
        <f ca="1"/>
        <v>#N/A</v>
      </c>
      <c r="AD44" s="2">
        <f t="shared" ca="1" si="2"/>
        <v>0</v>
      </c>
      <c r="AE44" s="46">
        <f t="shared" ca="1" si="3"/>
        <v>0</v>
      </c>
      <c r="AG44" s="72" t="e">
        <f t="shared" ca="1" si="7"/>
        <v>#N/A</v>
      </c>
      <c r="AH44" s="72" t="e">
        <f t="shared" ca="1" si="8"/>
        <v>#N/A</v>
      </c>
      <c r="AI44" s="3" t="e">
        <f t="shared" ca="1" si="9"/>
        <v>#N/A</v>
      </c>
    </row>
    <row r="45" spans="1:35" x14ac:dyDescent="0.25">
      <c r="A45" s="8" t="s">
        <v>140</v>
      </c>
      <c r="B45" s="37" t="str">
        <f>FollowingHarvestStage</f>
        <v>EarlyReproductive</v>
      </c>
      <c r="G45" s="3">
        <f t="shared" ca="1" si="4"/>
        <v>45</v>
      </c>
      <c r="H45" s="104">
        <f t="shared" ca="1" si="6"/>
        <v>44970</v>
      </c>
      <c r="I45" s="131" t="e">
        <f>HLOOKUP($H$4,'Met Data'!$A$2:$F$368,G45,FALSE)</f>
        <v>#N/A</v>
      </c>
      <c r="J45" s="131" t="e">
        <f ca="1">HLOOKUP($H$4,'Met Data'!$H$2:$M$368,G45,FALSE)*L45</f>
        <v>#N/A</v>
      </c>
      <c r="K45" s="105" t="e">
        <f>HLOOKUP($H$4,'Met Data'!$O$2:$T$368,G45,FALSE)</f>
        <v>#N/A</v>
      </c>
      <c r="L45">
        <f t="shared" ca="1" si="0"/>
        <v>1</v>
      </c>
      <c r="N45" t="e">
        <f t="shared" ca="1" si="5"/>
        <v>#N/A</v>
      </c>
      <c r="O45" t="e">
        <f t="shared" ca="1" si="1"/>
        <v>#N/A</v>
      </c>
      <c r="P45" s="2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  <c r="V45" t="e">
        <f ca="1"/>
        <v>#N/A</v>
      </c>
      <c r="W45" t="e">
        <f ca="1"/>
        <v>#N/A</v>
      </c>
      <c r="X45" t="e">
        <f ca="1"/>
        <v>#N/A</v>
      </c>
      <c r="Y45" t="e">
        <f ca="1"/>
        <v>#N/A</v>
      </c>
      <c r="Z45" t="e">
        <f ca="1"/>
        <v>#N/A</v>
      </c>
      <c r="AA45" t="e">
        <f ca="1"/>
        <v>#N/A</v>
      </c>
      <c r="AB45" t="e">
        <f ca="1"/>
        <v>#N/A</v>
      </c>
      <c r="AD45" s="2">
        <f t="shared" ca="1" si="2"/>
        <v>0</v>
      </c>
      <c r="AE45" s="46">
        <f t="shared" ca="1" si="3"/>
        <v>0</v>
      </c>
      <c r="AG45" s="72" t="e">
        <f t="shared" ca="1" si="7"/>
        <v>#N/A</v>
      </c>
      <c r="AH45" s="72" t="e">
        <f t="shared" ca="1" si="8"/>
        <v>#N/A</v>
      </c>
      <c r="AI45" s="3" t="e">
        <f t="shared" ca="1" si="9"/>
        <v>#N/A</v>
      </c>
    </row>
    <row r="46" spans="1:35" ht="15.75" thickBot="1" x14ac:dyDescent="0.3">
      <c r="A46" s="9" t="s">
        <v>175</v>
      </c>
      <c r="B46" s="38" t="str">
        <f>FollowingResidueRemoval</f>
        <v>None removed</v>
      </c>
      <c r="G46" s="3">
        <f t="shared" ca="1" si="4"/>
        <v>46</v>
      </c>
      <c r="H46" s="104">
        <f t="shared" ca="1" si="6"/>
        <v>44971</v>
      </c>
      <c r="I46" s="131" t="e">
        <f>HLOOKUP($H$4,'Met Data'!$A$2:$F$368,G46,FALSE)</f>
        <v>#N/A</v>
      </c>
      <c r="J46" s="131" t="e">
        <f ca="1">HLOOKUP($H$4,'Met Data'!$H$2:$M$368,G46,FALSE)*L46</f>
        <v>#N/A</v>
      </c>
      <c r="K46" s="105" t="e">
        <f>HLOOKUP($H$4,'Met Data'!$O$2:$T$368,G46,FALSE)</f>
        <v>#N/A</v>
      </c>
      <c r="L46">
        <f t="shared" ca="1" si="0"/>
        <v>1</v>
      </c>
      <c r="N46" t="e">
        <f t="shared" ca="1" si="5"/>
        <v>#N/A</v>
      </c>
      <c r="O46" t="e">
        <f t="shared" ca="1" si="1"/>
        <v>#N/A</v>
      </c>
      <c r="P46" s="2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  <c r="V46" t="e">
        <f ca="1"/>
        <v>#N/A</v>
      </c>
      <c r="W46" t="e">
        <f ca="1"/>
        <v>#N/A</v>
      </c>
      <c r="X46" t="e">
        <f ca="1"/>
        <v>#N/A</v>
      </c>
      <c r="Y46" t="e">
        <f ca="1"/>
        <v>#N/A</v>
      </c>
      <c r="Z46" t="e">
        <f ca="1"/>
        <v>#N/A</v>
      </c>
      <c r="AA46" t="e">
        <f ca="1"/>
        <v>#N/A</v>
      </c>
      <c r="AB46" t="e">
        <f ca="1"/>
        <v>#N/A</v>
      </c>
      <c r="AD46" s="2">
        <f t="shared" ca="1" si="2"/>
        <v>0</v>
      </c>
      <c r="AE46" s="46">
        <f t="shared" ca="1" si="3"/>
        <v>0</v>
      </c>
      <c r="AG46" s="72" t="e">
        <f t="shared" ca="1" si="7"/>
        <v>#N/A</v>
      </c>
      <c r="AH46" s="72" t="e">
        <f t="shared" ca="1" si="8"/>
        <v>#N/A</v>
      </c>
      <c r="AI46" s="3" t="e">
        <f t="shared" ca="1" si="9"/>
        <v>#N/A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47</v>
      </c>
      <c r="H47" s="104">
        <f t="shared" ca="1" si="6"/>
        <v>44972</v>
      </c>
      <c r="I47" s="131" t="e">
        <f>HLOOKUP($H$4,'Met Data'!$A$2:$F$368,G47,FALSE)</f>
        <v>#N/A</v>
      </c>
      <c r="J47" s="131" t="e">
        <f ca="1">HLOOKUP($H$4,'Met Data'!$H$2:$M$368,G47,FALSE)*L47</f>
        <v>#N/A</v>
      </c>
      <c r="K47" s="105" t="e">
        <f>HLOOKUP($H$4,'Met Data'!$O$2:$T$368,G47,FALSE)</f>
        <v>#N/A</v>
      </c>
      <c r="L47">
        <f t="shared" ca="1" si="0"/>
        <v>1</v>
      </c>
      <c r="N47" t="e">
        <f t="shared" ca="1" si="5"/>
        <v>#N/A</v>
      </c>
      <c r="O47" t="e">
        <f t="shared" ca="1" si="1"/>
        <v>#N/A</v>
      </c>
      <c r="P47" s="2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  <c r="V47" t="e">
        <f ca="1"/>
        <v>#N/A</v>
      </c>
      <c r="W47" t="e">
        <f ca="1"/>
        <v>#N/A</v>
      </c>
      <c r="X47" t="e">
        <f ca="1"/>
        <v>#N/A</v>
      </c>
      <c r="Y47" t="e">
        <f ca="1"/>
        <v>#N/A</v>
      </c>
      <c r="Z47" t="e">
        <f ca="1"/>
        <v>#N/A</v>
      </c>
      <c r="AA47" t="e">
        <f ca="1"/>
        <v>#N/A</v>
      </c>
      <c r="AB47" t="e">
        <f ca="1"/>
        <v>#N/A</v>
      </c>
      <c r="AD47" s="2">
        <f t="shared" ca="1" si="2"/>
        <v>0</v>
      </c>
      <c r="AE47" s="46">
        <f t="shared" ca="1" si="3"/>
        <v>0</v>
      </c>
      <c r="AG47" s="72" t="e">
        <f t="shared" ca="1" si="7"/>
        <v>#N/A</v>
      </c>
      <c r="AH47" s="72" t="e">
        <f t="shared" ca="1" si="8"/>
        <v>#N/A</v>
      </c>
      <c r="AI47" s="3" t="e">
        <f t="shared" ca="1" si="9"/>
        <v>#N/A</v>
      </c>
    </row>
    <row r="48" spans="1:35" x14ac:dyDescent="0.25">
      <c r="A48" s="14"/>
      <c r="B48" s="15"/>
      <c r="G48" s="3">
        <f t="shared" ca="1" si="4"/>
        <v>48</v>
      </c>
      <c r="H48" s="104">
        <f t="shared" ca="1" si="6"/>
        <v>44973</v>
      </c>
      <c r="I48" s="131" t="e">
        <f>HLOOKUP($H$4,'Met Data'!$A$2:$F$368,G48,FALSE)</f>
        <v>#N/A</v>
      </c>
      <c r="J48" s="131" t="e">
        <f ca="1">HLOOKUP($H$4,'Met Data'!$H$2:$M$368,G48,FALSE)*L48</f>
        <v>#N/A</v>
      </c>
      <c r="K48" s="105" t="e">
        <f>HLOOKUP($H$4,'Met Data'!$O$2:$T$368,G48,FALSE)</f>
        <v>#N/A</v>
      </c>
      <c r="L48">
        <f t="shared" ca="1" si="0"/>
        <v>1</v>
      </c>
      <c r="N48" t="e">
        <f t="shared" ca="1" si="5"/>
        <v>#N/A</v>
      </c>
      <c r="O48" t="e">
        <f t="shared" ca="1" si="1"/>
        <v>#N/A</v>
      </c>
      <c r="P48" s="2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  <c r="V48" t="e">
        <f ca="1"/>
        <v>#N/A</v>
      </c>
      <c r="W48" t="e">
        <f ca="1"/>
        <v>#N/A</v>
      </c>
      <c r="X48" t="e">
        <f ca="1"/>
        <v>#N/A</v>
      </c>
      <c r="Y48" t="e">
        <f ca="1"/>
        <v>#N/A</v>
      </c>
      <c r="Z48" t="e">
        <f ca="1"/>
        <v>#N/A</v>
      </c>
      <c r="AA48" t="e">
        <f ca="1"/>
        <v>#N/A</v>
      </c>
      <c r="AB48" t="e">
        <f ca="1"/>
        <v>#N/A</v>
      </c>
      <c r="AD48" s="2">
        <f t="shared" ca="1" si="2"/>
        <v>0</v>
      </c>
      <c r="AE48" s="46">
        <f t="shared" ca="1" si="3"/>
        <v>0</v>
      </c>
      <c r="AG48" s="72" t="e">
        <f t="shared" ca="1" si="7"/>
        <v>#N/A</v>
      </c>
      <c r="AH48" s="72" t="e">
        <f t="shared" ca="1" si="8"/>
        <v>#N/A</v>
      </c>
      <c r="AI48" s="3" t="e">
        <f t="shared" ca="1" si="9"/>
        <v>#N/A</v>
      </c>
    </row>
    <row r="49" spans="1:35" ht="15.75" thickBot="1" x14ac:dyDescent="0.3">
      <c r="A49" s="16"/>
      <c r="B49" s="17"/>
      <c r="G49" s="3">
        <f t="shared" ca="1" si="4"/>
        <v>49</v>
      </c>
      <c r="H49" s="104">
        <f t="shared" ca="1" si="6"/>
        <v>44974</v>
      </c>
      <c r="I49" s="131" t="e">
        <f>HLOOKUP($H$4,'Met Data'!$A$2:$F$368,G49,FALSE)</f>
        <v>#N/A</v>
      </c>
      <c r="J49" s="131" t="e">
        <f ca="1">HLOOKUP($H$4,'Met Data'!$H$2:$M$368,G49,FALSE)*L49</f>
        <v>#N/A</v>
      </c>
      <c r="K49" s="105" t="e">
        <f>HLOOKUP($H$4,'Met Data'!$O$2:$T$368,G49,FALSE)</f>
        <v>#N/A</v>
      </c>
      <c r="L49">
        <f t="shared" ca="1" si="0"/>
        <v>1</v>
      </c>
      <c r="N49" t="e">
        <f t="shared" ca="1" si="5"/>
        <v>#N/A</v>
      </c>
      <c r="O49" t="e">
        <f t="shared" ca="1" si="1"/>
        <v>#N/A</v>
      </c>
      <c r="P49" s="2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  <c r="V49" t="e">
        <f ca="1"/>
        <v>#N/A</v>
      </c>
      <c r="W49" t="e">
        <f ca="1"/>
        <v>#N/A</v>
      </c>
      <c r="X49" t="e">
        <f ca="1"/>
        <v>#N/A</v>
      </c>
      <c r="Y49" t="e">
        <f ca="1"/>
        <v>#N/A</v>
      </c>
      <c r="Z49" t="e">
        <f ca="1"/>
        <v>#N/A</v>
      </c>
      <c r="AA49" t="e">
        <f ca="1"/>
        <v>#N/A</v>
      </c>
      <c r="AB49" t="e">
        <f ca="1"/>
        <v>#N/A</v>
      </c>
      <c r="AD49" s="2">
        <f t="shared" ca="1" si="2"/>
        <v>0</v>
      </c>
      <c r="AE49" s="46">
        <f t="shared" ca="1" si="3"/>
        <v>0</v>
      </c>
      <c r="AG49" s="72" t="e">
        <f t="shared" ca="1" si="7"/>
        <v>#N/A</v>
      </c>
      <c r="AH49" s="72" t="e">
        <f t="shared" ca="1" si="8"/>
        <v>#N/A</v>
      </c>
      <c r="AI49" s="3" t="e">
        <f t="shared" ca="1" si="9"/>
        <v>#N/A</v>
      </c>
    </row>
    <row r="50" spans="1:35" x14ac:dyDescent="0.25">
      <c r="G50" s="3">
        <f t="shared" ca="1" si="4"/>
        <v>50</v>
      </c>
      <c r="H50" s="104">
        <f t="shared" ca="1" si="6"/>
        <v>44975</v>
      </c>
      <c r="I50" s="131" t="e">
        <f>HLOOKUP($H$4,'Met Data'!$A$2:$F$368,G50,FALSE)</f>
        <v>#N/A</v>
      </c>
      <c r="J50" s="131" t="e">
        <f ca="1">HLOOKUP($H$4,'Met Data'!$H$2:$M$368,G50,FALSE)*L50</f>
        <v>#N/A</v>
      </c>
      <c r="K50" s="105" t="e">
        <f>HLOOKUP($H$4,'Met Data'!$O$2:$T$368,G50,FALSE)</f>
        <v>#N/A</v>
      </c>
      <c r="L50">
        <f t="shared" ca="1" si="0"/>
        <v>1</v>
      </c>
      <c r="N50" t="e">
        <f t="shared" ca="1" si="5"/>
        <v>#N/A</v>
      </c>
      <c r="O50" t="e">
        <f t="shared" ca="1" si="1"/>
        <v>#N/A</v>
      </c>
      <c r="P50" s="2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  <c r="V50" t="e">
        <f ca="1"/>
        <v>#N/A</v>
      </c>
      <c r="W50" t="e">
        <f ca="1"/>
        <v>#N/A</v>
      </c>
      <c r="X50" t="e">
        <f ca="1"/>
        <v>#N/A</v>
      </c>
      <c r="Y50" t="e">
        <f ca="1"/>
        <v>#N/A</v>
      </c>
      <c r="Z50" t="e">
        <f ca="1"/>
        <v>#N/A</v>
      </c>
      <c r="AA50" t="e">
        <f ca="1"/>
        <v>#N/A</v>
      </c>
      <c r="AB50" t="e">
        <f ca="1"/>
        <v>#N/A</v>
      </c>
      <c r="AD50" s="2">
        <f t="shared" ca="1" si="2"/>
        <v>0</v>
      </c>
      <c r="AE50" s="46">
        <f t="shared" ca="1" si="3"/>
        <v>0</v>
      </c>
      <c r="AG50" s="72" t="e">
        <f t="shared" ca="1" si="7"/>
        <v>#N/A</v>
      </c>
      <c r="AH50" s="72" t="e">
        <f t="shared" ca="1" si="8"/>
        <v>#N/A</v>
      </c>
      <c r="AI50" s="3" t="e">
        <f t="shared" ca="1" si="9"/>
        <v>#N/A</v>
      </c>
    </row>
    <row r="51" spans="1:35" x14ac:dyDescent="0.25">
      <c r="G51" s="3">
        <f t="shared" ca="1" si="4"/>
        <v>51</v>
      </c>
      <c r="H51" s="104">
        <f t="shared" ca="1" si="6"/>
        <v>44976</v>
      </c>
      <c r="I51" s="131" t="e">
        <f>HLOOKUP($H$4,'Met Data'!$A$2:$F$368,G51,FALSE)</f>
        <v>#N/A</v>
      </c>
      <c r="J51" s="131" t="e">
        <f ca="1">HLOOKUP($H$4,'Met Data'!$H$2:$M$368,G51,FALSE)*L51</f>
        <v>#N/A</v>
      </c>
      <c r="K51" s="105" t="e">
        <f>HLOOKUP($H$4,'Met Data'!$O$2:$T$368,G51,FALSE)</f>
        <v>#N/A</v>
      </c>
      <c r="L51">
        <f t="shared" ca="1" si="0"/>
        <v>1</v>
      </c>
      <c r="N51" t="e">
        <f t="shared" ca="1" si="5"/>
        <v>#N/A</v>
      </c>
      <c r="O51" t="e">
        <f t="shared" ca="1" si="1"/>
        <v>#N/A</v>
      </c>
      <c r="P51" s="2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  <c r="V51" t="e">
        <f ca="1"/>
        <v>#N/A</v>
      </c>
      <c r="W51" t="e">
        <f ca="1"/>
        <v>#N/A</v>
      </c>
      <c r="X51" t="e">
        <f ca="1"/>
        <v>#N/A</v>
      </c>
      <c r="Y51" t="e">
        <f ca="1"/>
        <v>#N/A</v>
      </c>
      <c r="Z51" t="e">
        <f ca="1"/>
        <v>#N/A</v>
      </c>
      <c r="AA51" t="e">
        <f ca="1"/>
        <v>#N/A</v>
      </c>
      <c r="AB51" t="e">
        <f ca="1"/>
        <v>#N/A</v>
      </c>
      <c r="AD51" s="2">
        <f t="shared" ca="1" si="2"/>
        <v>0</v>
      </c>
      <c r="AE51" s="46">
        <f t="shared" ca="1" si="3"/>
        <v>0</v>
      </c>
      <c r="AG51" s="72" t="e">
        <f t="shared" ca="1" si="7"/>
        <v>#N/A</v>
      </c>
      <c r="AH51" s="72" t="e">
        <f t="shared" ca="1" si="8"/>
        <v>#N/A</v>
      </c>
      <c r="AI51" s="3" t="e">
        <f t="shared" ca="1" si="9"/>
        <v>#N/A</v>
      </c>
    </row>
    <row r="52" spans="1:35" x14ac:dyDescent="0.25">
      <c r="G52" s="3">
        <f t="shared" ca="1" si="4"/>
        <v>52</v>
      </c>
      <c r="H52" s="104">
        <f t="shared" ca="1" si="6"/>
        <v>44977</v>
      </c>
      <c r="I52" s="131" t="e">
        <f>HLOOKUP($H$4,'Met Data'!$A$2:$F$368,G52,FALSE)</f>
        <v>#N/A</v>
      </c>
      <c r="J52" s="131" t="e">
        <f ca="1">HLOOKUP($H$4,'Met Data'!$H$2:$M$368,G52,FALSE)*L52</f>
        <v>#N/A</v>
      </c>
      <c r="K52" s="105" t="e">
        <f>HLOOKUP($H$4,'Met Data'!$O$2:$T$368,G52,FALSE)</f>
        <v>#N/A</v>
      </c>
      <c r="L52">
        <f t="shared" ca="1" si="0"/>
        <v>1</v>
      </c>
      <c r="N52" t="e">
        <f t="shared" ca="1" si="5"/>
        <v>#N/A</v>
      </c>
      <c r="O52" t="e">
        <f t="shared" ca="1" si="1"/>
        <v>#N/A</v>
      </c>
      <c r="P52" s="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  <c r="V52" t="e">
        <f ca="1"/>
        <v>#N/A</v>
      </c>
      <c r="W52" t="e">
        <f ca="1"/>
        <v>#N/A</v>
      </c>
      <c r="X52" t="e">
        <f ca="1"/>
        <v>#N/A</v>
      </c>
      <c r="Y52" t="e">
        <f ca="1"/>
        <v>#N/A</v>
      </c>
      <c r="Z52" t="e">
        <f ca="1"/>
        <v>#N/A</v>
      </c>
      <c r="AA52" t="e">
        <f ca="1"/>
        <v>#N/A</v>
      </c>
      <c r="AB52" t="e">
        <f ca="1"/>
        <v>#N/A</v>
      </c>
      <c r="AD52" s="2">
        <f t="shared" ca="1" si="2"/>
        <v>0</v>
      </c>
      <c r="AE52" s="46">
        <f t="shared" ca="1" si="3"/>
        <v>0</v>
      </c>
      <c r="AG52" s="72" t="e">
        <f t="shared" ca="1" si="7"/>
        <v>#N/A</v>
      </c>
      <c r="AH52" s="72" t="e">
        <f t="shared" ca="1" si="8"/>
        <v>#N/A</v>
      </c>
      <c r="AI52" s="3" t="e">
        <f t="shared" ca="1" si="9"/>
        <v>#N/A</v>
      </c>
    </row>
    <row r="53" spans="1:35" x14ac:dyDescent="0.25">
      <c r="G53" s="3">
        <f t="shared" ca="1" si="4"/>
        <v>53</v>
      </c>
      <c r="H53" s="104">
        <f t="shared" ca="1" si="6"/>
        <v>44978</v>
      </c>
      <c r="I53" s="131" t="e">
        <f>HLOOKUP($H$4,'Met Data'!$A$2:$F$368,G53,FALSE)</f>
        <v>#N/A</v>
      </c>
      <c r="J53" s="131" t="e">
        <f ca="1">HLOOKUP($H$4,'Met Data'!$H$2:$M$368,G53,FALSE)*L53</f>
        <v>#N/A</v>
      </c>
      <c r="K53" s="105" t="e">
        <f>HLOOKUP($H$4,'Met Data'!$O$2:$T$368,G53,FALSE)</f>
        <v>#N/A</v>
      </c>
      <c r="L53">
        <f t="shared" ca="1" si="0"/>
        <v>1</v>
      </c>
      <c r="N53" t="e">
        <f t="shared" ca="1" si="5"/>
        <v>#N/A</v>
      </c>
      <c r="O53" t="e">
        <f t="shared" ca="1" si="1"/>
        <v>#N/A</v>
      </c>
      <c r="P53" s="2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  <c r="V53" t="e">
        <f ca="1"/>
        <v>#N/A</v>
      </c>
      <c r="W53" t="e">
        <f ca="1"/>
        <v>#N/A</v>
      </c>
      <c r="X53" t="e">
        <f ca="1"/>
        <v>#N/A</v>
      </c>
      <c r="Y53" t="e">
        <f ca="1"/>
        <v>#N/A</v>
      </c>
      <c r="Z53" t="e">
        <f ca="1"/>
        <v>#N/A</v>
      </c>
      <c r="AA53" t="e">
        <f ca="1"/>
        <v>#N/A</v>
      </c>
      <c r="AB53" t="e">
        <f ca="1"/>
        <v>#N/A</v>
      </c>
      <c r="AD53" s="2">
        <f t="shared" ca="1" si="2"/>
        <v>0</v>
      </c>
      <c r="AE53" s="46">
        <f t="shared" ca="1" si="3"/>
        <v>0</v>
      </c>
      <c r="AG53" s="72" t="e">
        <f t="shared" ca="1" si="7"/>
        <v>#N/A</v>
      </c>
      <c r="AH53" s="72" t="e">
        <f t="shared" ca="1" si="8"/>
        <v>#N/A</v>
      </c>
      <c r="AI53" s="3" t="e">
        <f t="shared" ca="1" si="9"/>
        <v>#N/A</v>
      </c>
    </row>
    <row r="54" spans="1:35" x14ac:dyDescent="0.25">
      <c r="G54" s="3">
        <f t="shared" ca="1" si="4"/>
        <v>54</v>
      </c>
      <c r="H54" s="104">
        <f t="shared" ca="1" si="6"/>
        <v>44979</v>
      </c>
      <c r="I54" s="131" t="e">
        <f>HLOOKUP($H$4,'Met Data'!$A$2:$F$368,G54,FALSE)</f>
        <v>#N/A</v>
      </c>
      <c r="J54" s="131" t="e">
        <f ca="1">HLOOKUP($H$4,'Met Data'!$H$2:$M$368,G54,FALSE)*L54</f>
        <v>#N/A</v>
      </c>
      <c r="K54" s="105" t="e">
        <f>HLOOKUP($H$4,'Met Data'!$O$2:$T$368,G54,FALSE)</f>
        <v>#N/A</v>
      </c>
      <c r="L54">
        <f t="shared" ca="1" si="0"/>
        <v>1</v>
      </c>
      <c r="N54" t="e">
        <f t="shared" ca="1" si="5"/>
        <v>#N/A</v>
      </c>
      <c r="O54" t="e">
        <f t="shared" ca="1" si="1"/>
        <v>#N/A</v>
      </c>
      <c r="P54" s="2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  <c r="V54" t="e">
        <f ca="1"/>
        <v>#N/A</v>
      </c>
      <c r="W54" t="e">
        <f ca="1"/>
        <v>#N/A</v>
      </c>
      <c r="X54" t="e">
        <f ca="1"/>
        <v>#N/A</v>
      </c>
      <c r="Y54" t="e">
        <f ca="1"/>
        <v>#N/A</v>
      </c>
      <c r="Z54" t="e">
        <f ca="1"/>
        <v>#N/A</v>
      </c>
      <c r="AA54" t="e">
        <f ca="1"/>
        <v>#N/A</v>
      </c>
      <c r="AB54" t="e">
        <f ca="1"/>
        <v>#N/A</v>
      </c>
      <c r="AD54" s="2">
        <f t="shared" ca="1" si="2"/>
        <v>0</v>
      </c>
      <c r="AE54" s="46">
        <f t="shared" ca="1" si="3"/>
        <v>0</v>
      </c>
      <c r="AG54" s="72" t="e">
        <f t="shared" ca="1" si="7"/>
        <v>#N/A</v>
      </c>
      <c r="AH54" s="72" t="e">
        <f t="shared" ca="1" si="8"/>
        <v>#N/A</v>
      </c>
      <c r="AI54" s="3" t="e">
        <f t="shared" ca="1" si="9"/>
        <v>#N/A</v>
      </c>
    </row>
    <row r="55" spans="1:35" x14ac:dyDescent="0.25">
      <c r="G55" s="3">
        <f t="shared" ca="1" si="4"/>
        <v>55</v>
      </c>
      <c r="H55" s="104">
        <f t="shared" ca="1" si="6"/>
        <v>44980</v>
      </c>
      <c r="I55" s="131" t="e">
        <f>HLOOKUP($H$4,'Met Data'!$A$2:$F$368,G55,FALSE)</f>
        <v>#N/A</v>
      </c>
      <c r="J55" s="131" t="e">
        <f ca="1">HLOOKUP($H$4,'Met Data'!$H$2:$M$368,G55,FALSE)*L55</f>
        <v>#N/A</v>
      </c>
      <c r="K55" s="105" t="e">
        <f>HLOOKUP($H$4,'Met Data'!$O$2:$T$368,G55,FALSE)</f>
        <v>#N/A</v>
      </c>
      <c r="L55">
        <f t="shared" ca="1" si="0"/>
        <v>1</v>
      </c>
      <c r="N55" t="e">
        <f t="shared" ca="1" si="5"/>
        <v>#N/A</v>
      </c>
      <c r="O55" t="e">
        <f t="shared" ca="1" si="1"/>
        <v>#N/A</v>
      </c>
      <c r="P55" s="2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  <c r="V55" t="e">
        <f ca="1"/>
        <v>#N/A</v>
      </c>
      <c r="W55" t="e">
        <f ca="1"/>
        <v>#N/A</v>
      </c>
      <c r="X55" t="e">
        <f ca="1"/>
        <v>#N/A</v>
      </c>
      <c r="Y55" t="e">
        <f ca="1"/>
        <v>#N/A</v>
      </c>
      <c r="Z55" t="e">
        <f ca="1"/>
        <v>#N/A</v>
      </c>
      <c r="AA55" t="e">
        <f ca="1"/>
        <v>#N/A</v>
      </c>
      <c r="AB55" t="e">
        <f ca="1"/>
        <v>#N/A</v>
      </c>
      <c r="AD55" s="2">
        <f t="shared" ca="1" si="2"/>
        <v>0</v>
      </c>
      <c r="AE55" s="46">
        <f t="shared" ca="1" si="3"/>
        <v>0</v>
      </c>
      <c r="AG55" s="72" t="e">
        <f t="shared" ca="1" si="7"/>
        <v>#N/A</v>
      </c>
      <c r="AH55" s="72" t="e">
        <f t="shared" ca="1" si="8"/>
        <v>#N/A</v>
      </c>
      <c r="AI55" s="3" t="e">
        <f t="shared" ca="1" si="9"/>
        <v>#N/A</v>
      </c>
    </row>
    <row r="56" spans="1:35" x14ac:dyDescent="0.25">
      <c r="G56" s="3">
        <f t="shared" ca="1" si="4"/>
        <v>56</v>
      </c>
      <c r="H56" s="104">
        <f t="shared" ca="1" si="6"/>
        <v>44981</v>
      </c>
      <c r="I56" s="131" t="e">
        <f>HLOOKUP($H$4,'Met Data'!$A$2:$F$368,G56,FALSE)</f>
        <v>#N/A</v>
      </c>
      <c r="J56" s="131" t="e">
        <f ca="1">HLOOKUP($H$4,'Met Data'!$H$2:$M$368,G56,FALSE)*L56</f>
        <v>#N/A</v>
      </c>
      <c r="K56" s="105" t="e">
        <f>HLOOKUP($H$4,'Met Data'!$O$2:$T$368,G56,FALSE)</f>
        <v>#N/A</v>
      </c>
      <c r="L56">
        <f t="shared" ca="1" si="0"/>
        <v>1</v>
      </c>
      <c r="N56" t="e">
        <f t="shared" ca="1" si="5"/>
        <v>#N/A</v>
      </c>
      <c r="O56" t="e">
        <f t="shared" ca="1" si="1"/>
        <v>#N/A</v>
      </c>
      <c r="P56" s="2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  <c r="V56" t="e">
        <f ca="1"/>
        <v>#N/A</v>
      </c>
      <c r="W56" t="e">
        <f ca="1"/>
        <v>#N/A</v>
      </c>
      <c r="X56" t="e">
        <f ca="1"/>
        <v>#N/A</v>
      </c>
      <c r="Y56" t="e">
        <f ca="1"/>
        <v>#N/A</v>
      </c>
      <c r="Z56" t="e">
        <f ca="1"/>
        <v>#N/A</v>
      </c>
      <c r="AA56" t="e">
        <f ca="1"/>
        <v>#N/A</v>
      </c>
      <c r="AB56" t="e">
        <f ca="1"/>
        <v>#N/A</v>
      </c>
      <c r="AD56" s="2">
        <f t="shared" ca="1" si="2"/>
        <v>0</v>
      </c>
      <c r="AE56" s="46">
        <f t="shared" ca="1" si="3"/>
        <v>0</v>
      </c>
      <c r="AG56" s="72" t="e">
        <f t="shared" ca="1" si="7"/>
        <v>#N/A</v>
      </c>
      <c r="AH56" s="72" t="e">
        <f t="shared" ca="1" si="8"/>
        <v>#N/A</v>
      </c>
      <c r="AI56" s="3" t="e">
        <f t="shared" ca="1" si="9"/>
        <v>#N/A</v>
      </c>
    </row>
    <row r="57" spans="1:35" x14ac:dyDescent="0.25">
      <c r="A57" s="1"/>
      <c r="B57" s="1"/>
      <c r="G57" s="3">
        <f t="shared" ca="1" si="4"/>
        <v>57</v>
      </c>
      <c r="H57" s="104">
        <f t="shared" ca="1" si="6"/>
        <v>44982</v>
      </c>
      <c r="I57" s="131" t="e">
        <f>HLOOKUP($H$4,'Met Data'!$A$2:$F$368,G57,FALSE)</f>
        <v>#N/A</v>
      </c>
      <c r="J57" s="131" t="e">
        <f ca="1">HLOOKUP($H$4,'Met Data'!$H$2:$M$368,G57,FALSE)*L57</f>
        <v>#N/A</v>
      </c>
      <c r="K57" s="105" t="e">
        <f>HLOOKUP($H$4,'Met Data'!$O$2:$T$368,G57,FALSE)</f>
        <v>#N/A</v>
      </c>
      <c r="L57">
        <f t="shared" ca="1" si="0"/>
        <v>1</v>
      </c>
      <c r="N57" t="e">
        <f t="shared" ca="1" si="5"/>
        <v>#N/A</v>
      </c>
      <c r="O57" t="e">
        <f t="shared" ca="1" si="1"/>
        <v>#N/A</v>
      </c>
      <c r="P57" s="2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  <c r="V57" t="e">
        <f ca="1"/>
        <v>#N/A</v>
      </c>
      <c r="W57" t="e">
        <f ca="1"/>
        <v>#N/A</v>
      </c>
      <c r="X57" t="e">
        <f ca="1"/>
        <v>#N/A</v>
      </c>
      <c r="Y57" t="e">
        <f ca="1"/>
        <v>#N/A</v>
      </c>
      <c r="Z57" t="e">
        <f ca="1"/>
        <v>#N/A</v>
      </c>
      <c r="AA57" t="e">
        <f ca="1"/>
        <v>#N/A</v>
      </c>
      <c r="AB57" t="e">
        <f ca="1"/>
        <v>#N/A</v>
      </c>
      <c r="AD57" s="2">
        <f t="shared" ca="1" si="2"/>
        <v>0</v>
      </c>
      <c r="AE57" s="46">
        <f t="shared" ca="1" si="3"/>
        <v>0</v>
      </c>
      <c r="AG57" s="72" t="e">
        <f t="shared" ca="1" si="7"/>
        <v>#N/A</v>
      </c>
      <c r="AH57" s="72" t="e">
        <f t="shared" ca="1" si="8"/>
        <v>#N/A</v>
      </c>
      <c r="AI57" s="3" t="e">
        <f t="shared" ca="1" si="9"/>
        <v>#N/A</v>
      </c>
    </row>
    <row r="58" spans="1:35" x14ac:dyDescent="0.25">
      <c r="G58" s="3">
        <f t="shared" ca="1" si="4"/>
        <v>58</v>
      </c>
      <c r="H58" s="104">
        <f t="shared" ca="1" si="6"/>
        <v>44983</v>
      </c>
      <c r="I58" s="131" t="e">
        <f>HLOOKUP($H$4,'Met Data'!$A$2:$F$368,G58,FALSE)</f>
        <v>#N/A</v>
      </c>
      <c r="J58" s="131" t="e">
        <f ca="1">HLOOKUP($H$4,'Met Data'!$H$2:$M$368,G58,FALSE)*L58</f>
        <v>#N/A</v>
      </c>
      <c r="K58" s="105" t="e">
        <f>HLOOKUP($H$4,'Met Data'!$O$2:$T$368,G58,FALSE)</f>
        <v>#N/A</v>
      </c>
      <c r="L58">
        <f t="shared" ca="1" si="0"/>
        <v>1</v>
      </c>
      <c r="N58" t="e">
        <f t="shared" ca="1" si="5"/>
        <v>#N/A</v>
      </c>
      <c r="O58" t="e">
        <f t="shared" ca="1" si="1"/>
        <v>#N/A</v>
      </c>
      <c r="P58" s="2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  <c r="V58" t="e">
        <f ca="1"/>
        <v>#N/A</v>
      </c>
      <c r="W58" t="e">
        <f ca="1"/>
        <v>#N/A</v>
      </c>
      <c r="X58" t="e">
        <f ca="1"/>
        <v>#N/A</v>
      </c>
      <c r="Y58" t="e">
        <f ca="1"/>
        <v>#N/A</v>
      </c>
      <c r="Z58" t="e">
        <f ca="1"/>
        <v>#N/A</v>
      </c>
      <c r="AA58" t="e">
        <f ca="1"/>
        <v>#N/A</v>
      </c>
      <c r="AB58" t="e">
        <f ca="1"/>
        <v>#N/A</v>
      </c>
      <c r="AD58" s="2">
        <f t="shared" ca="1" si="2"/>
        <v>0</v>
      </c>
      <c r="AE58" s="46">
        <f t="shared" ca="1" si="3"/>
        <v>0</v>
      </c>
      <c r="AG58" s="72" t="e">
        <f t="shared" ca="1" si="7"/>
        <v>#N/A</v>
      </c>
      <c r="AH58" s="72" t="e">
        <f t="shared" ca="1" si="8"/>
        <v>#N/A</v>
      </c>
      <c r="AI58" s="3" t="e">
        <f t="shared" ca="1" si="9"/>
        <v>#N/A</v>
      </c>
    </row>
    <row r="59" spans="1:35" x14ac:dyDescent="0.25">
      <c r="G59" s="3">
        <f t="shared" ca="1" si="4"/>
        <v>59</v>
      </c>
      <c r="H59" s="104">
        <f t="shared" ca="1" si="6"/>
        <v>44984</v>
      </c>
      <c r="I59" s="131" t="e">
        <f>HLOOKUP($H$4,'Met Data'!$A$2:$F$368,G59,FALSE)</f>
        <v>#N/A</v>
      </c>
      <c r="J59" s="131" t="e">
        <f ca="1">HLOOKUP($H$4,'Met Data'!$H$2:$M$368,G59,FALSE)*L59</f>
        <v>#N/A</v>
      </c>
      <c r="K59" s="105" t="e">
        <f>HLOOKUP($H$4,'Met Data'!$O$2:$T$368,G59,FALSE)</f>
        <v>#N/A</v>
      </c>
      <c r="L59">
        <f t="shared" ca="1" si="0"/>
        <v>1</v>
      </c>
      <c r="N59" t="e">
        <f t="shared" ca="1" si="5"/>
        <v>#N/A</v>
      </c>
      <c r="O59" t="e">
        <f t="shared" ca="1" si="1"/>
        <v>#N/A</v>
      </c>
      <c r="P59" s="2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  <c r="V59" t="e">
        <f ca="1"/>
        <v>#N/A</v>
      </c>
      <c r="W59" t="e">
        <f ca="1"/>
        <v>#N/A</v>
      </c>
      <c r="X59" t="e">
        <f ca="1"/>
        <v>#N/A</v>
      </c>
      <c r="Y59" t="e">
        <f ca="1"/>
        <v>#N/A</v>
      </c>
      <c r="Z59" t="e">
        <f ca="1"/>
        <v>#N/A</v>
      </c>
      <c r="AA59" t="e">
        <f ca="1"/>
        <v>#N/A</v>
      </c>
      <c r="AB59" t="e">
        <f ca="1"/>
        <v>#N/A</v>
      </c>
      <c r="AD59" s="2">
        <f t="shared" ca="1" si="2"/>
        <v>0</v>
      </c>
      <c r="AE59" s="46">
        <f t="shared" ca="1" si="3"/>
        <v>0</v>
      </c>
      <c r="AG59" s="72" t="e">
        <f t="shared" ca="1" si="7"/>
        <v>#N/A</v>
      </c>
      <c r="AH59" s="72" t="e">
        <f t="shared" ca="1" si="8"/>
        <v>#N/A</v>
      </c>
      <c r="AI59" s="3" t="e">
        <f t="shared" ca="1" si="9"/>
        <v>#N/A</v>
      </c>
    </row>
    <row r="60" spans="1:35" x14ac:dyDescent="0.25">
      <c r="G60" s="3">
        <f t="shared" ca="1" si="4"/>
        <v>60</v>
      </c>
      <c r="H60" s="104">
        <f t="shared" ca="1" si="6"/>
        <v>44985</v>
      </c>
      <c r="I60" s="131" t="e">
        <f>HLOOKUP($H$4,'Met Data'!$A$2:$F$368,G60,FALSE)</f>
        <v>#N/A</v>
      </c>
      <c r="J60" s="131" t="e">
        <f ca="1">HLOOKUP($H$4,'Met Data'!$H$2:$M$368,G60,FALSE)*L60</f>
        <v>#N/A</v>
      </c>
      <c r="K60" s="105" t="e">
        <f>HLOOKUP($H$4,'Met Data'!$O$2:$T$368,G60,FALSE)</f>
        <v>#N/A</v>
      </c>
      <c r="L60">
        <f t="shared" ca="1" si="0"/>
        <v>1</v>
      </c>
      <c r="N60" t="e">
        <f t="shared" ca="1" si="5"/>
        <v>#N/A</v>
      </c>
      <c r="O60" t="e">
        <f t="shared" ca="1" si="1"/>
        <v>#N/A</v>
      </c>
      <c r="P60" s="2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  <c r="V60" t="e">
        <f ca="1"/>
        <v>#N/A</v>
      </c>
      <c r="W60" t="e">
        <f ca="1"/>
        <v>#N/A</v>
      </c>
      <c r="X60" t="e">
        <f ca="1"/>
        <v>#N/A</v>
      </c>
      <c r="Y60" t="e">
        <f ca="1"/>
        <v>#N/A</v>
      </c>
      <c r="Z60" t="e">
        <f ca="1"/>
        <v>#N/A</v>
      </c>
      <c r="AA60" t="e">
        <f ca="1"/>
        <v>#N/A</v>
      </c>
      <c r="AB60" t="e">
        <f ca="1"/>
        <v>#N/A</v>
      </c>
      <c r="AD60" s="2">
        <f t="shared" ca="1" si="2"/>
        <v>0</v>
      </c>
      <c r="AE60" s="46">
        <f t="shared" ca="1" si="3"/>
        <v>0</v>
      </c>
      <c r="AG60" s="72" t="e">
        <f t="shared" ca="1" si="7"/>
        <v>#N/A</v>
      </c>
      <c r="AH60" s="72" t="e">
        <f t="shared" ca="1" si="8"/>
        <v>#N/A</v>
      </c>
      <c r="AI60" s="3" t="e">
        <f t="shared" ca="1" si="9"/>
        <v>#N/A</v>
      </c>
    </row>
    <row r="61" spans="1:35" x14ac:dyDescent="0.25">
      <c r="G61" s="3">
        <f t="shared" ca="1" si="4"/>
        <v>61</v>
      </c>
      <c r="H61" s="104">
        <f t="shared" ca="1" si="6"/>
        <v>44986</v>
      </c>
      <c r="I61" s="131" t="e">
        <f>HLOOKUP($H$4,'Met Data'!$A$2:$F$368,G61,FALSE)</f>
        <v>#N/A</v>
      </c>
      <c r="J61" s="131" t="e">
        <f ca="1">HLOOKUP($H$4,'Met Data'!$H$2:$M$368,G61,FALSE)*L61</f>
        <v>#N/A</v>
      </c>
      <c r="K61" s="105" t="e">
        <f>HLOOKUP($H$4,'Met Data'!$O$2:$T$368,G61,FALSE)</f>
        <v>#N/A</v>
      </c>
      <c r="L61">
        <f t="shared" ca="1" si="0"/>
        <v>1</v>
      </c>
      <c r="N61" t="e">
        <f t="shared" ca="1" si="5"/>
        <v>#N/A</v>
      </c>
      <c r="O61" t="e">
        <f t="shared" ca="1" si="1"/>
        <v>#N/A</v>
      </c>
      <c r="P61" s="2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  <c r="V61" t="e">
        <f ca="1"/>
        <v>#N/A</v>
      </c>
      <c r="W61" t="e">
        <f ca="1"/>
        <v>#N/A</v>
      </c>
      <c r="X61" t="e">
        <f ca="1"/>
        <v>#N/A</v>
      </c>
      <c r="Y61" t="e">
        <f ca="1"/>
        <v>#N/A</v>
      </c>
      <c r="Z61" t="e">
        <f ca="1"/>
        <v>#N/A</v>
      </c>
      <c r="AA61" t="e">
        <f ca="1"/>
        <v>#N/A</v>
      </c>
      <c r="AB61" t="e">
        <f ca="1"/>
        <v>#N/A</v>
      </c>
      <c r="AD61" s="2">
        <f t="shared" ca="1" si="2"/>
        <v>0</v>
      </c>
      <c r="AE61" s="46">
        <f t="shared" ca="1" si="3"/>
        <v>0</v>
      </c>
      <c r="AG61" s="72" t="e">
        <f t="shared" ca="1" si="7"/>
        <v>#N/A</v>
      </c>
      <c r="AH61" s="72" t="e">
        <f t="shared" ca="1" si="8"/>
        <v>#N/A</v>
      </c>
      <c r="AI61" s="3" t="e">
        <f t="shared" ca="1" si="9"/>
        <v>#N/A</v>
      </c>
    </row>
    <row r="62" spans="1:35" x14ac:dyDescent="0.25">
      <c r="G62" s="3">
        <f t="shared" ca="1" si="4"/>
        <v>62</v>
      </c>
      <c r="H62" s="104">
        <f t="shared" ca="1" si="6"/>
        <v>44987</v>
      </c>
      <c r="I62" s="131" t="e">
        <f>HLOOKUP($H$4,'Met Data'!$A$2:$F$368,G62,FALSE)</f>
        <v>#N/A</v>
      </c>
      <c r="J62" s="131" t="e">
        <f ca="1">HLOOKUP($H$4,'Met Data'!$H$2:$M$368,G62,FALSE)*L62</f>
        <v>#N/A</v>
      </c>
      <c r="K62" s="105" t="e">
        <f>HLOOKUP($H$4,'Met Data'!$O$2:$T$368,G62,FALSE)</f>
        <v>#N/A</v>
      </c>
      <c r="L62">
        <f t="shared" ca="1" si="0"/>
        <v>1</v>
      </c>
      <c r="N62" t="e">
        <f t="shared" ca="1" si="5"/>
        <v>#N/A</v>
      </c>
      <c r="O62" t="e">
        <f t="shared" ca="1" si="1"/>
        <v>#N/A</v>
      </c>
      <c r="P62" s="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  <c r="V62" t="e">
        <f ca="1"/>
        <v>#N/A</v>
      </c>
      <c r="W62" t="e">
        <f ca="1"/>
        <v>#N/A</v>
      </c>
      <c r="X62" t="e">
        <f ca="1"/>
        <v>#N/A</v>
      </c>
      <c r="Y62" t="e">
        <f ca="1"/>
        <v>#N/A</v>
      </c>
      <c r="Z62" t="e">
        <f ca="1"/>
        <v>#N/A</v>
      </c>
      <c r="AA62" t="e">
        <f ca="1"/>
        <v>#N/A</v>
      </c>
      <c r="AB62" t="e">
        <f ca="1"/>
        <v>#N/A</v>
      </c>
      <c r="AD62" s="2">
        <f t="shared" ca="1" si="2"/>
        <v>0</v>
      </c>
      <c r="AE62" s="46">
        <f t="shared" ca="1" si="3"/>
        <v>0</v>
      </c>
      <c r="AG62" s="72" t="e">
        <f t="shared" ca="1" si="7"/>
        <v>#N/A</v>
      </c>
      <c r="AH62" s="72" t="e">
        <f t="shared" ca="1" si="8"/>
        <v>#N/A</v>
      </c>
      <c r="AI62" s="3" t="e">
        <f t="shared" ca="1" si="9"/>
        <v>#N/A</v>
      </c>
    </row>
    <row r="63" spans="1:35" x14ac:dyDescent="0.25">
      <c r="G63" s="3">
        <f t="shared" ca="1" si="4"/>
        <v>63</v>
      </c>
      <c r="H63" s="104">
        <f t="shared" ca="1" si="6"/>
        <v>44988</v>
      </c>
      <c r="I63" s="131" t="e">
        <f>HLOOKUP($H$4,'Met Data'!$A$2:$F$368,G63,FALSE)</f>
        <v>#N/A</v>
      </c>
      <c r="J63" s="131" t="e">
        <f ca="1">HLOOKUP($H$4,'Met Data'!$H$2:$M$368,G63,FALSE)*L63</f>
        <v>#N/A</v>
      </c>
      <c r="K63" s="105" t="e">
        <f>HLOOKUP($H$4,'Met Data'!$O$2:$T$368,G63,FALSE)</f>
        <v>#N/A</v>
      </c>
      <c r="L63">
        <f t="shared" ca="1" si="0"/>
        <v>1</v>
      </c>
      <c r="N63" t="e">
        <f t="shared" ca="1" si="5"/>
        <v>#N/A</v>
      </c>
      <c r="O63" t="e">
        <f t="shared" ca="1" si="1"/>
        <v>#N/A</v>
      </c>
      <c r="P63" s="2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  <c r="V63" t="e">
        <f ca="1"/>
        <v>#N/A</v>
      </c>
      <c r="W63" t="e">
        <f ca="1"/>
        <v>#N/A</v>
      </c>
      <c r="X63" t="e">
        <f ca="1"/>
        <v>#N/A</v>
      </c>
      <c r="Y63" t="e">
        <f ca="1"/>
        <v>#N/A</v>
      </c>
      <c r="Z63" t="e">
        <f ca="1"/>
        <v>#N/A</v>
      </c>
      <c r="AA63" t="e">
        <f ca="1"/>
        <v>#N/A</v>
      </c>
      <c r="AB63" t="e">
        <f ca="1"/>
        <v>#N/A</v>
      </c>
      <c r="AD63" s="2">
        <f t="shared" ca="1" si="2"/>
        <v>0</v>
      </c>
      <c r="AE63" s="46">
        <f t="shared" ca="1" si="3"/>
        <v>0</v>
      </c>
      <c r="AG63" s="72" t="e">
        <f t="shared" ca="1" si="7"/>
        <v>#N/A</v>
      </c>
      <c r="AH63" s="72" t="e">
        <f t="shared" ca="1" si="8"/>
        <v>#N/A</v>
      </c>
      <c r="AI63" s="3" t="e">
        <f t="shared" ca="1" si="9"/>
        <v>#N/A</v>
      </c>
    </row>
    <row r="64" spans="1:35" x14ac:dyDescent="0.25">
      <c r="G64" s="3">
        <f t="shared" ca="1" si="4"/>
        <v>64</v>
      </c>
      <c r="H64" s="104">
        <f t="shared" ca="1" si="6"/>
        <v>44989</v>
      </c>
      <c r="I64" s="131" t="e">
        <f>HLOOKUP($H$4,'Met Data'!$A$2:$F$368,G64,FALSE)</f>
        <v>#N/A</v>
      </c>
      <c r="J64" s="131" t="e">
        <f ca="1">HLOOKUP($H$4,'Met Data'!$H$2:$M$368,G64,FALSE)*L64</f>
        <v>#N/A</v>
      </c>
      <c r="K64" s="105" t="e">
        <f>HLOOKUP($H$4,'Met Data'!$O$2:$T$368,G64,FALSE)</f>
        <v>#N/A</v>
      </c>
      <c r="L64">
        <f t="shared" ca="1" si="0"/>
        <v>1</v>
      </c>
      <c r="N64" t="e">
        <f t="shared" ca="1" si="5"/>
        <v>#N/A</v>
      </c>
      <c r="O64" t="e">
        <f t="shared" ca="1" si="1"/>
        <v>#N/A</v>
      </c>
      <c r="P64" s="2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  <c r="V64" t="e">
        <f ca="1"/>
        <v>#N/A</v>
      </c>
      <c r="W64" t="e">
        <f ca="1"/>
        <v>#N/A</v>
      </c>
      <c r="X64" t="e">
        <f ca="1"/>
        <v>#N/A</v>
      </c>
      <c r="Y64" t="e">
        <f ca="1"/>
        <v>#N/A</v>
      </c>
      <c r="Z64" t="e">
        <f ca="1"/>
        <v>#N/A</v>
      </c>
      <c r="AA64" t="e">
        <f ca="1"/>
        <v>#N/A</v>
      </c>
      <c r="AB64" t="e">
        <f ca="1"/>
        <v>#N/A</v>
      </c>
      <c r="AD64" s="2">
        <f t="shared" ca="1" si="2"/>
        <v>0</v>
      </c>
      <c r="AE64" s="46">
        <f t="shared" ca="1" si="3"/>
        <v>0</v>
      </c>
      <c r="AG64" s="72" t="e">
        <f t="shared" ca="1" si="7"/>
        <v>#N/A</v>
      </c>
      <c r="AH64" s="72" t="e">
        <f t="shared" ca="1" si="8"/>
        <v>#N/A</v>
      </c>
      <c r="AI64" s="3" t="e">
        <f t="shared" ca="1" si="9"/>
        <v>#N/A</v>
      </c>
    </row>
    <row r="65" spans="7:35" x14ac:dyDescent="0.25">
      <c r="G65" s="3">
        <f t="shared" ca="1" si="4"/>
        <v>65</v>
      </c>
      <c r="H65" s="104">
        <f t="shared" ca="1" si="6"/>
        <v>44990</v>
      </c>
      <c r="I65" s="131" t="e">
        <f>HLOOKUP($H$4,'Met Data'!$A$2:$F$368,G65,FALSE)</f>
        <v>#N/A</v>
      </c>
      <c r="J65" s="131" t="e">
        <f ca="1">HLOOKUP($H$4,'Met Data'!$H$2:$M$368,G65,FALSE)*L65</f>
        <v>#N/A</v>
      </c>
      <c r="K65" s="105" t="e">
        <f>HLOOKUP($H$4,'Met Data'!$O$2:$T$368,G65,FALSE)</f>
        <v>#N/A</v>
      </c>
      <c r="L65">
        <f t="shared" ca="1" si="0"/>
        <v>1</v>
      </c>
      <c r="N65" t="e">
        <f t="shared" ca="1" si="5"/>
        <v>#N/A</v>
      </c>
      <c r="O65" t="e">
        <f t="shared" ca="1" si="1"/>
        <v>#N/A</v>
      </c>
      <c r="P65" s="2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  <c r="V65" t="e">
        <f ca="1"/>
        <v>#N/A</v>
      </c>
      <c r="W65" t="e">
        <f ca="1"/>
        <v>#N/A</v>
      </c>
      <c r="X65" t="e">
        <f ca="1"/>
        <v>#N/A</v>
      </c>
      <c r="Y65" t="e">
        <f ca="1"/>
        <v>#N/A</v>
      </c>
      <c r="Z65" t="e">
        <f ca="1"/>
        <v>#N/A</v>
      </c>
      <c r="AA65" t="e">
        <f ca="1"/>
        <v>#N/A</v>
      </c>
      <c r="AB65" t="e">
        <f ca="1"/>
        <v>#N/A</v>
      </c>
      <c r="AD65" s="2">
        <f t="shared" ca="1" si="2"/>
        <v>0</v>
      </c>
      <c r="AE65" s="46">
        <f t="shared" ca="1" si="3"/>
        <v>0</v>
      </c>
      <c r="AG65" s="72" t="e">
        <f t="shared" ca="1" si="7"/>
        <v>#N/A</v>
      </c>
      <c r="AH65" s="72" t="e">
        <f t="shared" ca="1" si="8"/>
        <v>#N/A</v>
      </c>
      <c r="AI65" s="3" t="e">
        <f t="shared" ca="1" si="9"/>
        <v>#N/A</v>
      </c>
    </row>
    <row r="66" spans="7:35" x14ac:dyDescent="0.25">
      <c r="G66" s="3">
        <f t="shared" ca="1" si="4"/>
        <v>66</v>
      </c>
      <c r="H66" s="104">
        <f t="shared" ca="1" si="6"/>
        <v>44991</v>
      </c>
      <c r="I66" s="131" t="e">
        <f>HLOOKUP($H$4,'Met Data'!$A$2:$F$368,G66,FALSE)</f>
        <v>#N/A</v>
      </c>
      <c r="J66" s="131" t="e">
        <f ca="1">HLOOKUP($H$4,'Met Data'!$H$2:$M$368,G66,FALSE)*L66</f>
        <v>#N/A</v>
      </c>
      <c r="K66" s="105" t="e">
        <f>HLOOKUP($H$4,'Met Data'!$O$2:$T$368,G66,FALSE)</f>
        <v>#N/A</v>
      </c>
      <c r="L66">
        <f t="shared" ca="1" si="0"/>
        <v>1</v>
      </c>
      <c r="N66" t="e">
        <f t="shared" ca="1" si="5"/>
        <v>#N/A</v>
      </c>
      <c r="O66" t="e">
        <f t="shared" ca="1" si="1"/>
        <v>#N/A</v>
      </c>
      <c r="P66" s="2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  <c r="V66" t="e">
        <f ca="1"/>
        <v>#N/A</v>
      </c>
      <c r="W66" t="e">
        <f ca="1"/>
        <v>#N/A</v>
      </c>
      <c r="X66" t="e">
        <f ca="1"/>
        <v>#N/A</v>
      </c>
      <c r="Y66" t="e">
        <f ca="1"/>
        <v>#N/A</v>
      </c>
      <c r="Z66" t="e">
        <f ca="1"/>
        <v>#N/A</v>
      </c>
      <c r="AA66" t="e">
        <f ca="1"/>
        <v>#N/A</v>
      </c>
      <c r="AB66" t="e">
        <f ca="1"/>
        <v>#N/A</v>
      </c>
      <c r="AD66" s="2">
        <f t="shared" ca="1" si="2"/>
        <v>0</v>
      </c>
      <c r="AE66" s="46">
        <f t="shared" ca="1" si="3"/>
        <v>0</v>
      </c>
      <c r="AG66" s="72" t="e">
        <f t="shared" ca="1" si="7"/>
        <v>#N/A</v>
      </c>
      <c r="AH66" s="72" t="e">
        <f t="shared" ca="1" si="8"/>
        <v>#N/A</v>
      </c>
      <c r="AI66" s="3" t="e">
        <f t="shared" ca="1" si="9"/>
        <v>#N/A</v>
      </c>
    </row>
    <row r="67" spans="7:35" x14ac:dyDescent="0.25">
      <c r="G67" s="3">
        <f t="shared" ca="1" si="4"/>
        <v>67</v>
      </c>
      <c r="H67" s="104">
        <f t="shared" ca="1" si="6"/>
        <v>44992</v>
      </c>
      <c r="I67" s="131" t="e">
        <f>HLOOKUP($H$4,'Met Data'!$A$2:$F$368,G67,FALSE)</f>
        <v>#N/A</v>
      </c>
      <c r="J67" s="131" t="e">
        <f ca="1">HLOOKUP($H$4,'Met Data'!$H$2:$M$368,G67,FALSE)*L67</f>
        <v>#N/A</v>
      </c>
      <c r="K67" s="105" t="e">
        <f>HLOOKUP($H$4,'Met Data'!$O$2:$T$368,G67,FALSE)</f>
        <v>#N/A</v>
      </c>
      <c r="L67">
        <f t="shared" ca="1" si="0"/>
        <v>1</v>
      </c>
      <c r="N67" t="e">
        <f t="shared" ca="1" si="5"/>
        <v>#N/A</v>
      </c>
      <c r="O67" t="e">
        <f t="shared" ca="1" si="1"/>
        <v>#N/A</v>
      </c>
      <c r="P67" s="2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  <c r="V67" t="e">
        <f ca="1"/>
        <v>#N/A</v>
      </c>
      <c r="W67" t="e">
        <f ca="1"/>
        <v>#N/A</v>
      </c>
      <c r="X67" t="e">
        <f ca="1"/>
        <v>#N/A</v>
      </c>
      <c r="Y67" t="e">
        <f ca="1"/>
        <v>#N/A</v>
      </c>
      <c r="Z67" t="e">
        <f ca="1"/>
        <v>#N/A</v>
      </c>
      <c r="AA67" t="e">
        <f ca="1"/>
        <v>#N/A</v>
      </c>
      <c r="AB67" t="e">
        <f ca="1"/>
        <v>#N/A</v>
      </c>
      <c r="AD67" s="2">
        <f t="shared" ca="1" si="2"/>
        <v>0</v>
      </c>
      <c r="AE67" s="46">
        <f t="shared" ca="1" si="3"/>
        <v>0</v>
      </c>
      <c r="AG67" s="72" t="e">
        <f t="shared" ca="1" si="7"/>
        <v>#N/A</v>
      </c>
      <c r="AH67" s="72" t="e">
        <f t="shared" ca="1" si="8"/>
        <v>#N/A</v>
      </c>
      <c r="AI67" s="3" t="e">
        <f t="shared" ca="1" si="9"/>
        <v>#N/A</v>
      </c>
    </row>
    <row r="68" spans="7:35" x14ac:dyDescent="0.25">
      <c r="G68" s="3">
        <f t="shared" ca="1" si="4"/>
        <v>68</v>
      </c>
      <c r="H68" s="104">
        <f t="shared" ca="1" si="6"/>
        <v>44993</v>
      </c>
      <c r="I68" s="131" t="e">
        <f>HLOOKUP($H$4,'Met Data'!$A$2:$F$368,G68,FALSE)</f>
        <v>#N/A</v>
      </c>
      <c r="J68" s="131" t="e">
        <f ca="1">HLOOKUP($H$4,'Met Data'!$H$2:$M$368,G68,FALSE)*L68</f>
        <v>#N/A</v>
      </c>
      <c r="K68" s="105" t="e">
        <f>HLOOKUP($H$4,'Met Data'!$O$2:$T$368,G68,FALSE)</f>
        <v>#N/A</v>
      </c>
      <c r="L68">
        <f t="shared" ca="1" si="0"/>
        <v>1</v>
      </c>
      <c r="N68" t="e">
        <f t="shared" ca="1" si="5"/>
        <v>#N/A</v>
      </c>
      <c r="O68" t="e">
        <f t="shared" ca="1" si="1"/>
        <v>#N/A</v>
      </c>
      <c r="P68" s="2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  <c r="V68" t="e">
        <f ca="1"/>
        <v>#N/A</v>
      </c>
      <c r="W68" t="e">
        <f ca="1"/>
        <v>#N/A</v>
      </c>
      <c r="X68" t="e">
        <f ca="1"/>
        <v>#N/A</v>
      </c>
      <c r="Y68" t="e">
        <f ca="1"/>
        <v>#N/A</v>
      </c>
      <c r="Z68" t="e">
        <f ca="1"/>
        <v>#N/A</v>
      </c>
      <c r="AA68" t="e">
        <f ca="1"/>
        <v>#N/A</v>
      </c>
      <c r="AB68" t="e">
        <f ca="1"/>
        <v>#N/A</v>
      </c>
      <c r="AD68" s="2">
        <f t="shared" ca="1" si="2"/>
        <v>0</v>
      </c>
      <c r="AE68" s="46">
        <f t="shared" ca="1" si="3"/>
        <v>0</v>
      </c>
      <c r="AG68" s="72" t="e">
        <f t="shared" ca="1" si="7"/>
        <v>#N/A</v>
      </c>
      <c r="AH68" s="72" t="e">
        <f t="shared" ca="1" si="8"/>
        <v>#N/A</v>
      </c>
      <c r="AI68" s="3" t="e">
        <f t="shared" ca="1" si="9"/>
        <v>#N/A</v>
      </c>
    </row>
    <row r="69" spans="7:35" x14ac:dyDescent="0.25">
      <c r="G69" s="3">
        <f t="shared" ca="1" si="4"/>
        <v>69</v>
      </c>
      <c r="H69" s="104">
        <f t="shared" ca="1" si="6"/>
        <v>44994</v>
      </c>
      <c r="I69" s="131" t="e">
        <f>HLOOKUP($H$4,'Met Data'!$A$2:$F$368,G69,FALSE)</f>
        <v>#N/A</v>
      </c>
      <c r="J69" s="131" t="e">
        <f ca="1">HLOOKUP($H$4,'Met Data'!$H$2:$M$368,G69,FALSE)*L69</f>
        <v>#N/A</v>
      </c>
      <c r="K69" s="105" t="e">
        <f>HLOOKUP($H$4,'Met Data'!$O$2:$T$368,G69,FALSE)</f>
        <v>#N/A</v>
      </c>
      <c r="L69">
        <f t="shared" ca="1" si="0"/>
        <v>1</v>
      </c>
      <c r="N69" t="e">
        <f t="shared" ca="1" si="5"/>
        <v>#N/A</v>
      </c>
      <c r="O69" t="e">
        <f t="shared" ca="1" si="1"/>
        <v>#N/A</v>
      </c>
      <c r="P69" s="2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  <c r="V69" t="e">
        <f ca="1"/>
        <v>#N/A</v>
      </c>
      <c r="W69" t="e">
        <f ca="1"/>
        <v>#N/A</v>
      </c>
      <c r="X69" t="e">
        <f ca="1"/>
        <v>#N/A</v>
      </c>
      <c r="Y69" t="e">
        <f ca="1"/>
        <v>#N/A</v>
      </c>
      <c r="Z69" t="e">
        <f ca="1"/>
        <v>#N/A</v>
      </c>
      <c r="AA69" t="e">
        <f ca="1"/>
        <v>#N/A</v>
      </c>
      <c r="AB69" t="e">
        <f ca="1"/>
        <v>#N/A</v>
      </c>
      <c r="AD69" s="2">
        <f t="shared" ca="1" si="2"/>
        <v>0</v>
      </c>
      <c r="AE69" s="46">
        <f t="shared" ca="1" si="3"/>
        <v>0</v>
      </c>
      <c r="AG69" s="72" t="e">
        <f t="shared" ca="1" si="7"/>
        <v>#N/A</v>
      </c>
      <c r="AH69" s="72" t="e">
        <f t="shared" ca="1" si="8"/>
        <v>#N/A</v>
      </c>
      <c r="AI69" s="3" t="e">
        <f t="shared" ca="1" si="9"/>
        <v>#N/A</v>
      </c>
    </row>
    <row r="70" spans="7:35" x14ac:dyDescent="0.25">
      <c r="G70" s="3">
        <f t="shared" ca="1" si="4"/>
        <v>70</v>
      </c>
      <c r="H70" s="104">
        <f t="shared" ca="1" si="6"/>
        <v>44995</v>
      </c>
      <c r="I70" s="131" t="e">
        <f>HLOOKUP($H$4,'Met Data'!$A$2:$F$368,G70,FALSE)</f>
        <v>#N/A</v>
      </c>
      <c r="J70" s="131" t="e">
        <f ca="1">HLOOKUP($H$4,'Met Data'!$H$2:$M$368,G70,FALSE)*L70</f>
        <v>#N/A</v>
      </c>
      <c r="K70" s="105" t="e">
        <f>HLOOKUP($H$4,'Met Data'!$O$2:$T$368,G70,FALSE)</f>
        <v>#N/A</v>
      </c>
      <c r="L70">
        <f t="shared" ref="L70:L133" ca="1" si="10">IF(H70&lt;$B$31,$J$3,$J$4)</f>
        <v>1</v>
      </c>
      <c r="N70" t="e">
        <f t="shared" ca="1" si="5"/>
        <v>#N/A</v>
      </c>
      <c r="O70" t="e">
        <f t="shared" ref="O70:O133" ca="1" si="11">AND(IF(P70&gt;($P$2-1),TRUE,FALSE),IF(P70&lt;($P$3+1),TRUE,FALSE))</f>
        <v>#N/A</v>
      </c>
      <c r="P70" s="2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  <c r="V70" t="e">
        <f ca="1"/>
        <v>#N/A</v>
      </c>
      <c r="W70" t="e">
        <f ca="1"/>
        <v>#N/A</v>
      </c>
      <c r="X70" t="e">
        <f ca="1"/>
        <v>#N/A</v>
      </c>
      <c r="Y70" t="e">
        <f ca="1"/>
        <v>#N/A</v>
      </c>
      <c r="Z70" t="e">
        <f ca="1"/>
        <v>#N/A</v>
      </c>
      <c r="AA70" t="e">
        <f ca="1"/>
        <v>#N/A</v>
      </c>
      <c r="AB70" t="e">
        <f ca="1"/>
        <v>#N/A</v>
      </c>
      <c r="AD70" s="2">
        <f t="shared" ref="AD70:AD133" ca="1" si="12">IFERROR(P70,$AD$4)</f>
        <v>0</v>
      </c>
      <c r="AE70" s="46">
        <f t="shared" ref="AE70:AE133" ca="1" si="13">IFERROR(U70,0)</f>
        <v>0</v>
      </c>
      <c r="AG70" s="72" t="e">
        <f t="shared" ca="1" si="7"/>
        <v>#N/A</v>
      </c>
      <c r="AH70" s="72" t="e">
        <f t="shared" ca="1" si="8"/>
        <v>#N/A</v>
      </c>
      <c r="AI70" s="3" t="e">
        <f t="shared" ca="1" si="9"/>
        <v>#N/A</v>
      </c>
    </row>
    <row r="71" spans="7:35" x14ac:dyDescent="0.25">
      <c r="G71" s="3">
        <f t="shared" ref="G71:G134" ca="1" si="14">H71-DATE(YEAR(H71),1,0)+1</f>
        <v>71</v>
      </c>
      <c r="H71" s="104">
        <f t="shared" ca="1" si="6"/>
        <v>44996</v>
      </c>
      <c r="I71" s="131" t="e">
        <f>HLOOKUP($H$4,'Met Data'!$A$2:$F$368,G71,FALSE)</f>
        <v>#N/A</v>
      </c>
      <c r="J71" s="131" t="e">
        <f ca="1">HLOOKUP($H$4,'Met Data'!$H$2:$M$368,G71,FALSE)*L71</f>
        <v>#N/A</v>
      </c>
      <c r="K71" s="105" t="e">
        <f>HLOOKUP($H$4,'Met Data'!$O$2:$T$368,G71,FALSE)</f>
        <v>#N/A</v>
      </c>
      <c r="L71">
        <f t="shared" ca="1" si="10"/>
        <v>1</v>
      </c>
      <c r="N71" t="e">
        <f t="shared" ref="N71:N134" ca="1" si="15">IF(P71&lt;$P$3,TRUE,FALSE)</f>
        <v>#N/A</v>
      </c>
      <c r="O71" t="e">
        <f t="shared" ca="1" si="11"/>
        <v>#N/A</v>
      </c>
      <c r="P71" s="2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  <c r="V71" t="e">
        <f ca="1"/>
        <v>#N/A</v>
      </c>
      <c r="W71" t="e">
        <f ca="1"/>
        <v>#N/A</v>
      </c>
      <c r="X71" t="e">
        <f ca="1"/>
        <v>#N/A</v>
      </c>
      <c r="Y71" t="e">
        <f ca="1"/>
        <v>#N/A</v>
      </c>
      <c r="Z71" t="e">
        <f ca="1"/>
        <v>#N/A</v>
      </c>
      <c r="AA71" t="e">
        <f ca="1"/>
        <v>#N/A</v>
      </c>
      <c r="AB71" t="e">
        <f ca="1"/>
        <v>#N/A</v>
      </c>
      <c r="AD71" s="2">
        <f t="shared" ca="1" si="12"/>
        <v>0</v>
      </c>
      <c r="AE71" s="46">
        <f t="shared" ca="1" si="13"/>
        <v>0</v>
      </c>
      <c r="AG71" s="72" t="e">
        <f t="shared" ca="1" si="7"/>
        <v>#N/A</v>
      </c>
      <c r="AH71" s="72" t="e">
        <f t="shared" ca="1" si="8"/>
        <v>#N/A</v>
      </c>
      <c r="AI71" s="3" t="e">
        <f t="shared" ca="1" si="9"/>
        <v>#N/A</v>
      </c>
    </row>
    <row r="72" spans="7:35" x14ac:dyDescent="0.25">
      <c r="G72" s="3">
        <f t="shared" ca="1" si="14"/>
        <v>72</v>
      </c>
      <c r="H72" s="104">
        <f t="shared" ref="H72:H135" ca="1" si="16">H71+1</f>
        <v>44997</v>
      </c>
      <c r="I72" s="131" t="e">
        <f>HLOOKUP($H$4,'Met Data'!$A$2:$F$368,G72,FALSE)</f>
        <v>#N/A</v>
      </c>
      <c r="J72" s="131" t="e">
        <f ca="1">HLOOKUP($H$4,'Met Data'!$H$2:$M$368,G72,FALSE)*L72</f>
        <v>#N/A</v>
      </c>
      <c r="K72" s="105" t="e">
        <f>HLOOKUP($H$4,'Met Data'!$O$2:$T$368,G72,FALSE)</f>
        <v>#N/A</v>
      </c>
      <c r="L72">
        <f t="shared" ca="1" si="10"/>
        <v>1</v>
      </c>
      <c r="N72" t="e">
        <f t="shared" ca="1" si="15"/>
        <v>#N/A</v>
      </c>
      <c r="O72" t="e">
        <f t="shared" ca="1" si="11"/>
        <v>#N/A</v>
      </c>
      <c r="P72" s="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  <c r="V72" t="e">
        <f ca="1"/>
        <v>#N/A</v>
      </c>
      <c r="W72" t="e">
        <f ca="1"/>
        <v>#N/A</v>
      </c>
      <c r="X72" t="e">
        <f ca="1"/>
        <v>#N/A</v>
      </c>
      <c r="Y72" t="e">
        <f ca="1"/>
        <v>#N/A</v>
      </c>
      <c r="Z72" t="e">
        <f ca="1"/>
        <v>#N/A</v>
      </c>
      <c r="AA72" t="e">
        <f ca="1"/>
        <v>#N/A</v>
      </c>
      <c r="AB72" t="e">
        <f ca="1"/>
        <v>#N/A</v>
      </c>
      <c r="AD72" s="2">
        <f t="shared" ca="1" si="12"/>
        <v>0</v>
      </c>
      <c r="AE72" s="46">
        <f t="shared" ca="1" si="13"/>
        <v>0</v>
      </c>
      <c r="AG72" s="72" t="e">
        <f t="shared" ref="AG72:AG135" ca="1" si="17">Q71+S72+T72+U72</f>
        <v>#N/A</v>
      </c>
      <c r="AH72" s="72" t="e">
        <f t="shared" ref="AH72:AH135" ca="1" si="18">Q72+R72+X72</f>
        <v>#N/A</v>
      </c>
      <c r="AI72" s="3" t="e">
        <f t="shared" ref="AI72:AI135" ca="1" si="19">AH72-AG72</f>
        <v>#N/A</v>
      </c>
    </row>
    <row r="73" spans="7:35" x14ac:dyDescent="0.25">
      <c r="G73" s="3">
        <f t="shared" ca="1" si="14"/>
        <v>73</v>
      </c>
      <c r="H73" s="104">
        <f t="shared" ca="1" si="16"/>
        <v>44998</v>
      </c>
      <c r="I73" s="131" t="e">
        <f>HLOOKUP($H$4,'Met Data'!$A$2:$F$368,G73,FALSE)</f>
        <v>#N/A</v>
      </c>
      <c r="J73" s="131" t="e">
        <f ca="1">HLOOKUP($H$4,'Met Data'!$H$2:$M$368,G73,FALSE)*L73</f>
        <v>#N/A</v>
      </c>
      <c r="K73" s="105" t="e">
        <f>HLOOKUP($H$4,'Met Data'!$O$2:$T$368,G73,FALSE)</f>
        <v>#N/A</v>
      </c>
      <c r="L73">
        <f t="shared" ca="1" si="10"/>
        <v>1</v>
      </c>
      <c r="N73" t="e">
        <f t="shared" ca="1" si="15"/>
        <v>#N/A</v>
      </c>
      <c r="O73" t="e">
        <f t="shared" ca="1" si="11"/>
        <v>#N/A</v>
      </c>
      <c r="P73" s="2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  <c r="V73" t="e">
        <f ca="1"/>
        <v>#N/A</v>
      </c>
      <c r="W73" t="e">
        <f ca="1"/>
        <v>#N/A</v>
      </c>
      <c r="X73" t="e">
        <f ca="1"/>
        <v>#N/A</v>
      </c>
      <c r="Y73" t="e">
        <f ca="1"/>
        <v>#N/A</v>
      </c>
      <c r="Z73" t="e">
        <f ca="1"/>
        <v>#N/A</v>
      </c>
      <c r="AA73" t="e">
        <f ca="1"/>
        <v>#N/A</v>
      </c>
      <c r="AB73" t="e">
        <f ca="1"/>
        <v>#N/A</v>
      </c>
      <c r="AD73" s="2">
        <f t="shared" ca="1" si="12"/>
        <v>0</v>
      </c>
      <c r="AE73" s="46">
        <f t="shared" ca="1" si="13"/>
        <v>0</v>
      </c>
      <c r="AG73" s="72" t="e">
        <f t="shared" ca="1" si="17"/>
        <v>#N/A</v>
      </c>
      <c r="AH73" s="72" t="e">
        <f t="shared" ca="1" si="18"/>
        <v>#N/A</v>
      </c>
      <c r="AI73" s="3" t="e">
        <f t="shared" ca="1" si="19"/>
        <v>#N/A</v>
      </c>
    </row>
    <row r="74" spans="7:35" x14ac:dyDescent="0.25">
      <c r="G74" s="3">
        <f t="shared" ca="1" si="14"/>
        <v>74</v>
      </c>
      <c r="H74" s="104">
        <f t="shared" ca="1" si="16"/>
        <v>44999</v>
      </c>
      <c r="I74" s="131" t="e">
        <f>HLOOKUP($H$4,'Met Data'!$A$2:$F$368,G74,FALSE)</f>
        <v>#N/A</v>
      </c>
      <c r="J74" s="131" t="e">
        <f ca="1">HLOOKUP($H$4,'Met Data'!$H$2:$M$368,G74,FALSE)*L74</f>
        <v>#N/A</v>
      </c>
      <c r="K74" s="105" t="e">
        <f>HLOOKUP($H$4,'Met Data'!$O$2:$T$368,G74,FALSE)</f>
        <v>#N/A</v>
      </c>
      <c r="L74">
        <f t="shared" ca="1" si="10"/>
        <v>1</v>
      </c>
      <c r="N74" t="e">
        <f t="shared" ca="1" si="15"/>
        <v>#N/A</v>
      </c>
      <c r="O74" t="e">
        <f t="shared" ca="1" si="11"/>
        <v>#N/A</v>
      </c>
      <c r="P74" s="2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  <c r="V74" t="e">
        <f ca="1"/>
        <v>#N/A</v>
      </c>
      <c r="W74" t="e">
        <f ca="1"/>
        <v>#N/A</v>
      </c>
      <c r="X74" t="e">
        <f ca="1"/>
        <v>#N/A</v>
      </c>
      <c r="Y74" t="e">
        <f ca="1"/>
        <v>#N/A</v>
      </c>
      <c r="Z74" t="e">
        <f ca="1"/>
        <v>#N/A</v>
      </c>
      <c r="AA74" t="e">
        <f ca="1"/>
        <v>#N/A</v>
      </c>
      <c r="AB74" t="e">
        <f ca="1"/>
        <v>#N/A</v>
      </c>
      <c r="AD74" s="2">
        <f t="shared" ca="1" si="12"/>
        <v>0</v>
      </c>
      <c r="AE74" s="46">
        <f t="shared" ca="1" si="13"/>
        <v>0</v>
      </c>
      <c r="AG74" s="72" t="e">
        <f t="shared" ca="1" si="17"/>
        <v>#N/A</v>
      </c>
      <c r="AH74" s="72" t="e">
        <f t="shared" ca="1" si="18"/>
        <v>#N/A</v>
      </c>
      <c r="AI74" s="3" t="e">
        <f t="shared" ca="1" si="19"/>
        <v>#N/A</v>
      </c>
    </row>
    <row r="75" spans="7:35" x14ac:dyDescent="0.25">
      <c r="G75" s="3">
        <f t="shared" ca="1" si="14"/>
        <v>75</v>
      </c>
      <c r="H75" s="104">
        <f t="shared" ca="1" si="16"/>
        <v>45000</v>
      </c>
      <c r="I75" s="131" t="e">
        <f>HLOOKUP($H$4,'Met Data'!$A$2:$F$368,G75,FALSE)</f>
        <v>#N/A</v>
      </c>
      <c r="J75" s="131" t="e">
        <f ca="1">HLOOKUP($H$4,'Met Data'!$H$2:$M$368,G75,FALSE)*L75</f>
        <v>#N/A</v>
      </c>
      <c r="K75" s="105" t="e">
        <f>HLOOKUP($H$4,'Met Data'!$O$2:$T$368,G75,FALSE)</f>
        <v>#N/A</v>
      </c>
      <c r="L75">
        <f t="shared" ca="1" si="10"/>
        <v>1</v>
      </c>
      <c r="N75" t="e">
        <f t="shared" ca="1" si="15"/>
        <v>#N/A</v>
      </c>
      <c r="O75" t="e">
        <f t="shared" ca="1" si="11"/>
        <v>#N/A</v>
      </c>
      <c r="P75" s="2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  <c r="V75" t="e">
        <f ca="1"/>
        <v>#N/A</v>
      </c>
      <c r="W75" t="e">
        <f ca="1"/>
        <v>#N/A</v>
      </c>
      <c r="X75" t="e">
        <f ca="1"/>
        <v>#N/A</v>
      </c>
      <c r="Y75" t="e">
        <f ca="1"/>
        <v>#N/A</v>
      </c>
      <c r="Z75" t="e">
        <f ca="1"/>
        <v>#N/A</v>
      </c>
      <c r="AA75" t="e">
        <f ca="1"/>
        <v>#N/A</v>
      </c>
      <c r="AB75" t="e">
        <f ca="1"/>
        <v>#N/A</v>
      </c>
      <c r="AD75" s="2">
        <f t="shared" ca="1" si="12"/>
        <v>0</v>
      </c>
      <c r="AE75" s="46">
        <f t="shared" ca="1" si="13"/>
        <v>0</v>
      </c>
      <c r="AG75" s="72" t="e">
        <f t="shared" ca="1" si="17"/>
        <v>#N/A</v>
      </c>
      <c r="AH75" s="72" t="e">
        <f t="shared" ca="1" si="18"/>
        <v>#N/A</v>
      </c>
      <c r="AI75" s="3" t="e">
        <f t="shared" ca="1" si="19"/>
        <v>#N/A</v>
      </c>
    </row>
    <row r="76" spans="7:35" x14ac:dyDescent="0.25">
      <c r="G76" s="3">
        <f t="shared" ca="1" si="14"/>
        <v>76</v>
      </c>
      <c r="H76" s="104">
        <f t="shared" ca="1" si="16"/>
        <v>45001</v>
      </c>
      <c r="I76" s="131" t="e">
        <f>HLOOKUP($H$4,'Met Data'!$A$2:$F$368,G76,FALSE)</f>
        <v>#N/A</v>
      </c>
      <c r="J76" s="131" t="e">
        <f ca="1">HLOOKUP($H$4,'Met Data'!$H$2:$M$368,G76,FALSE)*L76</f>
        <v>#N/A</v>
      </c>
      <c r="K76" s="105" t="e">
        <f>HLOOKUP($H$4,'Met Data'!$O$2:$T$368,G76,FALSE)</f>
        <v>#N/A</v>
      </c>
      <c r="L76">
        <f t="shared" ca="1" si="10"/>
        <v>1</v>
      </c>
      <c r="N76" t="e">
        <f t="shared" ca="1" si="15"/>
        <v>#N/A</v>
      </c>
      <c r="O76" t="e">
        <f t="shared" ca="1" si="11"/>
        <v>#N/A</v>
      </c>
      <c r="P76" s="2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  <c r="V76" t="e">
        <f ca="1"/>
        <v>#N/A</v>
      </c>
      <c r="W76" t="e">
        <f ca="1"/>
        <v>#N/A</v>
      </c>
      <c r="X76" t="e">
        <f ca="1"/>
        <v>#N/A</v>
      </c>
      <c r="Y76" t="e">
        <f ca="1"/>
        <v>#N/A</v>
      </c>
      <c r="Z76" t="e">
        <f ca="1"/>
        <v>#N/A</v>
      </c>
      <c r="AA76" t="e">
        <f ca="1"/>
        <v>#N/A</v>
      </c>
      <c r="AB76" t="e">
        <f ca="1"/>
        <v>#N/A</v>
      </c>
      <c r="AD76" s="2">
        <f t="shared" ca="1" si="12"/>
        <v>0</v>
      </c>
      <c r="AE76" s="46">
        <f t="shared" ca="1" si="13"/>
        <v>0</v>
      </c>
      <c r="AG76" s="72" t="e">
        <f t="shared" ca="1" si="17"/>
        <v>#N/A</v>
      </c>
      <c r="AH76" s="72" t="e">
        <f t="shared" ca="1" si="18"/>
        <v>#N/A</v>
      </c>
      <c r="AI76" s="3" t="e">
        <f t="shared" ca="1" si="19"/>
        <v>#N/A</v>
      </c>
    </row>
    <row r="77" spans="7:35" x14ac:dyDescent="0.25">
      <c r="G77" s="3">
        <f t="shared" ca="1" si="14"/>
        <v>77</v>
      </c>
      <c r="H77" s="104">
        <f t="shared" ca="1" si="16"/>
        <v>45002</v>
      </c>
      <c r="I77" s="131" t="e">
        <f>HLOOKUP($H$4,'Met Data'!$A$2:$F$368,G77,FALSE)</f>
        <v>#N/A</v>
      </c>
      <c r="J77" s="131" t="e">
        <f ca="1">HLOOKUP($H$4,'Met Data'!$H$2:$M$368,G77,FALSE)*L77</f>
        <v>#N/A</v>
      </c>
      <c r="K77" s="105" t="e">
        <f>HLOOKUP($H$4,'Met Data'!$O$2:$T$368,G77,FALSE)</f>
        <v>#N/A</v>
      </c>
      <c r="L77">
        <f t="shared" ca="1" si="10"/>
        <v>1</v>
      </c>
      <c r="N77" t="e">
        <f t="shared" ca="1" si="15"/>
        <v>#N/A</v>
      </c>
      <c r="O77" t="e">
        <f t="shared" ca="1" si="11"/>
        <v>#N/A</v>
      </c>
      <c r="P77" s="2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  <c r="V77" t="e">
        <f ca="1"/>
        <v>#N/A</v>
      </c>
      <c r="W77" t="e">
        <f ca="1"/>
        <v>#N/A</v>
      </c>
      <c r="X77" t="e">
        <f ca="1"/>
        <v>#N/A</v>
      </c>
      <c r="Y77" t="e">
        <f ca="1"/>
        <v>#N/A</v>
      </c>
      <c r="Z77" t="e">
        <f ca="1"/>
        <v>#N/A</v>
      </c>
      <c r="AA77" t="e">
        <f ca="1"/>
        <v>#N/A</v>
      </c>
      <c r="AB77" t="e">
        <f ca="1"/>
        <v>#N/A</v>
      </c>
      <c r="AD77" s="2">
        <f t="shared" ca="1" si="12"/>
        <v>0</v>
      </c>
      <c r="AE77" s="46">
        <f t="shared" ca="1" si="13"/>
        <v>0</v>
      </c>
      <c r="AG77" s="72" t="e">
        <f t="shared" ca="1" si="17"/>
        <v>#N/A</v>
      </c>
      <c r="AH77" s="72" t="e">
        <f t="shared" ca="1" si="18"/>
        <v>#N/A</v>
      </c>
      <c r="AI77" s="3" t="e">
        <f t="shared" ca="1" si="19"/>
        <v>#N/A</v>
      </c>
    </row>
    <row r="78" spans="7:35" x14ac:dyDescent="0.25">
      <c r="G78" s="3">
        <f t="shared" ca="1" si="14"/>
        <v>78</v>
      </c>
      <c r="H78" s="104">
        <f t="shared" ca="1" si="16"/>
        <v>45003</v>
      </c>
      <c r="I78" s="131" t="e">
        <f>HLOOKUP($H$4,'Met Data'!$A$2:$F$368,G78,FALSE)</f>
        <v>#N/A</v>
      </c>
      <c r="J78" s="131" t="e">
        <f ca="1">HLOOKUP($H$4,'Met Data'!$H$2:$M$368,G78,FALSE)*L78</f>
        <v>#N/A</v>
      </c>
      <c r="K78" s="105" t="e">
        <f>HLOOKUP($H$4,'Met Data'!$O$2:$T$368,G78,FALSE)</f>
        <v>#N/A</v>
      </c>
      <c r="L78">
        <f t="shared" ca="1" si="10"/>
        <v>1</v>
      </c>
      <c r="N78" t="e">
        <f t="shared" ca="1" si="15"/>
        <v>#N/A</v>
      </c>
      <c r="O78" t="e">
        <f t="shared" ca="1" si="11"/>
        <v>#N/A</v>
      </c>
      <c r="P78" s="2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  <c r="V78" t="e">
        <f ca="1"/>
        <v>#N/A</v>
      </c>
      <c r="W78" t="e">
        <f ca="1"/>
        <v>#N/A</v>
      </c>
      <c r="X78" t="e">
        <f ca="1"/>
        <v>#N/A</v>
      </c>
      <c r="Y78" t="e">
        <f ca="1"/>
        <v>#N/A</v>
      </c>
      <c r="Z78" t="e">
        <f ca="1"/>
        <v>#N/A</v>
      </c>
      <c r="AA78" t="e">
        <f ca="1"/>
        <v>#N/A</v>
      </c>
      <c r="AB78" t="e">
        <f ca="1"/>
        <v>#N/A</v>
      </c>
      <c r="AD78" s="2">
        <f t="shared" ca="1" si="12"/>
        <v>0</v>
      </c>
      <c r="AE78" s="46">
        <f t="shared" ca="1" si="13"/>
        <v>0</v>
      </c>
      <c r="AG78" s="72" t="e">
        <f t="shared" ca="1" si="17"/>
        <v>#N/A</v>
      </c>
      <c r="AH78" s="72" t="e">
        <f t="shared" ca="1" si="18"/>
        <v>#N/A</v>
      </c>
      <c r="AI78" s="3" t="e">
        <f t="shared" ca="1" si="19"/>
        <v>#N/A</v>
      </c>
    </row>
    <row r="79" spans="7:35" x14ac:dyDescent="0.25">
      <c r="G79" s="3">
        <f t="shared" ca="1" si="14"/>
        <v>79</v>
      </c>
      <c r="H79" s="104">
        <f t="shared" ca="1" si="16"/>
        <v>45004</v>
      </c>
      <c r="I79" s="131" t="e">
        <f>HLOOKUP($H$4,'Met Data'!$A$2:$F$368,G79,FALSE)</f>
        <v>#N/A</v>
      </c>
      <c r="J79" s="131" t="e">
        <f ca="1">HLOOKUP($H$4,'Met Data'!$H$2:$M$368,G79,FALSE)*L79</f>
        <v>#N/A</v>
      </c>
      <c r="K79" s="105" t="e">
        <f>HLOOKUP($H$4,'Met Data'!$O$2:$T$368,G79,FALSE)</f>
        <v>#N/A</v>
      </c>
      <c r="L79">
        <f t="shared" ca="1" si="10"/>
        <v>1</v>
      </c>
      <c r="N79" t="e">
        <f t="shared" ca="1" si="15"/>
        <v>#N/A</v>
      </c>
      <c r="O79" t="e">
        <f t="shared" ca="1" si="11"/>
        <v>#N/A</v>
      </c>
      <c r="P79" s="2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  <c r="V79" t="e">
        <f ca="1"/>
        <v>#N/A</v>
      </c>
      <c r="W79" t="e">
        <f ca="1"/>
        <v>#N/A</v>
      </c>
      <c r="X79" t="e">
        <f ca="1"/>
        <v>#N/A</v>
      </c>
      <c r="Y79" t="e">
        <f ca="1"/>
        <v>#N/A</v>
      </c>
      <c r="Z79" t="e">
        <f ca="1"/>
        <v>#N/A</v>
      </c>
      <c r="AA79" t="e">
        <f ca="1"/>
        <v>#N/A</v>
      </c>
      <c r="AB79" t="e">
        <f ca="1"/>
        <v>#N/A</v>
      </c>
      <c r="AD79" s="2">
        <f t="shared" ca="1" si="12"/>
        <v>0</v>
      </c>
      <c r="AE79" s="46">
        <f t="shared" ca="1" si="13"/>
        <v>0</v>
      </c>
      <c r="AG79" s="72" t="e">
        <f t="shared" ca="1" si="17"/>
        <v>#N/A</v>
      </c>
      <c r="AH79" s="72" t="e">
        <f t="shared" ca="1" si="18"/>
        <v>#N/A</v>
      </c>
      <c r="AI79" s="3" t="e">
        <f t="shared" ca="1" si="19"/>
        <v>#N/A</v>
      </c>
    </row>
    <row r="80" spans="7:35" x14ac:dyDescent="0.25">
      <c r="G80" s="3">
        <f t="shared" ca="1" si="14"/>
        <v>80</v>
      </c>
      <c r="H80" s="104">
        <f t="shared" ca="1" si="16"/>
        <v>45005</v>
      </c>
      <c r="I80" s="131" t="e">
        <f>HLOOKUP($H$4,'Met Data'!$A$2:$F$368,G80,FALSE)</f>
        <v>#N/A</v>
      </c>
      <c r="J80" s="131" t="e">
        <f ca="1">HLOOKUP($H$4,'Met Data'!$H$2:$M$368,G80,FALSE)*L80</f>
        <v>#N/A</v>
      </c>
      <c r="K80" s="105" t="e">
        <f>HLOOKUP($H$4,'Met Data'!$O$2:$T$368,G80,FALSE)</f>
        <v>#N/A</v>
      </c>
      <c r="L80">
        <f t="shared" ca="1" si="10"/>
        <v>1</v>
      </c>
      <c r="N80" t="e">
        <f t="shared" ca="1" si="15"/>
        <v>#N/A</v>
      </c>
      <c r="O80" t="e">
        <f t="shared" ca="1" si="11"/>
        <v>#N/A</v>
      </c>
      <c r="P80" s="2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  <c r="V80" t="e">
        <f ca="1"/>
        <v>#N/A</v>
      </c>
      <c r="W80" t="e">
        <f ca="1"/>
        <v>#N/A</v>
      </c>
      <c r="X80" t="e">
        <f ca="1"/>
        <v>#N/A</v>
      </c>
      <c r="Y80" t="e">
        <f ca="1"/>
        <v>#N/A</v>
      </c>
      <c r="Z80" t="e">
        <f ca="1"/>
        <v>#N/A</v>
      </c>
      <c r="AA80" t="e">
        <f ca="1"/>
        <v>#N/A</v>
      </c>
      <c r="AB80" t="e">
        <f ca="1"/>
        <v>#N/A</v>
      </c>
      <c r="AD80" s="2">
        <f t="shared" ca="1" si="12"/>
        <v>0</v>
      </c>
      <c r="AE80" s="46">
        <f t="shared" ca="1" si="13"/>
        <v>0</v>
      </c>
      <c r="AG80" s="72" t="e">
        <f t="shared" ca="1" si="17"/>
        <v>#N/A</v>
      </c>
      <c r="AH80" s="72" t="e">
        <f t="shared" ca="1" si="18"/>
        <v>#N/A</v>
      </c>
      <c r="AI80" s="3" t="e">
        <f t="shared" ca="1" si="19"/>
        <v>#N/A</v>
      </c>
    </row>
    <row r="81" spans="7:35" x14ac:dyDescent="0.25">
      <c r="G81" s="3">
        <f t="shared" ca="1" si="14"/>
        <v>81</v>
      </c>
      <c r="H81" s="104">
        <f t="shared" ca="1" si="16"/>
        <v>45006</v>
      </c>
      <c r="I81" s="131" t="e">
        <f>HLOOKUP($H$4,'Met Data'!$A$2:$F$368,G81,FALSE)</f>
        <v>#N/A</v>
      </c>
      <c r="J81" s="131" t="e">
        <f ca="1">HLOOKUP($H$4,'Met Data'!$H$2:$M$368,G81,FALSE)*L81</f>
        <v>#N/A</v>
      </c>
      <c r="K81" s="105" t="e">
        <f>HLOOKUP($H$4,'Met Data'!$O$2:$T$368,G81,FALSE)</f>
        <v>#N/A</v>
      </c>
      <c r="L81">
        <f t="shared" ca="1" si="10"/>
        <v>1</v>
      </c>
      <c r="N81" t="e">
        <f t="shared" ca="1" si="15"/>
        <v>#N/A</v>
      </c>
      <c r="O81" t="e">
        <f t="shared" ca="1" si="11"/>
        <v>#N/A</v>
      </c>
      <c r="P81" s="2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  <c r="V81" t="e">
        <f ca="1"/>
        <v>#N/A</v>
      </c>
      <c r="W81" t="e">
        <f ca="1"/>
        <v>#N/A</v>
      </c>
      <c r="X81" t="e">
        <f ca="1"/>
        <v>#N/A</v>
      </c>
      <c r="Y81" t="e">
        <f ca="1"/>
        <v>#N/A</v>
      </c>
      <c r="Z81" t="e">
        <f ca="1"/>
        <v>#N/A</v>
      </c>
      <c r="AA81" t="e">
        <f ca="1"/>
        <v>#N/A</v>
      </c>
      <c r="AB81" t="e">
        <f ca="1"/>
        <v>#N/A</v>
      </c>
      <c r="AD81" s="2">
        <f t="shared" ca="1" si="12"/>
        <v>0</v>
      </c>
      <c r="AE81" s="46">
        <f t="shared" ca="1" si="13"/>
        <v>0</v>
      </c>
      <c r="AG81" s="72" t="e">
        <f t="shared" ca="1" si="17"/>
        <v>#N/A</v>
      </c>
      <c r="AH81" s="72" t="e">
        <f t="shared" ca="1" si="18"/>
        <v>#N/A</v>
      </c>
      <c r="AI81" s="3" t="e">
        <f t="shared" ca="1" si="19"/>
        <v>#N/A</v>
      </c>
    </row>
    <row r="82" spans="7:35" x14ac:dyDescent="0.25">
      <c r="G82" s="3">
        <f t="shared" ca="1" si="14"/>
        <v>82</v>
      </c>
      <c r="H82" s="104">
        <f t="shared" ca="1" si="16"/>
        <v>45007</v>
      </c>
      <c r="I82" s="131" t="e">
        <f>HLOOKUP($H$4,'Met Data'!$A$2:$F$368,G82,FALSE)</f>
        <v>#N/A</v>
      </c>
      <c r="J82" s="131" t="e">
        <f ca="1">HLOOKUP($H$4,'Met Data'!$H$2:$M$368,G82,FALSE)*L82</f>
        <v>#N/A</v>
      </c>
      <c r="K82" s="105" t="e">
        <f>HLOOKUP($H$4,'Met Data'!$O$2:$T$368,G82,FALSE)</f>
        <v>#N/A</v>
      </c>
      <c r="L82">
        <f t="shared" ca="1" si="10"/>
        <v>1</v>
      </c>
      <c r="N82" t="e">
        <f t="shared" ca="1" si="15"/>
        <v>#N/A</v>
      </c>
      <c r="O82" t="e">
        <f t="shared" ca="1" si="11"/>
        <v>#N/A</v>
      </c>
      <c r="P82" s="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  <c r="V82" t="e">
        <f ca="1"/>
        <v>#N/A</v>
      </c>
      <c r="W82" t="e">
        <f ca="1"/>
        <v>#N/A</v>
      </c>
      <c r="X82" t="e">
        <f ca="1"/>
        <v>#N/A</v>
      </c>
      <c r="Y82" t="e">
        <f ca="1"/>
        <v>#N/A</v>
      </c>
      <c r="Z82" t="e">
        <f ca="1"/>
        <v>#N/A</v>
      </c>
      <c r="AA82" t="e">
        <f ca="1"/>
        <v>#N/A</v>
      </c>
      <c r="AB82" t="e">
        <f ca="1"/>
        <v>#N/A</v>
      </c>
      <c r="AD82" s="2">
        <f t="shared" ca="1" si="12"/>
        <v>0</v>
      </c>
      <c r="AE82" s="46">
        <f t="shared" ca="1" si="13"/>
        <v>0</v>
      </c>
      <c r="AG82" s="72" t="e">
        <f t="shared" ca="1" si="17"/>
        <v>#N/A</v>
      </c>
      <c r="AH82" s="72" t="e">
        <f t="shared" ca="1" si="18"/>
        <v>#N/A</v>
      </c>
      <c r="AI82" s="3" t="e">
        <f t="shared" ca="1" si="19"/>
        <v>#N/A</v>
      </c>
    </row>
    <row r="83" spans="7:35" x14ac:dyDescent="0.25">
      <c r="G83" s="3">
        <f t="shared" ca="1" si="14"/>
        <v>83</v>
      </c>
      <c r="H83" s="104">
        <f t="shared" ca="1" si="16"/>
        <v>45008</v>
      </c>
      <c r="I83" s="131" t="e">
        <f>HLOOKUP($H$4,'Met Data'!$A$2:$F$368,G83,FALSE)</f>
        <v>#N/A</v>
      </c>
      <c r="J83" s="131" t="e">
        <f ca="1">HLOOKUP($H$4,'Met Data'!$H$2:$M$368,G83,FALSE)*L83</f>
        <v>#N/A</v>
      </c>
      <c r="K83" s="105" t="e">
        <f>HLOOKUP($H$4,'Met Data'!$O$2:$T$368,G83,FALSE)</f>
        <v>#N/A</v>
      </c>
      <c r="L83">
        <f t="shared" ca="1" si="10"/>
        <v>1</v>
      </c>
      <c r="N83" t="e">
        <f t="shared" ca="1" si="15"/>
        <v>#N/A</v>
      </c>
      <c r="O83" t="e">
        <f t="shared" ca="1" si="11"/>
        <v>#N/A</v>
      </c>
      <c r="P83" s="2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  <c r="V83" t="e">
        <f ca="1"/>
        <v>#N/A</v>
      </c>
      <c r="W83" t="e">
        <f ca="1"/>
        <v>#N/A</v>
      </c>
      <c r="X83" t="e">
        <f ca="1"/>
        <v>#N/A</v>
      </c>
      <c r="Y83" t="e">
        <f ca="1"/>
        <v>#N/A</v>
      </c>
      <c r="Z83" t="e">
        <f ca="1"/>
        <v>#N/A</v>
      </c>
      <c r="AA83" t="e">
        <f ca="1"/>
        <v>#N/A</v>
      </c>
      <c r="AB83" t="e">
        <f ca="1"/>
        <v>#N/A</v>
      </c>
      <c r="AD83" s="2">
        <f t="shared" ca="1" si="12"/>
        <v>0</v>
      </c>
      <c r="AE83" s="46">
        <f t="shared" ca="1" si="13"/>
        <v>0</v>
      </c>
      <c r="AG83" s="72" t="e">
        <f t="shared" ca="1" si="17"/>
        <v>#N/A</v>
      </c>
      <c r="AH83" s="72" t="e">
        <f t="shared" ca="1" si="18"/>
        <v>#N/A</v>
      </c>
      <c r="AI83" s="3" t="e">
        <f t="shared" ca="1" si="19"/>
        <v>#N/A</v>
      </c>
    </row>
    <row r="84" spans="7:35" x14ac:dyDescent="0.25">
      <c r="G84" s="3">
        <f t="shared" ca="1" si="14"/>
        <v>84</v>
      </c>
      <c r="H84" s="104">
        <f t="shared" ca="1" si="16"/>
        <v>45009</v>
      </c>
      <c r="I84" s="131" t="e">
        <f>HLOOKUP($H$4,'Met Data'!$A$2:$F$368,G84,FALSE)</f>
        <v>#N/A</v>
      </c>
      <c r="J84" s="131" t="e">
        <f ca="1">HLOOKUP($H$4,'Met Data'!$H$2:$M$368,G84,FALSE)*L84</f>
        <v>#N/A</v>
      </c>
      <c r="K84" s="105" t="e">
        <f>HLOOKUP($H$4,'Met Data'!$O$2:$T$368,G84,FALSE)</f>
        <v>#N/A</v>
      </c>
      <c r="L84">
        <f t="shared" ca="1" si="10"/>
        <v>1</v>
      </c>
      <c r="N84" t="e">
        <f t="shared" ca="1" si="15"/>
        <v>#N/A</v>
      </c>
      <c r="O84" t="e">
        <f t="shared" ca="1" si="11"/>
        <v>#N/A</v>
      </c>
      <c r="P84" s="2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  <c r="V84" t="e">
        <f ca="1"/>
        <v>#N/A</v>
      </c>
      <c r="W84" t="e">
        <f ca="1"/>
        <v>#N/A</v>
      </c>
      <c r="X84" t="e">
        <f ca="1"/>
        <v>#N/A</v>
      </c>
      <c r="Y84" t="e">
        <f ca="1"/>
        <v>#N/A</v>
      </c>
      <c r="Z84" t="e">
        <f ca="1"/>
        <v>#N/A</v>
      </c>
      <c r="AA84" t="e">
        <f ca="1"/>
        <v>#N/A</v>
      </c>
      <c r="AB84" t="e">
        <f ca="1"/>
        <v>#N/A</v>
      </c>
      <c r="AD84" s="2">
        <f t="shared" ca="1" si="12"/>
        <v>0</v>
      </c>
      <c r="AE84" s="46">
        <f t="shared" ca="1" si="13"/>
        <v>0</v>
      </c>
      <c r="AG84" s="72" t="e">
        <f t="shared" ca="1" si="17"/>
        <v>#N/A</v>
      </c>
      <c r="AH84" s="72" t="e">
        <f t="shared" ca="1" si="18"/>
        <v>#N/A</v>
      </c>
      <c r="AI84" s="3" t="e">
        <f t="shared" ca="1" si="19"/>
        <v>#N/A</v>
      </c>
    </row>
    <row r="85" spans="7:35" x14ac:dyDescent="0.25">
      <c r="G85" s="3">
        <f t="shared" ca="1" si="14"/>
        <v>85</v>
      </c>
      <c r="H85" s="104">
        <f t="shared" ca="1" si="16"/>
        <v>45010</v>
      </c>
      <c r="I85" s="131" t="e">
        <f>HLOOKUP($H$4,'Met Data'!$A$2:$F$368,G85,FALSE)</f>
        <v>#N/A</v>
      </c>
      <c r="J85" s="131" t="e">
        <f ca="1">HLOOKUP($H$4,'Met Data'!$H$2:$M$368,G85,FALSE)*L85</f>
        <v>#N/A</v>
      </c>
      <c r="K85" s="105" t="e">
        <f>HLOOKUP($H$4,'Met Data'!$O$2:$T$368,G85,FALSE)</f>
        <v>#N/A</v>
      </c>
      <c r="L85">
        <f t="shared" ca="1" si="10"/>
        <v>1</v>
      </c>
      <c r="N85" t="e">
        <f t="shared" ca="1" si="15"/>
        <v>#N/A</v>
      </c>
      <c r="O85" t="e">
        <f t="shared" ca="1" si="11"/>
        <v>#N/A</v>
      </c>
      <c r="P85" s="2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  <c r="V85" t="e">
        <f ca="1"/>
        <v>#N/A</v>
      </c>
      <c r="W85" t="e">
        <f ca="1"/>
        <v>#N/A</v>
      </c>
      <c r="X85" t="e">
        <f ca="1"/>
        <v>#N/A</v>
      </c>
      <c r="Y85" t="e">
        <f ca="1"/>
        <v>#N/A</v>
      </c>
      <c r="Z85" t="e">
        <f ca="1"/>
        <v>#N/A</v>
      </c>
      <c r="AA85" t="e">
        <f ca="1"/>
        <v>#N/A</v>
      </c>
      <c r="AB85" t="e">
        <f ca="1"/>
        <v>#N/A</v>
      </c>
      <c r="AD85" s="2">
        <f t="shared" ca="1" si="12"/>
        <v>0</v>
      </c>
      <c r="AE85" s="46">
        <f t="shared" ca="1" si="13"/>
        <v>0</v>
      </c>
      <c r="AG85" s="72" t="e">
        <f t="shared" ca="1" si="17"/>
        <v>#N/A</v>
      </c>
      <c r="AH85" s="72" t="e">
        <f t="shared" ca="1" si="18"/>
        <v>#N/A</v>
      </c>
      <c r="AI85" s="3" t="e">
        <f t="shared" ca="1" si="19"/>
        <v>#N/A</v>
      </c>
    </row>
    <row r="86" spans="7:35" x14ac:dyDescent="0.25">
      <c r="G86" s="3">
        <f t="shared" ca="1" si="14"/>
        <v>86</v>
      </c>
      <c r="H86" s="104">
        <f t="shared" ca="1" si="16"/>
        <v>45011</v>
      </c>
      <c r="I86" s="131" t="e">
        <f>HLOOKUP($H$4,'Met Data'!$A$2:$F$368,G86,FALSE)</f>
        <v>#N/A</v>
      </c>
      <c r="J86" s="131" t="e">
        <f ca="1">HLOOKUP($H$4,'Met Data'!$H$2:$M$368,G86,FALSE)*L86</f>
        <v>#N/A</v>
      </c>
      <c r="K86" s="105" t="e">
        <f>HLOOKUP($H$4,'Met Data'!$O$2:$T$368,G86,FALSE)</f>
        <v>#N/A</v>
      </c>
      <c r="L86">
        <f t="shared" ca="1" si="10"/>
        <v>1</v>
      </c>
      <c r="N86" t="e">
        <f t="shared" ca="1" si="15"/>
        <v>#N/A</v>
      </c>
      <c r="O86" t="e">
        <f t="shared" ca="1" si="11"/>
        <v>#N/A</v>
      </c>
      <c r="P86" s="2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  <c r="V86" t="e">
        <f ca="1"/>
        <v>#N/A</v>
      </c>
      <c r="W86" t="e">
        <f ca="1"/>
        <v>#N/A</v>
      </c>
      <c r="X86" t="e">
        <f ca="1"/>
        <v>#N/A</v>
      </c>
      <c r="Y86" t="e">
        <f ca="1"/>
        <v>#N/A</v>
      </c>
      <c r="Z86" t="e">
        <f ca="1"/>
        <v>#N/A</v>
      </c>
      <c r="AA86" t="e">
        <f ca="1"/>
        <v>#N/A</v>
      </c>
      <c r="AB86" t="e">
        <f ca="1"/>
        <v>#N/A</v>
      </c>
      <c r="AD86" s="2">
        <f t="shared" ca="1" si="12"/>
        <v>0</v>
      </c>
      <c r="AE86" s="46">
        <f t="shared" ca="1" si="13"/>
        <v>0</v>
      </c>
      <c r="AG86" s="72" t="e">
        <f t="shared" ca="1" si="17"/>
        <v>#N/A</v>
      </c>
      <c r="AH86" s="72" t="e">
        <f t="shared" ca="1" si="18"/>
        <v>#N/A</v>
      </c>
      <c r="AI86" s="3" t="e">
        <f t="shared" ca="1" si="19"/>
        <v>#N/A</v>
      </c>
    </row>
    <row r="87" spans="7:35" x14ac:dyDescent="0.25">
      <c r="G87" s="3">
        <f t="shared" ca="1" si="14"/>
        <v>87</v>
      </c>
      <c r="H87" s="104">
        <f t="shared" ca="1" si="16"/>
        <v>45012</v>
      </c>
      <c r="I87" s="131" t="e">
        <f>HLOOKUP($H$4,'Met Data'!$A$2:$F$368,G87,FALSE)</f>
        <v>#N/A</v>
      </c>
      <c r="J87" s="131" t="e">
        <f ca="1">HLOOKUP($H$4,'Met Data'!$H$2:$M$368,G87,FALSE)*L87</f>
        <v>#N/A</v>
      </c>
      <c r="K87" s="105" t="e">
        <f>HLOOKUP($H$4,'Met Data'!$O$2:$T$368,G87,FALSE)</f>
        <v>#N/A</v>
      </c>
      <c r="L87">
        <f t="shared" ca="1" si="10"/>
        <v>1</v>
      </c>
      <c r="N87" t="e">
        <f t="shared" ca="1" si="15"/>
        <v>#N/A</v>
      </c>
      <c r="O87" t="e">
        <f t="shared" ca="1" si="11"/>
        <v>#N/A</v>
      </c>
      <c r="P87" s="2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  <c r="V87" t="e">
        <f ca="1"/>
        <v>#N/A</v>
      </c>
      <c r="W87" t="e">
        <f ca="1"/>
        <v>#N/A</v>
      </c>
      <c r="X87" t="e">
        <f ca="1"/>
        <v>#N/A</v>
      </c>
      <c r="Y87" t="e">
        <f ca="1"/>
        <v>#N/A</v>
      </c>
      <c r="Z87" t="e">
        <f ca="1"/>
        <v>#N/A</v>
      </c>
      <c r="AA87" t="e">
        <f ca="1"/>
        <v>#N/A</v>
      </c>
      <c r="AB87" t="e">
        <f ca="1"/>
        <v>#N/A</v>
      </c>
      <c r="AD87" s="2">
        <f t="shared" ca="1" si="12"/>
        <v>0</v>
      </c>
      <c r="AE87" s="46">
        <f t="shared" ca="1" si="13"/>
        <v>0</v>
      </c>
      <c r="AG87" s="72" t="e">
        <f t="shared" ca="1" si="17"/>
        <v>#N/A</v>
      </c>
      <c r="AH87" s="72" t="e">
        <f t="shared" ca="1" si="18"/>
        <v>#N/A</v>
      </c>
      <c r="AI87" s="3" t="e">
        <f t="shared" ca="1" si="19"/>
        <v>#N/A</v>
      </c>
    </row>
    <row r="88" spans="7:35" x14ac:dyDescent="0.25">
      <c r="G88" s="3">
        <f t="shared" ca="1" si="14"/>
        <v>88</v>
      </c>
      <c r="H88" s="104">
        <f t="shared" ca="1" si="16"/>
        <v>45013</v>
      </c>
      <c r="I88" s="131" t="e">
        <f>HLOOKUP($H$4,'Met Data'!$A$2:$F$368,G88,FALSE)</f>
        <v>#N/A</v>
      </c>
      <c r="J88" s="131" t="e">
        <f ca="1">HLOOKUP($H$4,'Met Data'!$H$2:$M$368,G88,FALSE)*L88</f>
        <v>#N/A</v>
      </c>
      <c r="K88" s="105" t="e">
        <f>HLOOKUP($H$4,'Met Data'!$O$2:$T$368,G88,FALSE)</f>
        <v>#N/A</v>
      </c>
      <c r="L88">
        <f t="shared" ca="1" si="10"/>
        <v>1</v>
      </c>
      <c r="N88" t="e">
        <f t="shared" ca="1" si="15"/>
        <v>#N/A</v>
      </c>
      <c r="O88" t="e">
        <f t="shared" ca="1" si="11"/>
        <v>#N/A</v>
      </c>
      <c r="P88" s="2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  <c r="V88" t="e">
        <f ca="1"/>
        <v>#N/A</v>
      </c>
      <c r="W88" t="e">
        <f ca="1"/>
        <v>#N/A</v>
      </c>
      <c r="X88" t="e">
        <f ca="1"/>
        <v>#N/A</v>
      </c>
      <c r="Y88" t="e">
        <f ca="1"/>
        <v>#N/A</v>
      </c>
      <c r="Z88" t="e">
        <f ca="1"/>
        <v>#N/A</v>
      </c>
      <c r="AA88" t="e">
        <f ca="1"/>
        <v>#N/A</v>
      </c>
      <c r="AB88" t="e">
        <f ca="1"/>
        <v>#N/A</v>
      </c>
      <c r="AD88" s="2">
        <f t="shared" ca="1" si="12"/>
        <v>0</v>
      </c>
      <c r="AE88" s="46">
        <f t="shared" ca="1" si="13"/>
        <v>0</v>
      </c>
      <c r="AG88" s="72" t="e">
        <f t="shared" ca="1" si="17"/>
        <v>#N/A</v>
      </c>
      <c r="AH88" s="72" t="e">
        <f t="shared" ca="1" si="18"/>
        <v>#N/A</v>
      </c>
      <c r="AI88" s="3" t="e">
        <f t="shared" ca="1" si="19"/>
        <v>#N/A</v>
      </c>
    </row>
    <row r="89" spans="7:35" x14ac:dyDescent="0.25">
      <c r="G89" s="3">
        <f t="shared" ca="1" si="14"/>
        <v>89</v>
      </c>
      <c r="H89" s="104">
        <f t="shared" ca="1" si="16"/>
        <v>45014</v>
      </c>
      <c r="I89" s="131" t="e">
        <f>HLOOKUP($H$4,'Met Data'!$A$2:$F$368,G89,FALSE)</f>
        <v>#N/A</v>
      </c>
      <c r="J89" s="131" t="e">
        <f ca="1">HLOOKUP($H$4,'Met Data'!$H$2:$M$368,G89,FALSE)*L89</f>
        <v>#N/A</v>
      </c>
      <c r="K89" s="105" t="e">
        <f>HLOOKUP($H$4,'Met Data'!$O$2:$T$368,G89,FALSE)</f>
        <v>#N/A</v>
      </c>
      <c r="L89">
        <f t="shared" ca="1" si="10"/>
        <v>1</v>
      </c>
      <c r="N89" t="e">
        <f t="shared" ca="1" si="15"/>
        <v>#N/A</v>
      </c>
      <c r="O89" t="e">
        <f t="shared" ca="1" si="11"/>
        <v>#N/A</v>
      </c>
      <c r="P89" s="2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  <c r="V89" t="e">
        <f ca="1"/>
        <v>#N/A</v>
      </c>
      <c r="W89" t="e">
        <f ca="1"/>
        <v>#N/A</v>
      </c>
      <c r="X89" t="e">
        <f ca="1"/>
        <v>#N/A</v>
      </c>
      <c r="Y89" t="e">
        <f ca="1"/>
        <v>#N/A</v>
      </c>
      <c r="Z89" t="e">
        <f ca="1"/>
        <v>#N/A</v>
      </c>
      <c r="AA89" t="e">
        <f ca="1"/>
        <v>#N/A</v>
      </c>
      <c r="AB89" t="e">
        <f ca="1"/>
        <v>#N/A</v>
      </c>
      <c r="AD89" s="2">
        <f t="shared" ca="1" si="12"/>
        <v>0</v>
      </c>
      <c r="AE89" s="46">
        <f t="shared" ca="1" si="13"/>
        <v>0</v>
      </c>
      <c r="AG89" s="72" t="e">
        <f t="shared" ca="1" si="17"/>
        <v>#N/A</v>
      </c>
      <c r="AH89" s="72" t="e">
        <f t="shared" ca="1" si="18"/>
        <v>#N/A</v>
      </c>
      <c r="AI89" s="3" t="e">
        <f t="shared" ca="1" si="19"/>
        <v>#N/A</v>
      </c>
    </row>
    <row r="90" spans="7:35" x14ac:dyDescent="0.25">
      <c r="G90" s="3">
        <f t="shared" ca="1" si="14"/>
        <v>90</v>
      </c>
      <c r="H90" s="104">
        <f t="shared" ca="1" si="16"/>
        <v>45015</v>
      </c>
      <c r="I90" s="131" t="e">
        <f>HLOOKUP($H$4,'Met Data'!$A$2:$F$368,G90,FALSE)</f>
        <v>#N/A</v>
      </c>
      <c r="J90" s="131" t="e">
        <f ca="1">HLOOKUP($H$4,'Met Data'!$H$2:$M$368,G90,FALSE)*L90</f>
        <v>#N/A</v>
      </c>
      <c r="K90" s="105" t="e">
        <f>HLOOKUP($H$4,'Met Data'!$O$2:$T$368,G90,FALSE)</f>
        <v>#N/A</v>
      </c>
      <c r="L90">
        <f t="shared" ca="1" si="10"/>
        <v>1</v>
      </c>
      <c r="N90" t="e">
        <f t="shared" ca="1" si="15"/>
        <v>#N/A</v>
      </c>
      <c r="O90" t="e">
        <f t="shared" ca="1" si="11"/>
        <v>#N/A</v>
      </c>
      <c r="P90" s="2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  <c r="V90" t="e">
        <f ca="1"/>
        <v>#N/A</v>
      </c>
      <c r="W90" t="e">
        <f ca="1"/>
        <v>#N/A</v>
      </c>
      <c r="X90" t="e">
        <f ca="1"/>
        <v>#N/A</v>
      </c>
      <c r="Y90" t="e">
        <f ca="1"/>
        <v>#N/A</v>
      </c>
      <c r="Z90" t="e">
        <f ca="1"/>
        <v>#N/A</v>
      </c>
      <c r="AA90" t="e">
        <f ca="1"/>
        <v>#N/A</v>
      </c>
      <c r="AB90" t="e">
        <f ca="1"/>
        <v>#N/A</v>
      </c>
      <c r="AD90" s="2">
        <f t="shared" ca="1" si="12"/>
        <v>0</v>
      </c>
      <c r="AE90" s="46">
        <f t="shared" ca="1" si="13"/>
        <v>0</v>
      </c>
      <c r="AG90" s="72" t="e">
        <f t="shared" ca="1" si="17"/>
        <v>#N/A</v>
      </c>
      <c r="AH90" s="72" t="e">
        <f t="shared" ca="1" si="18"/>
        <v>#N/A</v>
      </c>
      <c r="AI90" s="3" t="e">
        <f t="shared" ca="1" si="19"/>
        <v>#N/A</v>
      </c>
    </row>
    <row r="91" spans="7:35" x14ac:dyDescent="0.25">
      <c r="G91" s="3">
        <f t="shared" ca="1" si="14"/>
        <v>91</v>
      </c>
      <c r="H91" s="104">
        <f t="shared" ca="1" si="16"/>
        <v>45016</v>
      </c>
      <c r="I91" s="131" t="e">
        <f>HLOOKUP($H$4,'Met Data'!$A$2:$F$368,G91,FALSE)</f>
        <v>#N/A</v>
      </c>
      <c r="J91" s="131" t="e">
        <f ca="1">HLOOKUP($H$4,'Met Data'!$H$2:$M$368,G91,FALSE)*L91</f>
        <v>#N/A</v>
      </c>
      <c r="K91" s="105" t="e">
        <f>HLOOKUP($H$4,'Met Data'!$O$2:$T$368,G91,FALSE)</f>
        <v>#N/A</v>
      </c>
      <c r="L91">
        <f t="shared" ca="1" si="10"/>
        <v>1</v>
      </c>
      <c r="N91" t="e">
        <f t="shared" ca="1" si="15"/>
        <v>#N/A</v>
      </c>
      <c r="O91" t="e">
        <f t="shared" ca="1" si="11"/>
        <v>#N/A</v>
      </c>
      <c r="P91" s="2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  <c r="V91" t="e">
        <f ca="1"/>
        <v>#N/A</v>
      </c>
      <c r="W91" t="e">
        <f ca="1"/>
        <v>#N/A</v>
      </c>
      <c r="X91" t="e">
        <f ca="1"/>
        <v>#N/A</v>
      </c>
      <c r="Y91" t="e">
        <f ca="1"/>
        <v>#N/A</v>
      </c>
      <c r="Z91" t="e">
        <f ca="1"/>
        <v>#N/A</v>
      </c>
      <c r="AA91" t="e">
        <f ca="1"/>
        <v>#N/A</v>
      </c>
      <c r="AB91" t="e">
        <f ca="1"/>
        <v>#N/A</v>
      </c>
      <c r="AD91" s="2">
        <f t="shared" ca="1" si="12"/>
        <v>0</v>
      </c>
      <c r="AE91" s="46">
        <f t="shared" ca="1" si="13"/>
        <v>0</v>
      </c>
      <c r="AG91" s="72" t="e">
        <f t="shared" ca="1" si="17"/>
        <v>#N/A</v>
      </c>
      <c r="AH91" s="72" t="e">
        <f t="shared" ca="1" si="18"/>
        <v>#N/A</v>
      </c>
      <c r="AI91" s="3" t="e">
        <f t="shared" ca="1" si="19"/>
        <v>#N/A</v>
      </c>
    </row>
    <row r="92" spans="7:35" x14ac:dyDescent="0.25">
      <c r="G92" s="3">
        <f t="shared" ca="1" si="14"/>
        <v>92</v>
      </c>
      <c r="H92" s="104">
        <f t="shared" ca="1" si="16"/>
        <v>45017</v>
      </c>
      <c r="I92" s="131" t="e">
        <f>HLOOKUP($H$4,'Met Data'!$A$2:$F$368,G92,FALSE)</f>
        <v>#N/A</v>
      </c>
      <c r="J92" s="131" t="e">
        <f ca="1">HLOOKUP($H$4,'Met Data'!$H$2:$M$368,G92,FALSE)*L92</f>
        <v>#N/A</v>
      </c>
      <c r="K92" s="105" t="e">
        <f>HLOOKUP($H$4,'Met Data'!$O$2:$T$368,G92,FALSE)</f>
        <v>#N/A</v>
      </c>
      <c r="L92">
        <f t="shared" ca="1" si="10"/>
        <v>1</v>
      </c>
      <c r="N92" t="e">
        <f t="shared" ca="1" si="15"/>
        <v>#N/A</v>
      </c>
      <c r="O92" t="e">
        <f t="shared" ca="1" si="11"/>
        <v>#N/A</v>
      </c>
      <c r="P92" s="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  <c r="V92" t="e">
        <f ca="1"/>
        <v>#N/A</v>
      </c>
      <c r="W92" t="e">
        <f ca="1"/>
        <v>#N/A</v>
      </c>
      <c r="X92" t="e">
        <f ca="1"/>
        <v>#N/A</v>
      </c>
      <c r="Y92" t="e">
        <f ca="1"/>
        <v>#N/A</v>
      </c>
      <c r="Z92" t="e">
        <f ca="1"/>
        <v>#N/A</v>
      </c>
      <c r="AA92" t="e">
        <f ca="1"/>
        <v>#N/A</v>
      </c>
      <c r="AB92" t="e">
        <f ca="1"/>
        <v>#N/A</v>
      </c>
      <c r="AD92" s="2">
        <f t="shared" ca="1" si="12"/>
        <v>0</v>
      </c>
      <c r="AE92" s="46">
        <f t="shared" ca="1" si="13"/>
        <v>0</v>
      </c>
      <c r="AG92" s="72" t="e">
        <f t="shared" ca="1" si="17"/>
        <v>#N/A</v>
      </c>
      <c r="AH92" s="72" t="e">
        <f t="shared" ca="1" si="18"/>
        <v>#N/A</v>
      </c>
      <c r="AI92" s="3" t="e">
        <f t="shared" ca="1" si="19"/>
        <v>#N/A</v>
      </c>
    </row>
    <row r="93" spans="7:35" x14ac:dyDescent="0.25">
      <c r="G93" s="3">
        <f t="shared" ca="1" si="14"/>
        <v>93</v>
      </c>
      <c r="H93" s="104">
        <f t="shared" ca="1" si="16"/>
        <v>45018</v>
      </c>
      <c r="I93" s="131" t="e">
        <f>HLOOKUP($H$4,'Met Data'!$A$2:$F$368,G93,FALSE)</f>
        <v>#N/A</v>
      </c>
      <c r="J93" s="131" t="e">
        <f ca="1">HLOOKUP($H$4,'Met Data'!$H$2:$M$368,G93,FALSE)*L93</f>
        <v>#N/A</v>
      </c>
      <c r="K93" s="105" t="e">
        <f>HLOOKUP($H$4,'Met Data'!$O$2:$T$368,G93,FALSE)</f>
        <v>#N/A</v>
      </c>
      <c r="L93">
        <f t="shared" ca="1" si="10"/>
        <v>1</v>
      </c>
      <c r="N93" t="e">
        <f t="shared" ca="1" si="15"/>
        <v>#N/A</v>
      </c>
      <c r="O93" t="e">
        <f t="shared" ca="1" si="11"/>
        <v>#N/A</v>
      </c>
      <c r="P93" s="2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  <c r="V93" t="e">
        <f ca="1"/>
        <v>#N/A</v>
      </c>
      <c r="W93" t="e">
        <f ca="1"/>
        <v>#N/A</v>
      </c>
      <c r="X93" t="e">
        <f ca="1"/>
        <v>#N/A</v>
      </c>
      <c r="Y93" t="e">
        <f ca="1"/>
        <v>#N/A</v>
      </c>
      <c r="Z93" t="e">
        <f ca="1"/>
        <v>#N/A</v>
      </c>
      <c r="AA93" t="e">
        <f ca="1"/>
        <v>#N/A</v>
      </c>
      <c r="AB93" t="e">
        <f ca="1"/>
        <v>#N/A</v>
      </c>
      <c r="AD93" s="2">
        <f t="shared" ca="1" si="12"/>
        <v>0</v>
      </c>
      <c r="AE93" s="46">
        <f t="shared" ca="1" si="13"/>
        <v>0</v>
      </c>
      <c r="AG93" s="72" t="e">
        <f t="shared" ca="1" si="17"/>
        <v>#N/A</v>
      </c>
      <c r="AH93" s="72" t="e">
        <f t="shared" ca="1" si="18"/>
        <v>#N/A</v>
      </c>
      <c r="AI93" s="3" t="e">
        <f t="shared" ca="1" si="19"/>
        <v>#N/A</v>
      </c>
    </row>
    <row r="94" spans="7:35" x14ac:dyDescent="0.25">
      <c r="G94" s="3">
        <f t="shared" ca="1" si="14"/>
        <v>94</v>
      </c>
      <c r="H94" s="104">
        <f t="shared" ca="1" si="16"/>
        <v>45019</v>
      </c>
      <c r="I94" s="131" t="e">
        <f>HLOOKUP($H$4,'Met Data'!$A$2:$F$368,G94,FALSE)</f>
        <v>#N/A</v>
      </c>
      <c r="J94" s="131" t="e">
        <f ca="1">HLOOKUP($H$4,'Met Data'!$H$2:$M$368,G94,FALSE)*L94</f>
        <v>#N/A</v>
      </c>
      <c r="K94" s="105" t="e">
        <f>HLOOKUP($H$4,'Met Data'!$O$2:$T$368,G94,FALSE)</f>
        <v>#N/A</v>
      </c>
      <c r="L94">
        <f t="shared" ca="1" si="10"/>
        <v>1</v>
      </c>
      <c r="N94" t="e">
        <f t="shared" ca="1" si="15"/>
        <v>#N/A</v>
      </c>
      <c r="O94" t="e">
        <f t="shared" ca="1" si="11"/>
        <v>#N/A</v>
      </c>
      <c r="P94" s="2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  <c r="V94" t="e">
        <f ca="1"/>
        <v>#N/A</v>
      </c>
      <c r="W94" t="e">
        <f ca="1"/>
        <v>#N/A</v>
      </c>
      <c r="X94" t="e">
        <f ca="1"/>
        <v>#N/A</v>
      </c>
      <c r="Y94" t="e">
        <f ca="1"/>
        <v>#N/A</v>
      </c>
      <c r="Z94" t="e">
        <f ca="1"/>
        <v>#N/A</v>
      </c>
      <c r="AA94" t="e">
        <f ca="1"/>
        <v>#N/A</v>
      </c>
      <c r="AB94" t="e">
        <f ca="1"/>
        <v>#N/A</v>
      </c>
      <c r="AD94" s="2">
        <f t="shared" ca="1" si="12"/>
        <v>0</v>
      </c>
      <c r="AE94" s="46">
        <f t="shared" ca="1" si="13"/>
        <v>0</v>
      </c>
      <c r="AG94" s="72" t="e">
        <f t="shared" ca="1" si="17"/>
        <v>#N/A</v>
      </c>
      <c r="AH94" s="72" t="e">
        <f t="shared" ca="1" si="18"/>
        <v>#N/A</v>
      </c>
      <c r="AI94" s="3" t="e">
        <f t="shared" ca="1" si="19"/>
        <v>#N/A</v>
      </c>
    </row>
    <row r="95" spans="7:35" x14ac:dyDescent="0.25">
      <c r="G95" s="3">
        <f t="shared" ca="1" si="14"/>
        <v>95</v>
      </c>
      <c r="H95" s="104">
        <f t="shared" ca="1" si="16"/>
        <v>45020</v>
      </c>
      <c r="I95" s="131" t="e">
        <f>HLOOKUP($H$4,'Met Data'!$A$2:$F$368,G95,FALSE)</f>
        <v>#N/A</v>
      </c>
      <c r="J95" s="131" t="e">
        <f ca="1">HLOOKUP($H$4,'Met Data'!$H$2:$M$368,G95,FALSE)*L95</f>
        <v>#N/A</v>
      </c>
      <c r="K95" s="105" t="e">
        <f>HLOOKUP($H$4,'Met Data'!$O$2:$T$368,G95,FALSE)</f>
        <v>#N/A</v>
      </c>
      <c r="L95">
        <f t="shared" ca="1" si="10"/>
        <v>1</v>
      </c>
      <c r="N95" t="e">
        <f t="shared" ca="1" si="15"/>
        <v>#N/A</v>
      </c>
      <c r="O95" t="e">
        <f t="shared" ca="1" si="11"/>
        <v>#N/A</v>
      </c>
      <c r="P95" s="2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  <c r="V95" t="e">
        <f ca="1"/>
        <v>#N/A</v>
      </c>
      <c r="W95" t="e">
        <f ca="1"/>
        <v>#N/A</v>
      </c>
      <c r="X95" t="e">
        <f ca="1"/>
        <v>#N/A</v>
      </c>
      <c r="Y95" t="e">
        <f ca="1"/>
        <v>#N/A</v>
      </c>
      <c r="Z95" t="e">
        <f ca="1"/>
        <v>#N/A</v>
      </c>
      <c r="AA95" t="e">
        <f ca="1"/>
        <v>#N/A</v>
      </c>
      <c r="AB95" t="e">
        <f ca="1"/>
        <v>#N/A</v>
      </c>
      <c r="AD95" s="2">
        <f t="shared" ca="1" si="12"/>
        <v>0</v>
      </c>
      <c r="AE95" s="46">
        <f t="shared" ca="1" si="13"/>
        <v>0</v>
      </c>
      <c r="AG95" s="72" t="e">
        <f t="shared" ca="1" si="17"/>
        <v>#N/A</v>
      </c>
      <c r="AH95" s="72" t="e">
        <f t="shared" ca="1" si="18"/>
        <v>#N/A</v>
      </c>
      <c r="AI95" s="3" t="e">
        <f t="shared" ca="1" si="19"/>
        <v>#N/A</v>
      </c>
    </row>
    <row r="96" spans="7:35" x14ac:dyDescent="0.25">
      <c r="G96" s="3">
        <f t="shared" ca="1" si="14"/>
        <v>96</v>
      </c>
      <c r="H96" s="104">
        <f t="shared" ca="1" si="16"/>
        <v>45021</v>
      </c>
      <c r="I96" s="131" t="e">
        <f>HLOOKUP($H$4,'Met Data'!$A$2:$F$368,G96,FALSE)</f>
        <v>#N/A</v>
      </c>
      <c r="J96" s="131" t="e">
        <f ca="1">HLOOKUP($H$4,'Met Data'!$H$2:$M$368,G96,FALSE)*L96</f>
        <v>#N/A</v>
      </c>
      <c r="K96" s="105" t="e">
        <f>HLOOKUP($H$4,'Met Data'!$O$2:$T$368,G96,FALSE)</f>
        <v>#N/A</v>
      </c>
      <c r="L96">
        <f t="shared" ca="1" si="10"/>
        <v>1</v>
      </c>
      <c r="N96" t="e">
        <f t="shared" ca="1" si="15"/>
        <v>#N/A</v>
      </c>
      <c r="O96" t="e">
        <f t="shared" ca="1" si="11"/>
        <v>#N/A</v>
      </c>
      <c r="P96" s="2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  <c r="V96" t="e">
        <f ca="1"/>
        <v>#N/A</v>
      </c>
      <c r="W96" t="e">
        <f ca="1"/>
        <v>#N/A</v>
      </c>
      <c r="X96" t="e">
        <f ca="1"/>
        <v>#N/A</v>
      </c>
      <c r="Y96" t="e">
        <f ca="1"/>
        <v>#N/A</v>
      </c>
      <c r="Z96" t="e">
        <f ca="1"/>
        <v>#N/A</v>
      </c>
      <c r="AA96" t="e">
        <f ca="1"/>
        <v>#N/A</v>
      </c>
      <c r="AB96" t="e">
        <f ca="1"/>
        <v>#N/A</v>
      </c>
      <c r="AD96" s="2">
        <f t="shared" ca="1" si="12"/>
        <v>0</v>
      </c>
      <c r="AE96" s="46">
        <f t="shared" ca="1" si="13"/>
        <v>0</v>
      </c>
      <c r="AG96" s="72" t="e">
        <f t="shared" ca="1" si="17"/>
        <v>#N/A</v>
      </c>
      <c r="AH96" s="72" t="e">
        <f t="shared" ca="1" si="18"/>
        <v>#N/A</v>
      </c>
      <c r="AI96" s="3" t="e">
        <f t="shared" ca="1" si="19"/>
        <v>#N/A</v>
      </c>
    </row>
    <row r="97" spans="7:35" x14ac:dyDescent="0.25">
      <c r="G97" s="3">
        <f t="shared" ca="1" si="14"/>
        <v>97</v>
      </c>
      <c r="H97" s="104">
        <f t="shared" ca="1" si="16"/>
        <v>45022</v>
      </c>
      <c r="I97" s="131" t="e">
        <f>HLOOKUP($H$4,'Met Data'!$A$2:$F$368,G97,FALSE)</f>
        <v>#N/A</v>
      </c>
      <c r="J97" s="131" t="e">
        <f ca="1">HLOOKUP($H$4,'Met Data'!$H$2:$M$368,G97,FALSE)*L97</f>
        <v>#N/A</v>
      </c>
      <c r="K97" s="105" t="e">
        <f>HLOOKUP($H$4,'Met Data'!$O$2:$T$368,G97,FALSE)</f>
        <v>#N/A</v>
      </c>
      <c r="L97">
        <f t="shared" ca="1" si="10"/>
        <v>1</v>
      </c>
      <c r="N97" t="e">
        <f t="shared" ca="1" si="15"/>
        <v>#N/A</v>
      </c>
      <c r="O97" t="e">
        <f t="shared" ca="1" si="11"/>
        <v>#N/A</v>
      </c>
      <c r="P97" s="2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  <c r="V97" t="e">
        <f ca="1"/>
        <v>#N/A</v>
      </c>
      <c r="W97" t="e">
        <f ca="1"/>
        <v>#N/A</v>
      </c>
      <c r="X97" t="e">
        <f ca="1"/>
        <v>#N/A</v>
      </c>
      <c r="Y97" t="e">
        <f ca="1"/>
        <v>#N/A</v>
      </c>
      <c r="Z97" t="e">
        <f ca="1"/>
        <v>#N/A</v>
      </c>
      <c r="AA97" t="e">
        <f ca="1"/>
        <v>#N/A</v>
      </c>
      <c r="AB97" t="e">
        <f ca="1"/>
        <v>#N/A</v>
      </c>
      <c r="AD97" s="2">
        <f t="shared" ca="1" si="12"/>
        <v>0</v>
      </c>
      <c r="AE97" s="46">
        <f t="shared" ca="1" si="13"/>
        <v>0</v>
      </c>
      <c r="AG97" s="72" t="e">
        <f t="shared" ca="1" si="17"/>
        <v>#N/A</v>
      </c>
      <c r="AH97" s="72" t="e">
        <f t="shared" ca="1" si="18"/>
        <v>#N/A</v>
      </c>
      <c r="AI97" s="3" t="e">
        <f t="shared" ca="1" si="19"/>
        <v>#N/A</v>
      </c>
    </row>
    <row r="98" spans="7:35" x14ac:dyDescent="0.25">
      <c r="G98" s="3">
        <f t="shared" ca="1" si="14"/>
        <v>98</v>
      </c>
      <c r="H98" s="104">
        <f t="shared" ca="1" si="16"/>
        <v>45023</v>
      </c>
      <c r="I98" s="131" t="e">
        <f>HLOOKUP($H$4,'Met Data'!$A$2:$F$368,G98,FALSE)</f>
        <v>#N/A</v>
      </c>
      <c r="J98" s="131" t="e">
        <f ca="1">HLOOKUP($H$4,'Met Data'!$H$2:$M$368,G98,FALSE)*L98</f>
        <v>#N/A</v>
      </c>
      <c r="K98" s="105" t="e">
        <f>HLOOKUP($H$4,'Met Data'!$O$2:$T$368,G98,FALSE)</f>
        <v>#N/A</v>
      </c>
      <c r="L98">
        <f t="shared" ca="1" si="10"/>
        <v>1</v>
      </c>
      <c r="N98" t="e">
        <f t="shared" ca="1" si="15"/>
        <v>#N/A</v>
      </c>
      <c r="O98" t="e">
        <f t="shared" ca="1" si="11"/>
        <v>#N/A</v>
      </c>
      <c r="P98" s="2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  <c r="V98" t="e">
        <f ca="1"/>
        <v>#N/A</v>
      </c>
      <c r="W98" t="e">
        <f ca="1"/>
        <v>#N/A</v>
      </c>
      <c r="X98" t="e">
        <f ca="1"/>
        <v>#N/A</v>
      </c>
      <c r="Y98" t="e">
        <f ca="1"/>
        <v>#N/A</v>
      </c>
      <c r="Z98" t="e">
        <f ca="1"/>
        <v>#N/A</v>
      </c>
      <c r="AA98" t="e">
        <f ca="1"/>
        <v>#N/A</v>
      </c>
      <c r="AB98" t="e">
        <f ca="1"/>
        <v>#N/A</v>
      </c>
      <c r="AD98" s="2">
        <f t="shared" ca="1" si="12"/>
        <v>0</v>
      </c>
      <c r="AE98" s="46">
        <f t="shared" ca="1" si="13"/>
        <v>0</v>
      </c>
      <c r="AG98" s="72" t="e">
        <f t="shared" ca="1" si="17"/>
        <v>#N/A</v>
      </c>
      <c r="AH98" s="72" t="e">
        <f t="shared" ca="1" si="18"/>
        <v>#N/A</v>
      </c>
      <c r="AI98" s="3" t="e">
        <f t="shared" ca="1" si="19"/>
        <v>#N/A</v>
      </c>
    </row>
    <row r="99" spans="7:35" x14ac:dyDescent="0.25">
      <c r="G99" s="3">
        <f t="shared" ca="1" si="14"/>
        <v>99</v>
      </c>
      <c r="H99" s="104">
        <f t="shared" ca="1" si="16"/>
        <v>45024</v>
      </c>
      <c r="I99" s="131" t="e">
        <f>HLOOKUP($H$4,'Met Data'!$A$2:$F$368,G99,FALSE)</f>
        <v>#N/A</v>
      </c>
      <c r="J99" s="131" t="e">
        <f ca="1">HLOOKUP($H$4,'Met Data'!$H$2:$M$368,G99,FALSE)*L99</f>
        <v>#N/A</v>
      </c>
      <c r="K99" s="105" t="e">
        <f>HLOOKUP($H$4,'Met Data'!$O$2:$T$368,G99,FALSE)</f>
        <v>#N/A</v>
      </c>
      <c r="L99">
        <f t="shared" ca="1" si="10"/>
        <v>1</v>
      </c>
      <c r="N99" t="e">
        <f t="shared" ca="1" si="15"/>
        <v>#N/A</v>
      </c>
      <c r="O99" t="e">
        <f t="shared" ca="1" si="11"/>
        <v>#N/A</v>
      </c>
      <c r="P99" s="2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  <c r="V99" t="e">
        <f ca="1"/>
        <v>#N/A</v>
      </c>
      <c r="W99" t="e">
        <f ca="1"/>
        <v>#N/A</v>
      </c>
      <c r="X99" t="e">
        <f ca="1"/>
        <v>#N/A</v>
      </c>
      <c r="Y99" t="e">
        <f ca="1"/>
        <v>#N/A</v>
      </c>
      <c r="Z99" t="e">
        <f ca="1"/>
        <v>#N/A</v>
      </c>
      <c r="AA99" t="e">
        <f ca="1"/>
        <v>#N/A</v>
      </c>
      <c r="AB99" t="e">
        <f ca="1"/>
        <v>#N/A</v>
      </c>
      <c r="AD99" s="2">
        <f t="shared" ca="1" si="12"/>
        <v>0</v>
      </c>
      <c r="AE99" s="46">
        <f t="shared" ca="1" si="13"/>
        <v>0</v>
      </c>
      <c r="AG99" s="72" t="e">
        <f t="shared" ca="1" si="17"/>
        <v>#N/A</v>
      </c>
      <c r="AH99" s="72" t="e">
        <f t="shared" ca="1" si="18"/>
        <v>#N/A</v>
      </c>
      <c r="AI99" s="3" t="e">
        <f t="shared" ca="1" si="19"/>
        <v>#N/A</v>
      </c>
    </row>
    <row r="100" spans="7:35" x14ac:dyDescent="0.25">
      <c r="G100" s="3">
        <f t="shared" ca="1" si="14"/>
        <v>100</v>
      </c>
      <c r="H100" s="104">
        <f t="shared" ca="1" si="16"/>
        <v>45025</v>
      </c>
      <c r="I100" s="131" t="e">
        <f>HLOOKUP($H$4,'Met Data'!$A$2:$F$368,G100,FALSE)</f>
        <v>#N/A</v>
      </c>
      <c r="J100" s="131" t="e">
        <f ca="1">HLOOKUP($H$4,'Met Data'!$H$2:$M$368,G100,FALSE)*L100</f>
        <v>#N/A</v>
      </c>
      <c r="K100" s="105" t="e">
        <f>HLOOKUP($H$4,'Met Data'!$O$2:$T$368,G100,FALSE)</f>
        <v>#N/A</v>
      </c>
      <c r="L100">
        <f t="shared" ca="1" si="10"/>
        <v>1</v>
      </c>
      <c r="N100" t="e">
        <f t="shared" ca="1" si="15"/>
        <v>#N/A</v>
      </c>
      <c r="O100" t="e">
        <f t="shared" ca="1" si="11"/>
        <v>#N/A</v>
      </c>
      <c r="P100" s="2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  <c r="V100" t="e">
        <f ca="1"/>
        <v>#N/A</v>
      </c>
      <c r="W100" t="e">
        <f ca="1"/>
        <v>#N/A</v>
      </c>
      <c r="X100" t="e">
        <f ca="1"/>
        <v>#N/A</v>
      </c>
      <c r="Y100" t="e">
        <f ca="1"/>
        <v>#N/A</v>
      </c>
      <c r="Z100" t="e">
        <f ca="1"/>
        <v>#N/A</v>
      </c>
      <c r="AA100" t="e">
        <f ca="1"/>
        <v>#N/A</v>
      </c>
      <c r="AB100" t="e">
        <f ca="1"/>
        <v>#N/A</v>
      </c>
      <c r="AD100" s="2">
        <f t="shared" ca="1" si="12"/>
        <v>0</v>
      </c>
      <c r="AE100" s="46">
        <f t="shared" ca="1" si="13"/>
        <v>0</v>
      </c>
      <c r="AG100" s="72" t="e">
        <f t="shared" ca="1" si="17"/>
        <v>#N/A</v>
      </c>
      <c r="AH100" s="72" t="e">
        <f t="shared" ca="1" si="18"/>
        <v>#N/A</v>
      </c>
      <c r="AI100" s="3" t="e">
        <f t="shared" ca="1" si="19"/>
        <v>#N/A</v>
      </c>
    </row>
    <row r="101" spans="7:35" x14ac:dyDescent="0.25">
      <c r="G101" s="3">
        <f t="shared" ca="1" si="14"/>
        <v>101</v>
      </c>
      <c r="H101" s="104">
        <f t="shared" ca="1" si="16"/>
        <v>45026</v>
      </c>
      <c r="I101" s="131" t="e">
        <f>HLOOKUP($H$4,'Met Data'!$A$2:$F$368,G101,FALSE)</f>
        <v>#N/A</v>
      </c>
      <c r="J101" s="131" t="e">
        <f ca="1">HLOOKUP($H$4,'Met Data'!$H$2:$M$368,G101,FALSE)*L101</f>
        <v>#N/A</v>
      </c>
      <c r="K101" s="105" t="e">
        <f>HLOOKUP($H$4,'Met Data'!$O$2:$T$368,G101,FALSE)</f>
        <v>#N/A</v>
      </c>
      <c r="L101">
        <f t="shared" ca="1" si="10"/>
        <v>1</v>
      </c>
      <c r="N101" t="e">
        <f t="shared" ca="1" si="15"/>
        <v>#N/A</v>
      </c>
      <c r="O101" t="e">
        <f t="shared" ca="1" si="11"/>
        <v>#N/A</v>
      </c>
      <c r="P101" s="2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  <c r="V101" t="e">
        <f ca="1"/>
        <v>#N/A</v>
      </c>
      <c r="W101" t="e">
        <f ca="1"/>
        <v>#N/A</v>
      </c>
      <c r="X101" t="e">
        <f ca="1"/>
        <v>#N/A</v>
      </c>
      <c r="Y101" t="e">
        <f ca="1"/>
        <v>#N/A</v>
      </c>
      <c r="Z101" t="e">
        <f ca="1"/>
        <v>#N/A</v>
      </c>
      <c r="AA101" t="e">
        <f ca="1"/>
        <v>#N/A</v>
      </c>
      <c r="AB101" t="e">
        <f ca="1"/>
        <v>#N/A</v>
      </c>
      <c r="AD101" s="2">
        <f t="shared" ca="1" si="12"/>
        <v>0</v>
      </c>
      <c r="AE101" s="46">
        <f t="shared" ca="1" si="13"/>
        <v>0</v>
      </c>
      <c r="AG101" s="72" t="e">
        <f t="shared" ca="1" si="17"/>
        <v>#N/A</v>
      </c>
      <c r="AH101" s="72" t="e">
        <f t="shared" ca="1" si="18"/>
        <v>#N/A</v>
      </c>
      <c r="AI101" s="3" t="e">
        <f t="shared" ca="1" si="19"/>
        <v>#N/A</v>
      </c>
    </row>
    <row r="102" spans="7:35" x14ac:dyDescent="0.25">
      <c r="G102" s="3">
        <f t="shared" ca="1" si="14"/>
        <v>102</v>
      </c>
      <c r="H102" s="104">
        <f t="shared" ca="1" si="16"/>
        <v>45027</v>
      </c>
      <c r="I102" s="131" t="e">
        <f>HLOOKUP($H$4,'Met Data'!$A$2:$F$368,G102,FALSE)</f>
        <v>#N/A</v>
      </c>
      <c r="J102" s="131" t="e">
        <f ca="1">HLOOKUP($H$4,'Met Data'!$H$2:$M$368,G102,FALSE)*L102</f>
        <v>#N/A</v>
      </c>
      <c r="K102" s="105" t="e">
        <f>HLOOKUP($H$4,'Met Data'!$O$2:$T$368,G102,FALSE)</f>
        <v>#N/A</v>
      </c>
      <c r="L102">
        <f t="shared" ca="1" si="10"/>
        <v>1</v>
      </c>
      <c r="N102" t="e">
        <f t="shared" ca="1" si="15"/>
        <v>#N/A</v>
      </c>
      <c r="O102" t="e">
        <f t="shared" ca="1" si="11"/>
        <v>#N/A</v>
      </c>
      <c r="P102" s="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  <c r="V102" t="e">
        <f ca="1"/>
        <v>#N/A</v>
      </c>
      <c r="W102" t="e">
        <f ca="1"/>
        <v>#N/A</v>
      </c>
      <c r="X102" t="e">
        <f ca="1"/>
        <v>#N/A</v>
      </c>
      <c r="Y102" t="e">
        <f ca="1"/>
        <v>#N/A</v>
      </c>
      <c r="Z102" t="e">
        <f ca="1"/>
        <v>#N/A</v>
      </c>
      <c r="AA102" t="e">
        <f ca="1"/>
        <v>#N/A</v>
      </c>
      <c r="AB102" t="e">
        <f ca="1"/>
        <v>#N/A</v>
      </c>
      <c r="AD102" s="2">
        <f t="shared" ca="1" si="12"/>
        <v>0</v>
      </c>
      <c r="AE102" s="46">
        <f t="shared" ca="1" si="13"/>
        <v>0</v>
      </c>
      <c r="AG102" s="72" t="e">
        <f t="shared" ca="1" si="17"/>
        <v>#N/A</v>
      </c>
      <c r="AH102" s="72" t="e">
        <f t="shared" ca="1" si="18"/>
        <v>#N/A</v>
      </c>
      <c r="AI102" s="3" t="e">
        <f t="shared" ca="1" si="19"/>
        <v>#N/A</v>
      </c>
    </row>
    <row r="103" spans="7:35" x14ac:dyDescent="0.25">
      <c r="G103" s="3">
        <f t="shared" ca="1" si="14"/>
        <v>103</v>
      </c>
      <c r="H103" s="104">
        <f t="shared" ca="1" si="16"/>
        <v>45028</v>
      </c>
      <c r="I103" s="131" t="e">
        <f>HLOOKUP($H$4,'Met Data'!$A$2:$F$368,G103,FALSE)</f>
        <v>#N/A</v>
      </c>
      <c r="J103" s="131" t="e">
        <f ca="1">HLOOKUP($H$4,'Met Data'!$H$2:$M$368,G103,FALSE)*L103</f>
        <v>#N/A</v>
      </c>
      <c r="K103" s="105" t="e">
        <f>HLOOKUP($H$4,'Met Data'!$O$2:$T$368,G103,FALSE)</f>
        <v>#N/A</v>
      </c>
      <c r="L103">
        <f t="shared" ca="1" si="10"/>
        <v>1</v>
      </c>
      <c r="N103" t="e">
        <f t="shared" ca="1" si="15"/>
        <v>#N/A</v>
      </c>
      <c r="O103" t="e">
        <f t="shared" ca="1" si="11"/>
        <v>#N/A</v>
      </c>
      <c r="P103" s="2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  <c r="V103" t="e">
        <f ca="1"/>
        <v>#N/A</v>
      </c>
      <c r="W103" t="e">
        <f ca="1"/>
        <v>#N/A</v>
      </c>
      <c r="X103" t="e">
        <f ca="1"/>
        <v>#N/A</v>
      </c>
      <c r="Y103" t="e">
        <f ca="1"/>
        <v>#N/A</v>
      </c>
      <c r="Z103" t="e">
        <f ca="1"/>
        <v>#N/A</v>
      </c>
      <c r="AA103" t="e">
        <f ca="1"/>
        <v>#N/A</v>
      </c>
      <c r="AB103" t="e">
        <f ca="1"/>
        <v>#N/A</v>
      </c>
      <c r="AD103" s="2">
        <f t="shared" ca="1" si="12"/>
        <v>0</v>
      </c>
      <c r="AE103" s="46">
        <f t="shared" ca="1" si="13"/>
        <v>0</v>
      </c>
      <c r="AG103" s="72" t="e">
        <f t="shared" ca="1" si="17"/>
        <v>#N/A</v>
      </c>
      <c r="AH103" s="72" t="e">
        <f t="shared" ca="1" si="18"/>
        <v>#N/A</v>
      </c>
      <c r="AI103" s="3" t="e">
        <f t="shared" ca="1" si="19"/>
        <v>#N/A</v>
      </c>
    </row>
    <row r="104" spans="7:35" x14ac:dyDescent="0.25">
      <c r="G104" s="3">
        <f t="shared" ca="1" si="14"/>
        <v>104</v>
      </c>
      <c r="H104" s="104">
        <f t="shared" ca="1" si="16"/>
        <v>45029</v>
      </c>
      <c r="I104" s="131" t="e">
        <f>HLOOKUP($H$4,'Met Data'!$A$2:$F$368,G104,FALSE)</f>
        <v>#N/A</v>
      </c>
      <c r="J104" s="131" t="e">
        <f ca="1">HLOOKUP($H$4,'Met Data'!$H$2:$M$368,G104,FALSE)*L104</f>
        <v>#N/A</v>
      </c>
      <c r="K104" s="105" t="e">
        <f>HLOOKUP($H$4,'Met Data'!$O$2:$T$368,G104,FALSE)</f>
        <v>#N/A</v>
      </c>
      <c r="L104">
        <f t="shared" ca="1" si="10"/>
        <v>1</v>
      </c>
      <c r="N104" t="e">
        <f t="shared" ca="1" si="15"/>
        <v>#N/A</v>
      </c>
      <c r="O104" t="e">
        <f t="shared" ca="1" si="11"/>
        <v>#N/A</v>
      </c>
      <c r="P104" s="2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  <c r="V104" t="e">
        <f ca="1"/>
        <v>#N/A</v>
      </c>
      <c r="W104" t="e">
        <f ca="1"/>
        <v>#N/A</v>
      </c>
      <c r="X104" t="e">
        <f ca="1"/>
        <v>#N/A</v>
      </c>
      <c r="Y104" t="e">
        <f ca="1"/>
        <v>#N/A</v>
      </c>
      <c r="Z104" t="e">
        <f ca="1"/>
        <v>#N/A</v>
      </c>
      <c r="AA104" t="e">
        <f ca="1"/>
        <v>#N/A</v>
      </c>
      <c r="AB104" t="e">
        <f ca="1"/>
        <v>#N/A</v>
      </c>
      <c r="AD104" s="2">
        <f t="shared" ca="1" si="12"/>
        <v>0</v>
      </c>
      <c r="AE104" s="46">
        <f t="shared" ca="1" si="13"/>
        <v>0</v>
      </c>
      <c r="AG104" s="72" t="e">
        <f t="shared" ca="1" si="17"/>
        <v>#N/A</v>
      </c>
      <c r="AH104" s="72" t="e">
        <f t="shared" ca="1" si="18"/>
        <v>#N/A</v>
      </c>
      <c r="AI104" s="3" t="e">
        <f t="shared" ca="1" si="19"/>
        <v>#N/A</v>
      </c>
    </row>
    <row r="105" spans="7:35" x14ac:dyDescent="0.25">
      <c r="G105" s="3">
        <f t="shared" ca="1" si="14"/>
        <v>105</v>
      </c>
      <c r="H105" s="104">
        <f t="shared" ca="1" si="16"/>
        <v>45030</v>
      </c>
      <c r="I105" s="131" t="e">
        <f>HLOOKUP($H$4,'Met Data'!$A$2:$F$368,G105,FALSE)</f>
        <v>#N/A</v>
      </c>
      <c r="J105" s="131" t="e">
        <f ca="1">HLOOKUP($H$4,'Met Data'!$H$2:$M$368,G105,FALSE)*L105</f>
        <v>#N/A</v>
      </c>
      <c r="K105" s="105" t="e">
        <f>HLOOKUP($H$4,'Met Data'!$O$2:$T$368,G105,FALSE)</f>
        <v>#N/A</v>
      </c>
      <c r="L105">
        <f t="shared" ca="1" si="10"/>
        <v>1</v>
      </c>
      <c r="N105" t="e">
        <f t="shared" ca="1" si="15"/>
        <v>#N/A</v>
      </c>
      <c r="O105" t="e">
        <f t="shared" ca="1" si="11"/>
        <v>#N/A</v>
      </c>
      <c r="P105" s="2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  <c r="V105" t="e">
        <f ca="1"/>
        <v>#N/A</v>
      </c>
      <c r="W105" t="e">
        <f ca="1"/>
        <v>#N/A</v>
      </c>
      <c r="X105" t="e">
        <f ca="1"/>
        <v>#N/A</v>
      </c>
      <c r="Y105" t="e">
        <f ca="1"/>
        <v>#N/A</v>
      </c>
      <c r="Z105" t="e">
        <f ca="1"/>
        <v>#N/A</v>
      </c>
      <c r="AA105" t="e">
        <f ca="1"/>
        <v>#N/A</v>
      </c>
      <c r="AB105" t="e">
        <f ca="1"/>
        <v>#N/A</v>
      </c>
      <c r="AD105" s="2">
        <f t="shared" ca="1" si="12"/>
        <v>0</v>
      </c>
      <c r="AE105" s="46">
        <f t="shared" ca="1" si="13"/>
        <v>0</v>
      </c>
      <c r="AG105" s="72" t="e">
        <f t="shared" ca="1" si="17"/>
        <v>#N/A</v>
      </c>
      <c r="AH105" s="72" t="e">
        <f t="shared" ca="1" si="18"/>
        <v>#N/A</v>
      </c>
      <c r="AI105" s="3" t="e">
        <f t="shared" ca="1" si="19"/>
        <v>#N/A</v>
      </c>
    </row>
    <row r="106" spans="7:35" x14ac:dyDescent="0.25">
      <c r="G106" s="3">
        <f t="shared" ca="1" si="14"/>
        <v>106</v>
      </c>
      <c r="H106" s="104">
        <f t="shared" ca="1" si="16"/>
        <v>45031</v>
      </c>
      <c r="I106" s="131" t="e">
        <f>HLOOKUP($H$4,'Met Data'!$A$2:$F$368,G106,FALSE)</f>
        <v>#N/A</v>
      </c>
      <c r="J106" s="131" t="e">
        <f ca="1">HLOOKUP($H$4,'Met Data'!$H$2:$M$368,G106,FALSE)*L106</f>
        <v>#N/A</v>
      </c>
      <c r="K106" s="105" t="e">
        <f>HLOOKUP($H$4,'Met Data'!$O$2:$T$368,G106,FALSE)</f>
        <v>#N/A</v>
      </c>
      <c r="L106">
        <f t="shared" ca="1" si="10"/>
        <v>1</v>
      </c>
      <c r="N106" t="e">
        <f t="shared" ca="1" si="15"/>
        <v>#N/A</v>
      </c>
      <c r="O106" t="e">
        <f t="shared" ca="1" si="11"/>
        <v>#N/A</v>
      </c>
      <c r="P106" s="2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  <c r="V106" t="e">
        <f ca="1"/>
        <v>#N/A</v>
      </c>
      <c r="W106" t="e">
        <f ca="1"/>
        <v>#N/A</v>
      </c>
      <c r="X106" t="e">
        <f ca="1"/>
        <v>#N/A</v>
      </c>
      <c r="Y106" t="e">
        <f ca="1"/>
        <v>#N/A</v>
      </c>
      <c r="Z106" t="e">
        <f ca="1"/>
        <v>#N/A</v>
      </c>
      <c r="AA106" t="e">
        <f ca="1"/>
        <v>#N/A</v>
      </c>
      <c r="AB106" t="e">
        <f ca="1"/>
        <v>#N/A</v>
      </c>
      <c r="AD106" s="2">
        <f t="shared" ca="1" si="12"/>
        <v>0</v>
      </c>
      <c r="AE106" s="46">
        <f t="shared" ca="1" si="13"/>
        <v>0</v>
      </c>
      <c r="AG106" s="72" t="e">
        <f t="shared" ca="1" si="17"/>
        <v>#N/A</v>
      </c>
      <c r="AH106" s="72" t="e">
        <f t="shared" ca="1" si="18"/>
        <v>#N/A</v>
      </c>
      <c r="AI106" s="3" t="e">
        <f t="shared" ca="1" si="19"/>
        <v>#N/A</v>
      </c>
    </row>
    <row r="107" spans="7:35" x14ac:dyDescent="0.25">
      <c r="G107" s="3">
        <f t="shared" ca="1" si="14"/>
        <v>107</v>
      </c>
      <c r="H107" s="104">
        <f t="shared" ca="1" si="16"/>
        <v>45032</v>
      </c>
      <c r="I107" s="131" t="e">
        <f>HLOOKUP($H$4,'Met Data'!$A$2:$F$368,G107,FALSE)</f>
        <v>#N/A</v>
      </c>
      <c r="J107" s="131" t="e">
        <f ca="1">HLOOKUP($H$4,'Met Data'!$H$2:$M$368,G107,FALSE)*L107</f>
        <v>#N/A</v>
      </c>
      <c r="K107" s="105" t="e">
        <f>HLOOKUP($H$4,'Met Data'!$O$2:$T$368,G107,FALSE)</f>
        <v>#N/A</v>
      </c>
      <c r="L107">
        <f t="shared" ca="1" si="10"/>
        <v>1</v>
      </c>
      <c r="N107" t="e">
        <f t="shared" ca="1" si="15"/>
        <v>#N/A</v>
      </c>
      <c r="O107" t="e">
        <f t="shared" ca="1" si="11"/>
        <v>#N/A</v>
      </c>
      <c r="P107" s="2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  <c r="V107" t="e">
        <f ca="1"/>
        <v>#N/A</v>
      </c>
      <c r="W107" t="e">
        <f ca="1"/>
        <v>#N/A</v>
      </c>
      <c r="X107" t="e">
        <f ca="1"/>
        <v>#N/A</v>
      </c>
      <c r="Y107" t="e">
        <f ca="1"/>
        <v>#N/A</v>
      </c>
      <c r="Z107" t="e">
        <f ca="1"/>
        <v>#N/A</v>
      </c>
      <c r="AA107" t="e">
        <f ca="1"/>
        <v>#N/A</v>
      </c>
      <c r="AB107" t="e">
        <f ca="1"/>
        <v>#N/A</v>
      </c>
      <c r="AD107" s="2">
        <f t="shared" ca="1" si="12"/>
        <v>0</v>
      </c>
      <c r="AE107" s="46">
        <f t="shared" ca="1" si="13"/>
        <v>0</v>
      </c>
      <c r="AG107" s="72" t="e">
        <f t="shared" ca="1" si="17"/>
        <v>#N/A</v>
      </c>
      <c r="AH107" s="72" t="e">
        <f t="shared" ca="1" si="18"/>
        <v>#N/A</v>
      </c>
      <c r="AI107" s="3" t="e">
        <f t="shared" ca="1" si="19"/>
        <v>#N/A</v>
      </c>
    </row>
    <row r="108" spans="7:35" x14ac:dyDescent="0.25">
      <c r="G108" s="3">
        <f t="shared" ca="1" si="14"/>
        <v>108</v>
      </c>
      <c r="H108" s="104">
        <f t="shared" ca="1" si="16"/>
        <v>45033</v>
      </c>
      <c r="I108" s="131" t="e">
        <f>HLOOKUP($H$4,'Met Data'!$A$2:$F$368,G108,FALSE)</f>
        <v>#N/A</v>
      </c>
      <c r="J108" s="131" t="e">
        <f ca="1">HLOOKUP($H$4,'Met Data'!$H$2:$M$368,G108,FALSE)*L108</f>
        <v>#N/A</v>
      </c>
      <c r="K108" s="105" t="e">
        <f>HLOOKUP($H$4,'Met Data'!$O$2:$T$368,G108,FALSE)</f>
        <v>#N/A</v>
      </c>
      <c r="L108">
        <f t="shared" ca="1" si="10"/>
        <v>1</v>
      </c>
      <c r="N108" t="e">
        <f t="shared" ca="1" si="15"/>
        <v>#N/A</v>
      </c>
      <c r="O108" t="e">
        <f t="shared" ca="1" si="11"/>
        <v>#N/A</v>
      </c>
      <c r="P108" s="2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  <c r="V108" t="e">
        <f ca="1"/>
        <v>#N/A</v>
      </c>
      <c r="W108" t="e">
        <f ca="1"/>
        <v>#N/A</v>
      </c>
      <c r="X108" t="e">
        <f ca="1"/>
        <v>#N/A</v>
      </c>
      <c r="Y108" t="e">
        <f ca="1"/>
        <v>#N/A</v>
      </c>
      <c r="Z108" t="e">
        <f ca="1"/>
        <v>#N/A</v>
      </c>
      <c r="AA108" t="e">
        <f ca="1"/>
        <v>#N/A</v>
      </c>
      <c r="AB108" t="e">
        <f ca="1"/>
        <v>#N/A</v>
      </c>
      <c r="AD108" s="2">
        <f t="shared" ca="1" si="12"/>
        <v>0</v>
      </c>
      <c r="AE108" s="46">
        <f t="shared" ca="1" si="13"/>
        <v>0</v>
      </c>
      <c r="AG108" s="72" t="e">
        <f t="shared" ca="1" si="17"/>
        <v>#N/A</v>
      </c>
      <c r="AH108" s="72" t="e">
        <f t="shared" ca="1" si="18"/>
        <v>#N/A</v>
      </c>
      <c r="AI108" s="3" t="e">
        <f t="shared" ca="1" si="19"/>
        <v>#N/A</v>
      </c>
    </row>
    <row r="109" spans="7:35" x14ac:dyDescent="0.25">
      <c r="G109" s="3">
        <f t="shared" ca="1" si="14"/>
        <v>109</v>
      </c>
      <c r="H109" s="104">
        <f t="shared" ca="1" si="16"/>
        <v>45034</v>
      </c>
      <c r="I109" s="131" t="e">
        <f>HLOOKUP($H$4,'Met Data'!$A$2:$F$368,G109,FALSE)</f>
        <v>#N/A</v>
      </c>
      <c r="J109" s="131" t="e">
        <f ca="1">HLOOKUP($H$4,'Met Data'!$H$2:$M$368,G109,FALSE)*L109</f>
        <v>#N/A</v>
      </c>
      <c r="K109" s="105" t="e">
        <f>HLOOKUP($H$4,'Met Data'!$O$2:$T$368,G109,FALSE)</f>
        <v>#N/A</v>
      </c>
      <c r="L109">
        <f t="shared" ca="1" si="10"/>
        <v>1</v>
      </c>
      <c r="N109" t="e">
        <f t="shared" ca="1" si="15"/>
        <v>#N/A</v>
      </c>
      <c r="O109" t="e">
        <f t="shared" ca="1" si="11"/>
        <v>#N/A</v>
      </c>
      <c r="P109" s="2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  <c r="V109" t="e">
        <f ca="1"/>
        <v>#N/A</v>
      </c>
      <c r="W109" t="e">
        <f ca="1"/>
        <v>#N/A</v>
      </c>
      <c r="X109" t="e">
        <f ca="1"/>
        <v>#N/A</v>
      </c>
      <c r="Y109" t="e">
        <f ca="1"/>
        <v>#N/A</v>
      </c>
      <c r="Z109" t="e">
        <f ca="1"/>
        <v>#N/A</v>
      </c>
      <c r="AA109" t="e">
        <f ca="1"/>
        <v>#N/A</v>
      </c>
      <c r="AB109" t="e">
        <f ca="1"/>
        <v>#N/A</v>
      </c>
      <c r="AD109" s="2">
        <f t="shared" ca="1" si="12"/>
        <v>0</v>
      </c>
      <c r="AE109" s="46">
        <f t="shared" ca="1" si="13"/>
        <v>0</v>
      </c>
      <c r="AG109" s="72" t="e">
        <f t="shared" ca="1" si="17"/>
        <v>#N/A</v>
      </c>
      <c r="AH109" s="72" t="e">
        <f t="shared" ca="1" si="18"/>
        <v>#N/A</v>
      </c>
      <c r="AI109" s="3" t="e">
        <f t="shared" ca="1" si="19"/>
        <v>#N/A</v>
      </c>
    </row>
    <row r="110" spans="7:35" x14ac:dyDescent="0.25">
      <c r="G110" s="3">
        <f t="shared" ca="1" si="14"/>
        <v>110</v>
      </c>
      <c r="H110" s="104">
        <f t="shared" ca="1" si="16"/>
        <v>45035</v>
      </c>
      <c r="I110" s="131" t="e">
        <f>HLOOKUP($H$4,'Met Data'!$A$2:$F$368,G110,FALSE)</f>
        <v>#N/A</v>
      </c>
      <c r="J110" s="131" t="e">
        <f ca="1">HLOOKUP($H$4,'Met Data'!$H$2:$M$368,G110,FALSE)*L110</f>
        <v>#N/A</v>
      </c>
      <c r="K110" s="105" t="e">
        <f>HLOOKUP($H$4,'Met Data'!$O$2:$T$368,G110,FALSE)</f>
        <v>#N/A</v>
      </c>
      <c r="L110">
        <f t="shared" ca="1" si="10"/>
        <v>1</v>
      </c>
      <c r="N110" t="e">
        <f t="shared" ca="1" si="15"/>
        <v>#N/A</v>
      </c>
      <c r="O110" t="e">
        <f t="shared" ca="1" si="11"/>
        <v>#N/A</v>
      </c>
      <c r="P110" s="2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  <c r="V110" t="e">
        <f ca="1"/>
        <v>#N/A</v>
      </c>
      <c r="W110" t="e">
        <f ca="1"/>
        <v>#N/A</v>
      </c>
      <c r="X110" t="e">
        <f ca="1"/>
        <v>#N/A</v>
      </c>
      <c r="Y110" t="e">
        <f ca="1"/>
        <v>#N/A</v>
      </c>
      <c r="Z110" t="e">
        <f ca="1"/>
        <v>#N/A</v>
      </c>
      <c r="AA110" t="e">
        <f ca="1"/>
        <v>#N/A</v>
      </c>
      <c r="AB110" t="e">
        <f ca="1"/>
        <v>#N/A</v>
      </c>
      <c r="AD110" s="2">
        <f t="shared" ca="1" si="12"/>
        <v>0</v>
      </c>
      <c r="AE110" s="46">
        <f t="shared" ca="1" si="13"/>
        <v>0</v>
      </c>
      <c r="AG110" s="72" t="e">
        <f t="shared" ca="1" si="17"/>
        <v>#N/A</v>
      </c>
      <c r="AH110" s="72" t="e">
        <f t="shared" ca="1" si="18"/>
        <v>#N/A</v>
      </c>
      <c r="AI110" s="3" t="e">
        <f t="shared" ca="1" si="19"/>
        <v>#N/A</v>
      </c>
    </row>
    <row r="111" spans="7:35" x14ac:dyDescent="0.25">
      <c r="G111" s="3">
        <f t="shared" ca="1" si="14"/>
        <v>111</v>
      </c>
      <c r="H111" s="104">
        <f t="shared" ca="1" si="16"/>
        <v>45036</v>
      </c>
      <c r="I111" s="131" t="e">
        <f>HLOOKUP($H$4,'Met Data'!$A$2:$F$368,G111,FALSE)</f>
        <v>#N/A</v>
      </c>
      <c r="J111" s="131" t="e">
        <f ca="1">HLOOKUP($H$4,'Met Data'!$H$2:$M$368,G111,FALSE)*L111</f>
        <v>#N/A</v>
      </c>
      <c r="K111" s="105" t="e">
        <f>HLOOKUP($H$4,'Met Data'!$O$2:$T$368,G111,FALSE)</f>
        <v>#N/A</v>
      </c>
      <c r="L111">
        <f t="shared" ca="1" si="10"/>
        <v>1</v>
      </c>
      <c r="N111" t="e">
        <f t="shared" ca="1" si="15"/>
        <v>#N/A</v>
      </c>
      <c r="O111" t="e">
        <f t="shared" ca="1" si="11"/>
        <v>#N/A</v>
      </c>
      <c r="P111" s="2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  <c r="V111" t="e">
        <f ca="1"/>
        <v>#N/A</v>
      </c>
      <c r="W111" t="e">
        <f ca="1"/>
        <v>#N/A</v>
      </c>
      <c r="X111" t="e">
        <f ca="1"/>
        <v>#N/A</v>
      </c>
      <c r="Y111" t="e">
        <f ca="1"/>
        <v>#N/A</v>
      </c>
      <c r="Z111" t="e">
        <f ca="1"/>
        <v>#N/A</v>
      </c>
      <c r="AA111" t="e">
        <f ca="1"/>
        <v>#N/A</v>
      </c>
      <c r="AB111" t="e">
        <f ca="1"/>
        <v>#N/A</v>
      </c>
      <c r="AD111" s="2">
        <f t="shared" ca="1" si="12"/>
        <v>0</v>
      </c>
      <c r="AE111" s="46">
        <f t="shared" ca="1" si="13"/>
        <v>0</v>
      </c>
      <c r="AG111" s="72" t="e">
        <f t="shared" ca="1" si="17"/>
        <v>#N/A</v>
      </c>
      <c r="AH111" s="72" t="e">
        <f t="shared" ca="1" si="18"/>
        <v>#N/A</v>
      </c>
      <c r="AI111" s="3" t="e">
        <f t="shared" ca="1" si="19"/>
        <v>#N/A</v>
      </c>
    </row>
    <row r="112" spans="7:35" x14ac:dyDescent="0.25">
      <c r="G112" s="3">
        <f t="shared" ca="1" si="14"/>
        <v>112</v>
      </c>
      <c r="H112" s="104">
        <f t="shared" ca="1" si="16"/>
        <v>45037</v>
      </c>
      <c r="I112" s="131" t="e">
        <f>HLOOKUP($H$4,'Met Data'!$A$2:$F$368,G112,FALSE)</f>
        <v>#N/A</v>
      </c>
      <c r="J112" s="131" t="e">
        <f ca="1">HLOOKUP($H$4,'Met Data'!$H$2:$M$368,G112,FALSE)*L112</f>
        <v>#N/A</v>
      </c>
      <c r="K112" s="105" t="e">
        <f>HLOOKUP($H$4,'Met Data'!$O$2:$T$368,G112,FALSE)</f>
        <v>#N/A</v>
      </c>
      <c r="L112">
        <f t="shared" ca="1" si="10"/>
        <v>1</v>
      </c>
      <c r="N112" t="e">
        <f t="shared" ca="1" si="15"/>
        <v>#N/A</v>
      </c>
      <c r="O112" t="e">
        <f t="shared" ca="1" si="11"/>
        <v>#N/A</v>
      </c>
      <c r="P112" s="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  <c r="V112" t="e">
        <f ca="1"/>
        <v>#N/A</v>
      </c>
      <c r="W112" t="e">
        <f ca="1"/>
        <v>#N/A</v>
      </c>
      <c r="X112" t="e">
        <f ca="1"/>
        <v>#N/A</v>
      </c>
      <c r="Y112" t="e">
        <f ca="1"/>
        <v>#N/A</v>
      </c>
      <c r="Z112" t="e">
        <f ca="1"/>
        <v>#N/A</v>
      </c>
      <c r="AA112" t="e">
        <f ca="1"/>
        <v>#N/A</v>
      </c>
      <c r="AB112" t="e">
        <f ca="1"/>
        <v>#N/A</v>
      </c>
      <c r="AD112" s="2">
        <f t="shared" ca="1" si="12"/>
        <v>0</v>
      </c>
      <c r="AE112" s="46">
        <f t="shared" ca="1" si="13"/>
        <v>0</v>
      </c>
      <c r="AG112" s="72" t="e">
        <f t="shared" ca="1" si="17"/>
        <v>#N/A</v>
      </c>
      <c r="AH112" s="72" t="e">
        <f t="shared" ca="1" si="18"/>
        <v>#N/A</v>
      </c>
      <c r="AI112" s="3" t="e">
        <f t="shared" ca="1" si="19"/>
        <v>#N/A</v>
      </c>
    </row>
    <row r="113" spans="7:35" x14ac:dyDescent="0.25">
      <c r="G113" s="3">
        <f t="shared" ca="1" si="14"/>
        <v>113</v>
      </c>
      <c r="H113" s="104">
        <f t="shared" ca="1" si="16"/>
        <v>45038</v>
      </c>
      <c r="I113" s="131" t="e">
        <f>HLOOKUP($H$4,'Met Data'!$A$2:$F$368,G113,FALSE)</f>
        <v>#N/A</v>
      </c>
      <c r="J113" s="131" t="e">
        <f ca="1">HLOOKUP($H$4,'Met Data'!$H$2:$M$368,G113,FALSE)*L113</f>
        <v>#N/A</v>
      </c>
      <c r="K113" s="105" t="e">
        <f>HLOOKUP($H$4,'Met Data'!$O$2:$T$368,G113,FALSE)</f>
        <v>#N/A</v>
      </c>
      <c r="L113">
        <f t="shared" ca="1" si="10"/>
        <v>1</v>
      </c>
      <c r="N113" t="e">
        <f t="shared" ca="1" si="15"/>
        <v>#N/A</v>
      </c>
      <c r="O113" t="e">
        <f t="shared" ca="1" si="11"/>
        <v>#N/A</v>
      </c>
      <c r="P113" s="2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  <c r="V113" t="e">
        <f ca="1"/>
        <v>#N/A</v>
      </c>
      <c r="W113" t="e">
        <f ca="1"/>
        <v>#N/A</v>
      </c>
      <c r="X113" t="e">
        <f ca="1"/>
        <v>#N/A</v>
      </c>
      <c r="Y113" t="e">
        <f ca="1"/>
        <v>#N/A</v>
      </c>
      <c r="Z113" t="e">
        <f ca="1"/>
        <v>#N/A</v>
      </c>
      <c r="AA113" t="e">
        <f ca="1"/>
        <v>#N/A</v>
      </c>
      <c r="AB113" t="e">
        <f ca="1"/>
        <v>#N/A</v>
      </c>
      <c r="AD113" s="2">
        <f t="shared" ca="1" si="12"/>
        <v>0</v>
      </c>
      <c r="AE113" s="46">
        <f t="shared" ca="1" si="13"/>
        <v>0</v>
      </c>
      <c r="AG113" s="72" t="e">
        <f t="shared" ca="1" si="17"/>
        <v>#N/A</v>
      </c>
      <c r="AH113" s="72" t="e">
        <f t="shared" ca="1" si="18"/>
        <v>#N/A</v>
      </c>
      <c r="AI113" s="3" t="e">
        <f t="shared" ca="1" si="19"/>
        <v>#N/A</v>
      </c>
    </row>
    <row r="114" spans="7:35" x14ac:dyDescent="0.25">
      <c r="G114" s="3">
        <f t="shared" ca="1" si="14"/>
        <v>114</v>
      </c>
      <c r="H114" s="104">
        <f t="shared" ca="1" si="16"/>
        <v>45039</v>
      </c>
      <c r="I114" s="131" t="e">
        <f>HLOOKUP($H$4,'Met Data'!$A$2:$F$368,G114,FALSE)</f>
        <v>#N/A</v>
      </c>
      <c r="J114" s="131" t="e">
        <f ca="1">HLOOKUP($H$4,'Met Data'!$H$2:$M$368,G114,FALSE)*L114</f>
        <v>#N/A</v>
      </c>
      <c r="K114" s="105" t="e">
        <f>HLOOKUP($H$4,'Met Data'!$O$2:$T$368,G114,FALSE)</f>
        <v>#N/A</v>
      </c>
      <c r="L114">
        <f t="shared" ca="1" si="10"/>
        <v>1</v>
      </c>
      <c r="N114" t="e">
        <f t="shared" ca="1" si="15"/>
        <v>#N/A</v>
      </c>
      <c r="O114" t="e">
        <f t="shared" ca="1" si="11"/>
        <v>#N/A</v>
      </c>
      <c r="P114" s="2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  <c r="V114" t="e">
        <f ca="1"/>
        <v>#N/A</v>
      </c>
      <c r="W114" t="e">
        <f ca="1"/>
        <v>#N/A</v>
      </c>
      <c r="X114" t="e">
        <f ca="1"/>
        <v>#N/A</v>
      </c>
      <c r="Y114" t="e">
        <f ca="1"/>
        <v>#N/A</v>
      </c>
      <c r="Z114" t="e">
        <f ca="1"/>
        <v>#N/A</v>
      </c>
      <c r="AA114" t="e">
        <f ca="1"/>
        <v>#N/A</v>
      </c>
      <c r="AB114" t="e">
        <f ca="1"/>
        <v>#N/A</v>
      </c>
      <c r="AD114" s="2">
        <f t="shared" ca="1" si="12"/>
        <v>0</v>
      </c>
      <c r="AE114" s="46">
        <f t="shared" ca="1" si="13"/>
        <v>0</v>
      </c>
      <c r="AG114" s="72" t="e">
        <f t="shared" ca="1" si="17"/>
        <v>#N/A</v>
      </c>
      <c r="AH114" s="72" t="e">
        <f t="shared" ca="1" si="18"/>
        <v>#N/A</v>
      </c>
      <c r="AI114" s="3" t="e">
        <f t="shared" ca="1" si="19"/>
        <v>#N/A</v>
      </c>
    </row>
    <row r="115" spans="7:35" x14ac:dyDescent="0.25">
      <c r="G115" s="3">
        <f t="shared" ca="1" si="14"/>
        <v>115</v>
      </c>
      <c r="H115" s="104">
        <f t="shared" ca="1" si="16"/>
        <v>45040</v>
      </c>
      <c r="I115" s="131" t="e">
        <f>HLOOKUP($H$4,'Met Data'!$A$2:$F$368,G115,FALSE)</f>
        <v>#N/A</v>
      </c>
      <c r="J115" s="131" t="e">
        <f ca="1">HLOOKUP($H$4,'Met Data'!$H$2:$M$368,G115,FALSE)*L115</f>
        <v>#N/A</v>
      </c>
      <c r="K115" s="105" t="e">
        <f>HLOOKUP($H$4,'Met Data'!$O$2:$T$368,G115,FALSE)</f>
        <v>#N/A</v>
      </c>
      <c r="L115">
        <f t="shared" ca="1" si="10"/>
        <v>1</v>
      </c>
      <c r="N115" t="e">
        <f t="shared" ca="1" si="15"/>
        <v>#N/A</v>
      </c>
      <c r="O115" t="e">
        <f t="shared" ca="1" si="11"/>
        <v>#N/A</v>
      </c>
      <c r="P115" s="2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  <c r="V115" t="e">
        <f ca="1"/>
        <v>#N/A</v>
      </c>
      <c r="W115" t="e">
        <f ca="1"/>
        <v>#N/A</v>
      </c>
      <c r="X115" t="e">
        <f ca="1"/>
        <v>#N/A</v>
      </c>
      <c r="Y115" t="e">
        <f ca="1"/>
        <v>#N/A</v>
      </c>
      <c r="Z115" t="e">
        <f ca="1"/>
        <v>#N/A</v>
      </c>
      <c r="AA115" t="e">
        <f ca="1"/>
        <v>#N/A</v>
      </c>
      <c r="AB115" t="e">
        <f ca="1"/>
        <v>#N/A</v>
      </c>
      <c r="AD115" s="2">
        <f t="shared" ca="1" si="12"/>
        <v>0</v>
      </c>
      <c r="AE115" s="46">
        <f t="shared" ca="1" si="13"/>
        <v>0</v>
      </c>
      <c r="AG115" s="72" t="e">
        <f t="shared" ca="1" si="17"/>
        <v>#N/A</v>
      </c>
      <c r="AH115" s="72" t="e">
        <f t="shared" ca="1" si="18"/>
        <v>#N/A</v>
      </c>
      <c r="AI115" s="3" t="e">
        <f t="shared" ca="1" si="19"/>
        <v>#N/A</v>
      </c>
    </row>
    <row r="116" spans="7:35" x14ac:dyDescent="0.25">
      <c r="G116" s="3">
        <f t="shared" ca="1" si="14"/>
        <v>116</v>
      </c>
      <c r="H116" s="104">
        <f t="shared" ca="1" si="16"/>
        <v>45041</v>
      </c>
      <c r="I116" s="131" t="e">
        <f>HLOOKUP($H$4,'Met Data'!$A$2:$F$368,G116,FALSE)</f>
        <v>#N/A</v>
      </c>
      <c r="J116" s="131" t="e">
        <f ca="1">HLOOKUP($H$4,'Met Data'!$H$2:$M$368,G116,FALSE)*L116</f>
        <v>#N/A</v>
      </c>
      <c r="K116" s="105" t="e">
        <f>HLOOKUP($H$4,'Met Data'!$O$2:$T$368,G116,FALSE)</f>
        <v>#N/A</v>
      </c>
      <c r="L116">
        <f t="shared" ca="1" si="10"/>
        <v>1</v>
      </c>
      <c r="N116" t="e">
        <f t="shared" ca="1" si="15"/>
        <v>#N/A</v>
      </c>
      <c r="O116" t="e">
        <f t="shared" ca="1" si="11"/>
        <v>#N/A</v>
      </c>
      <c r="P116" s="2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  <c r="V116" t="e">
        <f ca="1"/>
        <v>#N/A</v>
      </c>
      <c r="W116" t="e">
        <f ca="1"/>
        <v>#N/A</v>
      </c>
      <c r="X116" t="e">
        <f ca="1"/>
        <v>#N/A</v>
      </c>
      <c r="Y116" t="e">
        <f ca="1"/>
        <v>#N/A</v>
      </c>
      <c r="Z116" t="e">
        <f ca="1"/>
        <v>#N/A</v>
      </c>
      <c r="AA116" t="e">
        <f ca="1"/>
        <v>#N/A</v>
      </c>
      <c r="AB116" t="e">
        <f ca="1"/>
        <v>#N/A</v>
      </c>
      <c r="AD116" s="2">
        <f t="shared" ca="1" si="12"/>
        <v>0</v>
      </c>
      <c r="AE116" s="46">
        <f t="shared" ca="1" si="13"/>
        <v>0</v>
      </c>
      <c r="AG116" s="72" t="e">
        <f t="shared" ca="1" si="17"/>
        <v>#N/A</v>
      </c>
      <c r="AH116" s="72" t="e">
        <f t="shared" ca="1" si="18"/>
        <v>#N/A</v>
      </c>
      <c r="AI116" s="3" t="e">
        <f t="shared" ca="1" si="19"/>
        <v>#N/A</v>
      </c>
    </row>
    <row r="117" spans="7:35" x14ac:dyDescent="0.25">
      <c r="G117" s="3">
        <f t="shared" ca="1" si="14"/>
        <v>117</v>
      </c>
      <c r="H117" s="104">
        <f t="shared" ca="1" si="16"/>
        <v>45042</v>
      </c>
      <c r="I117" s="131" t="e">
        <f>HLOOKUP($H$4,'Met Data'!$A$2:$F$368,G117,FALSE)</f>
        <v>#N/A</v>
      </c>
      <c r="J117" s="131" t="e">
        <f ca="1">HLOOKUP($H$4,'Met Data'!$H$2:$M$368,G117,FALSE)*L117</f>
        <v>#N/A</v>
      </c>
      <c r="K117" s="105" t="e">
        <f>HLOOKUP($H$4,'Met Data'!$O$2:$T$368,G117,FALSE)</f>
        <v>#N/A</v>
      </c>
      <c r="L117">
        <f t="shared" ca="1" si="10"/>
        <v>1</v>
      </c>
      <c r="N117" t="e">
        <f t="shared" ca="1" si="15"/>
        <v>#N/A</v>
      </c>
      <c r="O117" t="e">
        <f t="shared" ca="1" si="11"/>
        <v>#N/A</v>
      </c>
      <c r="P117" s="2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  <c r="V117" t="e">
        <f ca="1"/>
        <v>#N/A</v>
      </c>
      <c r="W117" t="e">
        <f ca="1"/>
        <v>#N/A</v>
      </c>
      <c r="X117" t="e">
        <f ca="1"/>
        <v>#N/A</v>
      </c>
      <c r="Y117" t="e">
        <f ca="1"/>
        <v>#N/A</v>
      </c>
      <c r="Z117" t="e">
        <f ca="1"/>
        <v>#N/A</v>
      </c>
      <c r="AA117" t="e">
        <f ca="1"/>
        <v>#N/A</v>
      </c>
      <c r="AB117" t="e">
        <f ca="1"/>
        <v>#N/A</v>
      </c>
      <c r="AD117" s="2">
        <f t="shared" ca="1" si="12"/>
        <v>0</v>
      </c>
      <c r="AE117" s="46">
        <f t="shared" ca="1" si="13"/>
        <v>0</v>
      </c>
      <c r="AG117" s="72" t="e">
        <f t="shared" ca="1" si="17"/>
        <v>#N/A</v>
      </c>
      <c r="AH117" s="72" t="e">
        <f t="shared" ca="1" si="18"/>
        <v>#N/A</v>
      </c>
      <c r="AI117" s="3" t="e">
        <f t="shared" ca="1" si="19"/>
        <v>#N/A</v>
      </c>
    </row>
    <row r="118" spans="7:35" x14ac:dyDescent="0.25">
      <c r="G118" s="3">
        <f t="shared" ca="1" si="14"/>
        <v>118</v>
      </c>
      <c r="H118" s="104">
        <f t="shared" ca="1" si="16"/>
        <v>45043</v>
      </c>
      <c r="I118" s="131" t="e">
        <f>HLOOKUP($H$4,'Met Data'!$A$2:$F$368,G118,FALSE)</f>
        <v>#N/A</v>
      </c>
      <c r="J118" s="131" t="e">
        <f ca="1">HLOOKUP($H$4,'Met Data'!$H$2:$M$368,G118,FALSE)*L118</f>
        <v>#N/A</v>
      </c>
      <c r="K118" s="105" t="e">
        <f>HLOOKUP($H$4,'Met Data'!$O$2:$T$368,G118,FALSE)</f>
        <v>#N/A</v>
      </c>
      <c r="L118">
        <f t="shared" ca="1" si="10"/>
        <v>1</v>
      </c>
      <c r="N118" t="e">
        <f t="shared" ca="1" si="15"/>
        <v>#N/A</v>
      </c>
      <c r="O118" t="e">
        <f t="shared" ca="1" si="11"/>
        <v>#N/A</v>
      </c>
      <c r="P118" s="2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  <c r="V118" t="e">
        <f ca="1"/>
        <v>#N/A</v>
      </c>
      <c r="W118" t="e">
        <f ca="1"/>
        <v>#N/A</v>
      </c>
      <c r="X118" t="e">
        <f ca="1"/>
        <v>#N/A</v>
      </c>
      <c r="Y118" t="e">
        <f ca="1"/>
        <v>#N/A</v>
      </c>
      <c r="Z118" t="e">
        <f ca="1"/>
        <v>#N/A</v>
      </c>
      <c r="AA118" t="e">
        <f ca="1"/>
        <v>#N/A</v>
      </c>
      <c r="AB118" t="e">
        <f ca="1"/>
        <v>#N/A</v>
      </c>
      <c r="AD118" s="2">
        <f t="shared" ca="1" si="12"/>
        <v>0</v>
      </c>
      <c r="AE118" s="46">
        <f t="shared" ca="1" si="13"/>
        <v>0</v>
      </c>
      <c r="AG118" s="72" t="e">
        <f t="shared" ca="1" si="17"/>
        <v>#N/A</v>
      </c>
      <c r="AH118" s="72" t="e">
        <f t="shared" ca="1" si="18"/>
        <v>#N/A</v>
      </c>
      <c r="AI118" s="3" t="e">
        <f t="shared" ca="1" si="19"/>
        <v>#N/A</v>
      </c>
    </row>
    <row r="119" spans="7:35" x14ac:dyDescent="0.25">
      <c r="G119" s="3">
        <f t="shared" ca="1" si="14"/>
        <v>119</v>
      </c>
      <c r="H119" s="104">
        <f t="shared" ca="1" si="16"/>
        <v>45044</v>
      </c>
      <c r="I119" s="131" t="e">
        <f>HLOOKUP($H$4,'Met Data'!$A$2:$F$368,G119,FALSE)</f>
        <v>#N/A</v>
      </c>
      <c r="J119" s="131" t="e">
        <f ca="1">HLOOKUP($H$4,'Met Data'!$H$2:$M$368,G119,FALSE)*L119</f>
        <v>#N/A</v>
      </c>
      <c r="K119" s="105" t="e">
        <f>HLOOKUP($H$4,'Met Data'!$O$2:$T$368,G119,FALSE)</f>
        <v>#N/A</v>
      </c>
      <c r="L119">
        <f t="shared" ca="1" si="10"/>
        <v>1</v>
      </c>
      <c r="N119" t="e">
        <f t="shared" ca="1" si="15"/>
        <v>#N/A</v>
      </c>
      <c r="O119" t="e">
        <f t="shared" ca="1" si="11"/>
        <v>#N/A</v>
      </c>
      <c r="P119" s="2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  <c r="V119" t="e">
        <f ca="1"/>
        <v>#N/A</v>
      </c>
      <c r="W119" t="e">
        <f ca="1"/>
        <v>#N/A</v>
      </c>
      <c r="X119" t="e">
        <f ca="1"/>
        <v>#N/A</v>
      </c>
      <c r="Y119" t="e">
        <f ca="1"/>
        <v>#N/A</v>
      </c>
      <c r="Z119" t="e">
        <f ca="1"/>
        <v>#N/A</v>
      </c>
      <c r="AA119" t="e">
        <f ca="1"/>
        <v>#N/A</v>
      </c>
      <c r="AB119" t="e">
        <f ca="1"/>
        <v>#N/A</v>
      </c>
      <c r="AD119" s="2">
        <f t="shared" ca="1" si="12"/>
        <v>0</v>
      </c>
      <c r="AE119" s="46">
        <f t="shared" ca="1" si="13"/>
        <v>0</v>
      </c>
      <c r="AG119" s="72" t="e">
        <f t="shared" ca="1" si="17"/>
        <v>#N/A</v>
      </c>
      <c r="AH119" s="72" t="e">
        <f t="shared" ca="1" si="18"/>
        <v>#N/A</v>
      </c>
      <c r="AI119" s="3" t="e">
        <f t="shared" ca="1" si="19"/>
        <v>#N/A</v>
      </c>
    </row>
    <row r="120" spans="7:35" x14ac:dyDescent="0.25">
      <c r="G120" s="3">
        <f t="shared" ca="1" si="14"/>
        <v>120</v>
      </c>
      <c r="H120" s="104">
        <f t="shared" ca="1" si="16"/>
        <v>45045</v>
      </c>
      <c r="I120" s="131" t="e">
        <f>HLOOKUP($H$4,'Met Data'!$A$2:$F$368,G120,FALSE)</f>
        <v>#N/A</v>
      </c>
      <c r="J120" s="131" t="e">
        <f ca="1">HLOOKUP($H$4,'Met Data'!$H$2:$M$368,G120,FALSE)*L120</f>
        <v>#N/A</v>
      </c>
      <c r="K120" s="105" t="e">
        <f>HLOOKUP($H$4,'Met Data'!$O$2:$T$368,G120,FALSE)</f>
        <v>#N/A</v>
      </c>
      <c r="L120">
        <f t="shared" ca="1" si="10"/>
        <v>1</v>
      </c>
      <c r="N120" t="e">
        <f t="shared" ca="1" si="15"/>
        <v>#N/A</v>
      </c>
      <c r="O120" t="e">
        <f t="shared" ca="1" si="11"/>
        <v>#N/A</v>
      </c>
      <c r="P120" s="2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  <c r="V120" t="e">
        <f ca="1"/>
        <v>#N/A</v>
      </c>
      <c r="W120" t="e">
        <f ca="1"/>
        <v>#N/A</v>
      </c>
      <c r="X120" t="e">
        <f ca="1"/>
        <v>#N/A</v>
      </c>
      <c r="Y120" t="e">
        <f ca="1"/>
        <v>#N/A</v>
      </c>
      <c r="Z120" t="e">
        <f ca="1"/>
        <v>#N/A</v>
      </c>
      <c r="AA120" t="e">
        <f ca="1"/>
        <v>#N/A</v>
      </c>
      <c r="AB120" t="e">
        <f ca="1"/>
        <v>#N/A</v>
      </c>
      <c r="AD120" s="2">
        <f t="shared" ca="1" si="12"/>
        <v>0</v>
      </c>
      <c r="AE120" s="46">
        <f t="shared" ca="1" si="13"/>
        <v>0</v>
      </c>
      <c r="AG120" s="72" t="e">
        <f t="shared" ca="1" si="17"/>
        <v>#N/A</v>
      </c>
      <c r="AH120" s="72" t="e">
        <f t="shared" ca="1" si="18"/>
        <v>#N/A</v>
      </c>
      <c r="AI120" s="3" t="e">
        <f t="shared" ca="1" si="19"/>
        <v>#N/A</v>
      </c>
    </row>
    <row r="121" spans="7:35" x14ac:dyDescent="0.25">
      <c r="G121" s="3">
        <f t="shared" ca="1" si="14"/>
        <v>121</v>
      </c>
      <c r="H121" s="104">
        <f t="shared" ca="1" si="16"/>
        <v>45046</v>
      </c>
      <c r="I121" s="131" t="e">
        <f>HLOOKUP($H$4,'Met Data'!$A$2:$F$368,G121,FALSE)</f>
        <v>#N/A</v>
      </c>
      <c r="J121" s="131" t="e">
        <f ca="1">HLOOKUP($H$4,'Met Data'!$H$2:$M$368,G121,FALSE)*L121</f>
        <v>#N/A</v>
      </c>
      <c r="K121" s="105" t="e">
        <f>HLOOKUP($H$4,'Met Data'!$O$2:$T$368,G121,FALSE)</f>
        <v>#N/A</v>
      </c>
      <c r="L121">
        <f t="shared" ca="1" si="10"/>
        <v>1</v>
      </c>
      <c r="N121" t="e">
        <f t="shared" ca="1" si="15"/>
        <v>#N/A</v>
      </c>
      <c r="O121" t="e">
        <f t="shared" ca="1" si="11"/>
        <v>#N/A</v>
      </c>
      <c r="P121" s="2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  <c r="V121" t="e">
        <f ca="1"/>
        <v>#N/A</v>
      </c>
      <c r="W121" t="e">
        <f ca="1"/>
        <v>#N/A</v>
      </c>
      <c r="X121" t="e">
        <f ca="1"/>
        <v>#N/A</v>
      </c>
      <c r="Y121" t="e">
        <f ca="1"/>
        <v>#N/A</v>
      </c>
      <c r="Z121" t="e">
        <f ca="1"/>
        <v>#N/A</v>
      </c>
      <c r="AA121" t="e">
        <f ca="1"/>
        <v>#N/A</v>
      </c>
      <c r="AB121" t="e">
        <f ca="1"/>
        <v>#N/A</v>
      </c>
      <c r="AD121" s="2">
        <f t="shared" ca="1" si="12"/>
        <v>0</v>
      </c>
      <c r="AE121" s="46">
        <f t="shared" ca="1" si="13"/>
        <v>0</v>
      </c>
      <c r="AG121" s="72" t="e">
        <f t="shared" ca="1" si="17"/>
        <v>#N/A</v>
      </c>
      <c r="AH121" s="72" t="e">
        <f t="shared" ca="1" si="18"/>
        <v>#N/A</v>
      </c>
      <c r="AI121" s="3" t="e">
        <f t="shared" ca="1" si="19"/>
        <v>#N/A</v>
      </c>
    </row>
    <row r="122" spans="7:35" x14ac:dyDescent="0.25">
      <c r="G122" s="3">
        <f t="shared" ca="1" si="14"/>
        <v>122</v>
      </c>
      <c r="H122" s="104">
        <f t="shared" ca="1" si="16"/>
        <v>45047</v>
      </c>
      <c r="I122" s="131" t="e">
        <f>HLOOKUP($H$4,'Met Data'!$A$2:$F$368,G122,FALSE)</f>
        <v>#N/A</v>
      </c>
      <c r="J122" s="131" t="e">
        <f ca="1">HLOOKUP($H$4,'Met Data'!$H$2:$M$368,G122,FALSE)*L122</f>
        <v>#N/A</v>
      </c>
      <c r="K122" s="105" t="e">
        <f>HLOOKUP($H$4,'Met Data'!$O$2:$T$368,G122,FALSE)</f>
        <v>#N/A</v>
      </c>
      <c r="L122">
        <f t="shared" ca="1" si="10"/>
        <v>1</v>
      </c>
      <c r="N122" t="e">
        <f t="shared" ca="1" si="15"/>
        <v>#N/A</v>
      </c>
      <c r="O122" t="e">
        <f t="shared" ca="1" si="11"/>
        <v>#N/A</v>
      </c>
      <c r="P122" s="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  <c r="V122" t="e">
        <f ca="1"/>
        <v>#N/A</v>
      </c>
      <c r="W122" t="e">
        <f ca="1"/>
        <v>#N/A</v>
      </c>
      <c r="X122" t="e">
        <f ca="1"/>
        <v>#N/A</v>
      </c>
      <c r="Y122" t="e">
        <f ca="1"/>
        <v>#N/A</v>
      </c>
      <c r="Z122" t="e">
        <f ca="1"/>
        <v>#N/A</v>
      </c>
      <c r="AA122" t="e">
        <f ca="1"/>
        <v>#N/A</v>
      </c>
      <c r="AB122" t="e">
        <f ca="1"/>
        <v>#N/A</v>
      </c>
      <c r="AD122" s="2">
        <f t="shared" ca="1" si="12"/>
        <v>0</v>
      </c>
      <c r="AE122" s="46">
        <f t="shared" ca="1" si="13"/>
        <v>0</v>
      </c>
      <c r="AG122" s="72" t="e">
        <f t="shared" ca="1" si="17"/>
        <v>#N/A</v>
      </c>
      <c r="AH122" s="72" t="e">
        <f t="shared" ca="1" si="18"/>
        <v>#N/A</v>
      </c>
      <c r="AI122" s="3" t="e">
        <f t="shared" ca="1" si="19"/>
        <v>#N/A</v>
      </c>
    </row>
    <row r="123" spans="7:35" x14ac:dyDescent="0.25">
      <c r="G123" s="3">
        <f t="shared" ca="1" si="14"/>
        <v>123</v>
      </c>
      <c r="H123" s="104">
        <f t="shared" ca="1" si="16"/>
        <v>45048</v>
      </c>
      <c r="I123" s="131" t="e">
        <f>HLOOKUP($H$4,'Met Data'!$A$2:$F$368,G123,FALSE)</f>
        <v>#N/A</v>
      </c>
      <c r="J123" s="131" t="e">
        <f ca="1">HLOOKUP($H$4,'Met Data'!$H$2:$M$368,G123,FALSE)*L123</f>
        <v>#N/A</v>
      </c>
      <c r="K123" s="105" t="e">
        <f>HLOOKUP($H$4,'Met Data'!$O$2:$T$368,G123,FALSE)</f>
        <v>#N/A</v>
      </c>
      <c r="L123">
        <f t="shared" ca="1" si="10"/>
        <v>1</v>
      </c>
      <c r="N123" t="e">
        <f t="shared" ca="1" si="15"/>
        <v>#N/A</v>
      </c>
      <c r="O123" t="e">
        <f t="shared" ca="1" si="11"/>
        <v>#N/A</v>
      </c>
      <c r="P123" s="2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  <c r="V123" t="e">
        <f ca="1"/>
        <v>#N/A</v>
      </c>
      <c r="W123" t="e">
        <f ca="1"/>
        <v>#N/A</v>
      </c>
      <c r="X123" t="e">
        <f ca="1"/>
        <v>#N/A</v>
      </c>
      <c r="Y123" t="e">
        <f ca="1"/>
        <v>#N/A</v>
      </c>
      <c r="Z123" t="e">
        <f ca="1"/>
        <v>#N/A</v>
      </c>
      <c r="AA123" t="e">
        <f ca="1"/>
        <v>#N/A</v>
      </c>
      <c r="AB123" t="e">
        <f ca="1"/>
        <v>#N/A</v>
      </c>
      <c r="AD123" s="2">
        <f t="shared" ca="1" si="12"/>
        <v>0</v>
      </c>
      <c r="AE123" s="46">
        <f t="shared" ca="1" si="13"/>
        <v>0</v>
      </c>
      <c r="AG123" s="72" t="e">
        <f t="shared" ca="1" si="17"/>
        <v>#N/A</v>
      </c>
      <c r="AH123" s="72" t="e">
        <f t="shared" ca="1" si="18"/>
        <v>#N/A</v>
      </c>
      <c r="AI123" s="3" t="e">
        <f t="shared" ca="1" si="19"/>
        <v>#N/A</v>
      </c>
    </row>
    <row r="124" spans="7:35" x14ac:dyDescent="0.25">
      <c r="G124" s="3">
        <f t="shared" ca="1" si="14"/>
        <v>124</v>
      </c>
      <c r="H124" s="104">
        <f t="shared" ca="1" si="16"/>
        <v>45049</v>
      </c>
      <c r="I124" s="131" t="e">
        <f>HLOOKUP($H$4,'Met Data'!$A$2:$F$368,G124,FALSE)</f>
        <v>#N/A</v>
      </c>
      <c r="J124" s="131" t="e">
        <f ca="1">HLOOKUP($H$4,'Met Data'!$H$2:$M$368,G124,FALSE)*L124</f>
        <v>#N/A</v>
      </c>
      <c r="K124" s="105" t="e">
        <f>HLOOKUP($H$4,'Met Data'!$O$2:$T$368,G124,FALSE)</f>
        <v>#N/A</v>
      </c>
      <c r="L124">
        <f t="shared" ca="1" si="10"/>
        <v>1</v>
      </c>
      <c r="N124" t="e">
        <f t="shared" ca="1" si="15"/>
        <v>#N/A</v>
      </c>
      <c r="O124" t="e">
        <f t="shared" ca="1" si="11"/>
        <v>#N/A</v>
      </c>
      <c r="P124" s="2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  <c r="V124" t="e">
        <f ca="1"/>
        <v>#N/A</v>
      </c>
      <c r="W124" t="e">
        <f ca="1"/>
        <v>#N/A</v>
      </c>
      <c r="X124" t="e">
        <f ca="1"/>
        <v>#N/A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D124" s="2">
        <f t="shared" ca="1" si="12"/>
        <v>0</v>
      </c>
      <c r="AE124" s="46">
        <f t="shared" ca="1" si="13"/>
        <v>0</v>
      </c>
      <c r="AG124" s="72" t="e">
        <f t="shared" ca="1" si="17"/>
        <v>#N/A</v>
      </c>
      <c r="AH124" s="72" t="e">
        <f t="shared" ca="1" si="18"/>
        <v>#N/A</v>
      </c>
      <c r="AI124" s="3" t="e">
        <f t="shared" ca="1" si="19"/>
        <v>#N/A</v>
      </c>
    </row>
    <row r="125" spans="7:35" x14ac:dyDescent="0.25">
      <c r="G125" s="3">
        <f t="shared" ca="1" si="14"/>
        <v>125</v>
      </c>
      <c r="H125" s="104">
        <f t="shared" ca="1" si="16"/>
        <v>45050</v>
      </c>
      <c r="I125" s="131" t="e">
        <f>HLOOKUP($H$4,'Met Data'!$A$2:$F$368,G125,FALSE)</f>
        <v>#N/A</v>
      </c>
      <c r="J125" s="131" t="e">
        <f ca="1">HLOOKUP($H$4,'Met Data'!$H$2:$M$368,G125,FALSE)*L125</f>
        <v>#N/A</v>
      </c>
      <c r="K125" s="105" t="e">
        <f>HLOOKUP($H$4,'Met Data'!$O$2:$T$368,G125,FALSE)</f>
        <v>#N/A</v>
      </c>
      <c r="L125">
        <f t="shared" ca="1" si="10"/>
        <v>1</v>
      </c>
      <c r="N125" t="e">
        <f t="shared" ca="1" si="15"/>
        <v>#N/A</v>
      </c>
      <c r="O125" t="e">
        <f t="shared" ca="1" si="11"/>
        <v>#N/A</v>
      </c>
      <c r="P125" s="2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  <c r="V125" t="e">
        <f ca="1"/>
        <v>#N/A</v>
      </c>
      <c r="W125" t="e">
        <f ca="1"/>
        <v>#N/A</v>
      </c>
      <c r="X125" t="e">
        <f ca="1"/>
        <v>#N/A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D125" s="2">
        <f t="shared" ca="1" si="12"/>
        <v>0</v>
      </c>
      <c r="AE125" s="46">
        <f t="shared" ca="1" si="13"/>
        <v>0</v>
      </c>
      <c r="AG125" s="72" t="e">
        <f t="shared" ca="1" si="17"/>
        <v>#N/A</v>
      </c>
      <c r="AH125" s="72" t="e">
        <f t="shared" ca="1" si="18"/>
        <v>#N/A</v>
      </c>
      <c r="AI125" s="3" t="e">
        <f t="shared" ca="1" si="19"/>
        <v>#N/A</v>
      </c>
    </row>
    <row r="126" spans="7:35" x14ac:dyDescent="0.25">
      <c r="G126" s="3">
        <f t="shared" ca="1" si="14"/>
        <v>126</v>
      </c>
      <c r="H126" s="104">
        <f t="shared" ca="1" si="16"/>
        <v>45051</v>
      </c>
      <c r="I126" s="131" t="e">
        <f>HLOOKUP($H$4,'Met Data'!$A$2:$F$368,G126,FALSE)</f>
        <v>#N/A</v>
      </c>
      <c r="J126" s="131" t="e">
        <f ca="1">HLOOKUP($H$4,'Met Data'!$H$2:$M$368,G126,FALSE)*L126</f>
        <v>#N/A</v>
      </c>
      <c r="K126" s="105" t="e">
        <f>HLOOKUP($H$4,'Met Data'!$O$2:$T$368,G126,FALSE)</f>
        <v>#N/A</v>
      </c>
      <c r="L126">
        <f t="shared" ca="1" si="10"/>
        <v>1</v>
      </c>
      <c r="N126" t="e">
        <f t="shared" ca="1" si="15"/>
        <v>#N/A</v>
      </c>
      <c r="O126" t="e">
        <f t="shared" ca="1" si="11"/>
        <v>#N/A</v>
      </c>
      <c r="P126" s="2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  <c r="V126" t="e">
        <f ca="1"/>
        <v>#N/A</v>
      </c>
      <c r="W126" t="e">
        <f ca="1"/>
        <v>#N/A</v>
      </c>
      <c r="X126" t="e">
        <f ca="1"/>
        <v>#N/A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D126" s="2">
        <f t="shared" ca="1" si="12"/>
        <v>0</v>
      </c>
      <c r="AE126" s="46">
        <f t="shared" ca="1" si="13"/>
        <v>0</v>
      </c>
      <c r="AG126" s="72" t="e">
        <f t="shared" ca="1" si="17"/>
        <v>#N/A</v>
      </c>
      <c r="AH126" s="72" t="e">
        <f t="shared" ca="1" si="18"/>
        <v>#N/A</v>
      </c>
      <c r="AI126" s="3" t="e">
        <f t="shared" ca="1" si="19"/>
        <v>#N/A</v>
      </c>
    </row>
    <row r="127" spans="7:35" x14ac:dyDescent="0.25">
      <c r="G127" s="3">
        <f t="shared" ca="1" si="14"/>
        <v>127</v>
      </c>
      <c r="H127" s="104">
        <f t="shared" ca="1" si="16"/>
        <v>45052</v>
      </c>
      <c r="I127" s="131" t="e">
        <f>HLOOKUP($H$4,'Met Data'!$A$2:$F$368,G127,FALSE)</f>
        <v>#N/A</v>
      </c>
      <c r="J127" s="131" t="e">
        <f ca="1">HLOOKUP($H$4,'Met Data'!$H$2:$M$368,G127,FALSE)*L127</f>
        <v>#N/A</v>
      </c>
      <c r="K127" s="105" t="e">
        <f>HLOOKUP($H$4,'Met Data'!$O$2:$T$368,G127,FALSE)</f>
        <v>#N/A</v>
      </c>
      <c r="L127">
        <f t="shared" ca="1" si="10"/>
        <v>1</v>
      </c>
      <c r="N127" t="e">
        <f t="shared" ca="1" si="15"/>
        <v>#N/A</v>
      </c>
      <c r="O127" t="e">
        <f t="shared" ca="1" si="11"/>
        <v>#N/A</v>
      </c>
      <c r="P127" s="2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  <c r="V127" t="e">
        <f ca="1"/>
        <v>#N/A</v>
      </c>
      <c r="W127" t="e">
        <f ca="1"/>
        <v>#N/A</v>
      </c>
      <c r="X127" t="e">
        <f ca="1"/>
        <v>#N/A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D127" s="2">
        <f t="shared" ca="1" si="12"/>
        <v>0</v>
      </c>
      <c r="AE127" s="46">
        <f t="shared" ca="1" si="13"/>
        <v>0</v>
      </c>
      <c r="AG127" s="72" t="e">
        <f t="shared" ca="1" si="17"/>
        <v>#N/A</v>
      </c>
      <c r="AH127" s="72" t="e">
        <f t="shared" ca="1" si="18"/>
        <v>#N/A</v>
      </c>
      <c r="AI127" s="3" t="e">
        <f t="shared" ca="1" si="19"/>
        <v>#N/A</v>
      </c>
    </row>
    <row r="128" spans="7:35" x14ac:dyDescent="0.25">
      <c r="G128" s="3">
        <f t="shared" ca="1" si="14"/>
        <v>128</v>
      </c>
      <c r="H128" s="104">
        <f t="shared" ca="1" si="16"/>
        <v>45053</v>
      </c>
      <c r="I128" s="131" t="e">
        <f>HLOOKUP($H$4,'Met Data'!$A$2:$F$368,G128,FALSE)</f>
        <v>#N/A</v>
      </c>
      <c r="J128" s="131" t="e">
        <f ca="1">HLOOKUP($H$4,'Met Data'!$H$2:$M$368,G128,FALSE)*L128</f>
        <v>#N/A</v>
      </c>
      <c r="K128" s="105" t="e">
        <f>HLOOKUP($H$4,'Met Data'!$O$2:$T$368,G128,FALSE)</f>
        <v>#N/A</v>
      </c>
      <c r="L128">
        <f t="shared" ca="1" si="10"/>
        <v>1</v>
      </c>
      <c r="N128" t="e">
        <f t="shared" ca="1" si="15"/>
        <v>#N/A</v>
      </c>
      <c r="O128" t="e">
        <f t="shared" ca="1" si="11"/>
        <v>#N/A</v>
      </c>
      <c r="P128" s="2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  <c r="V128" t="e">
        <f ca="1"/>
        <v>#N/A</v>
      </c>
      <c r="W128" t="e">
        <f ca="1"/>
        <v>#N/A</v>
      </c>
      <c r="X128" t="e">
        <f ca="1"/>
        <v>#N/A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D128" s="2">
        <f t="shared" ca="1" si="12"/>
        <v>0</v>
      </c>
      <c r="AE128" s="46">
        <f t="shared" ca="1" si="13"/>
        <v>0</v>
      </c>
      <c r="AG128" s="72" t="e">
        <f t="shared" ca="1" si="17"/>
        <v>#N/A</v>
      </c>
      <c r="AH128" s="72" t="e">
        <f t="shared" ca="1" si="18"/>
        <v>#N/A</v>
      </c>
      <c r="AI128" s="3" t="e">
        <f t="shared" ca="1" si="19"/>
        <v>#N/A</v>
      </c>
    </row>
    <row r="129" spans="7:35" x14ac:dyDescent="0.25">
      <c r="G129" s="3">
        <f t="shared" ca="1" si="14"/>
        <v>129</v>
      </c>
      <c r="H129" s="104">
        <f t="shared" ca="1" si="16"/>
        <v>45054</v>
      </c>
      <c r="I129" s="131" t="e">
        <f>HLOOKUP($H$4,'Met Data'!$A$2:$F$368,G129,FALSE)</f>
        <v>#N/A</v>
      </c>
      <c r="J129" s="131" t="e">
        <f ca="1">HLOOKUP($H$4,'Met Data'!$H$2:$M$368,G129,FALSE)*L129</f>
        <v>#N/A</v>
      </c>
      <c r="K129" s="105" t="e">
        <f>HLOOKUP($H$4,'Met Data'!$O$2:$T$368,G129,FALSE)</f>
        <v>#N/A</v>
      </c>
      <c r="L129">
        <f t="shared" ca="1" si="10"/>
        <v>1</v>
      </c>
      <c r="N129" t="e">
        <f t="shared" ca="1" si="15"/>
        <v>#N/A</v>
      </c>
      <c r="O129" t="e">
        <f t="shared" ca="1" si="11"/>
        <v>#N/A</v>
      </c>
      <c r="P129" s="2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D129" s="2">
        <f t="shared" ca="1" si="12"/>
        <v>0</v>
      </c>
      <c r="AE129" s="46">
        <f t="shared" ca="1" si="13"/>
        <v>0</v>
      </c>
      <c r="AG129" s="72" t="e">
        <f t="shared" ca="1" si="17"/>
        <v>#N/A</v>
      </c>
      <c r="AH129" s="72" t="e">
        <f t="shared" ca="1" si="18"/>
        <v>#N/A</v>
      </c>
      <c r="AI129" s="3" t="e">
        <f t="shared" ca="1" si="19"/>
        <v>#N/A</v>
      </c>
    </row>
    <row r="130" spans="7:35" x14ac:dyDescent="0.25">
      <c r="G130" s="3">
        <f t="shared" ca="1" si="14"/>
        <v>130</v>
      </c>
      <c r="H130" s="104">
        <f t="shared" ca="1" si="16"/>
        <v>45055</v>
      </c>
      <c r="I130" s="131" t="e">
        <f>HLOOKUP($H$4,'Met Data'!$A$2:$F$368,G130,FALSE)</f>
        <v>#N/A</v>
      </c>
      <c r="J130" s="131" t="e">
        <f ca="1">HLOOKUP($H$4,'Met Data'!$H$2:$M$368,G130,FALSE)*L130</f>
        <v>#N/A</v>
      </c>
      <c r="K130" s="105" t="e">
        <f>HLOOKUP($H$4,'Met Data'!$O$2:$T$368,G130,FALSE)</f>
        <v>#N/A</v>
      </c>
      <c r="L130">
        <f t="shared" ca="1" si="10"/>
        <v>1</v>
      </c>
      <c r="N130" t="e">
        <f t="shared" ca="1" si="15"/>
        <v>#N/A</v>
      </c>
      <c r="O130" t="e">
        <f t="shared" ca="1" si="11"/>
        <v>#N/A</v>
      </c>
      <c r="P130" s="2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D130" s="2">
        <f t="shared" ca="1" si="12"/>
        <v>0</v>
      </c>
      <c r="AE130" s="46">
        <f t="shared" ca="1" si="13"/>
        <v>0</v>
      </c>
      <c r="AG130" s="72" t="e">
        <f t="shared" ca="1" si="17"/>
        <v>#N/A</v>
      </c>
      <c r="AH130" s="72" t="e">
        <f t="shared" ca="1" si="18"/>
        <v>#N/A</v>
      </c>
      <c r="AI130" s="3" t="e">
        <f t="shared" ca="1" si="19"/>
        <v>#N/A</v>
      </c>
    </row>
    <row r="131" spans="7:35" x14ac:dyDescent="0.25">
      <c r="G131" s="3">
        <f t="shared" ca="1" si="14"/>
        <v>131</v>
      </c>
      <c r="H131" s="104">
        <f t="shared" ca="1" si="16"/>
        <v>45056</v>
      </c>
      <c r="I131" s="131" t="e">
        <f>HLOOKUP($H$4,'Met Data'!$A$2:$F$368,G131,FALSE)</f>
        <v>#N/A</v>
      </c>
      <c r="J131" s="131" t="e">
        <f ca="1">HLOOKUP($H$4,'Met Data'!$H$2:$M$368,G131,FALSE)*L131</f>
        <v>#N/A</v>
      </c>
      <c r="K131" s="105" t="e">
        <f>HLOOKUP($H$4,'Met Data'!$O$2:$T$368,G131,FALSE)</f>
        <v>#N/A</v>
      </c>
      <c r="L131">
        <f t="shared" ca="1" si="10"/>
        <v>1</v>
      </c>
      <c r="N131" t="e">
        <f t="shared" ca="1" si="15"/>
        <v>#N/A</v>
      </c>
      <c r="O131" t="e">
        <f t="shared" ca="1" si="11"/>
        <v>#N/A</v>
      </c>
      <c r="P131" s="2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D131" s="2">
        <f t="shared" ca="1" si="12"/>
        <v>0</v>
      </c>
      <c r="AE131" s="46">
        <f t="shared" ca="1" si="13"/>
        <v>0</v>
      </c>
      <c r="AG131" s="72" t="e">
        <f t="shared" ca="1" si="17"/>
        <v>#N/A</v>
      </c>
      <c r="AH131" s="72" t="e">
        <f t="shared" ca="1" si="18"/>
        <v>#N/A</v>
      </c>
      <c r="AI131" s="3" t="e">
        <f t="shared" ca="1" si="19"/>
        <v>#N/A</v>
      </c>
    </row>
    <row r="132" spans="7:35" x14ac:dyDescent="0.25">
      <c r="G132" s="3">
        <f t="shared" ca="1" si="14"/>
        <v>132</v>
      </c>
      <c r="H132" s="104">
        <f t="shared" ca="1" si="16"/>
        <v>45057</v>
      </c>
      <c r="I132" s="131" t="e">
        <f>HLOOKUP($H$4,'Met Data'!$A$2:$F$368,G132,FALSE)</f>
        <v>#N/A</v>
      </c>
      <c r="J132" s="131" t="e">
        <f ca="1">HLOOKUP($H$4,'Met Data'!$H$2:$M$368,G132,FALSE)*L132</f>
        <v>#N/A</v>
      </c>
      <c r="K132" s="105" t="e">
        <f>HLOOKUP($H$4,'Met Data'!$O$2:$T$368,G132,FALSE)</f>
        <v>#N/A</v>
      </c>
      <c r="L132">
        <f t="shared" ca="1" si="10"/>
        <v>1</v>
      </c>
      <c r="N132" t="e">
        <f t="shared" ca="1" si="15"/>
        <v>#N/A</v>
      </c>
      <c r="O132" t="e">
        <f t="shared" ca="1" si="11"/>
        <v>#N/A</v>
      </c>
      <c r="P132" s="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D132" s="2">
        <f t="shared" ca="1" si="12"/>
        <v>0</v>
      </c>
      <c r="AE132" s="46">
        <f t="shared" ca="1" si="13"/>
        <v>0</v>
      </c>
      <c r="AG132" s="72" t="e">
        <f t="shared" ca="1" si="17"/>
        <v>#N/A</v>
      </c>
      <c r="AH132" s="72" t="e">
        <f t="shared" ca="1" si="18"/>
        <v>#N/A</v>
      </c>
      <c r="AI132" s="3" t="e">
        <f t="shared" ca="1" si="19"/>
        <v>#N/A</v>
      </c>
    </row>
    <row r="133" spans="7:35" x14ac:dyDescent="0.25">
      <c r="G133" s="3">
        <f t="shared" ca="1" si="14"/>
        <v>133</v>
      </c>
      <c r="H133" s="104">
        <f t="shared" ca="1" si="16"/>
        <v>45058</v>
      </c>
      <c r="I133" s="131" t="e">
        <f>HLOOKUP($H$4,'Met Data'!$A$2:$F$368,G133,FALSE)</f>
        <v>#N/A</v>
      </c>
      <c r="J133" s="131" t="e">
        <f ca="1">HLOOKUP($H$4,'Met Data'!$H$2:$M$368,G133,FALSE)*L133</f>
        <v>#N/A</v>
      </c>
      <c r="K133" s="105" t="e">
        <f>HLOOKUP($H$4,'Met Data'!$O$2:$T$368,G133,FALSE)</f>
        <v>#N/A</v>
      </c>
      <c r="L133">
        <f t="shared" ca="1" si="10"/>
        <v>1</v>
      </c>
      <c r="N133" t="e">
        <f t="shared" ca="1" si="15"/>
        <v>#N/A</v>
      </c>
      <c r="O133" t="e">
        <f t="shared" ca="1" si="11"/>
        <v>#N/A</v>
      </c>
      <c r="P133" s="2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D133" s="2">
        <f t="shared" ca="1" si="12"/>
        <v>0</v>
      </c>
      <c r="AE133" s="46">
        <f t="shared" ca="1" si="13"/>
        <v>0</v>
      </c>
      <c r="AG133" s="72" t="e">
        <f t="shared" ca="1" si="17"/>
        <v>#N/A</v>
      </c>
      <c r="AH133" s="72" t="e">
        <f t="shared" ca="1" si="18"/>
        <v>#N/A</v>
      </c>
      <c r="AI133" s="3" t="e">
        <f t="shared" ca="1" si="19"/>
        <v>#N/A</v>
      </c>
    </row>
    <row r="134" spans="7:35" x14ac:dyDescent="0.25">
      <c r="G134" s="3">
        <f t="shared" ca="1" si="14"/>
        <v>134</v>
      </c>
      <c r="H134" s="104">
        <f t="shared" ca="1" si="16"/>
        <v>45059</v>
      </c>
      <c r="I134" s="131" t="e">
        <f>HLOOKUP($H$4,'Met Data'!$A$2:$F$368,G134,FALSE)</f>
        <v>#N/A</v>
      </c>
      <c r="J134" s="131" t="e">
        <f ca="1">HLOOKUP($H$4,'Met Data'!$H$2:$M$368,G134,FALSE)*L134</f>
        <v>#N/A</v>
      </c>
      <c r="K134" s="105" t="e">
        <f>HLOOKUP($H$4,'Met Data'!$O$2:$T$368,G134,FALSE)</f>
        <v>#N/A</v>
      </c>
      <c r="L134">
        <f t="shared" ref="L134:L197" ca="1" si="20">IF(H134&lt;$B$31,$J$3,$J$4)</f>
        <v>1</v>
      </c>
      <c r="N134" t="e">
        <f t="shared" ca="1" si="15"/>
        <v>#N/A</v>
      </c>
      <c r="O134" t="e">
        <f t="shared" ref="O134:O197" ca="1" si="21">AND(IF(P134&gt;($P$2-1),TRUE,FALSE),IF(P134&lt;($P$3+1),TRUE,FALSE))</f>
        <v>#N/A</v>
      </c>
      <c r="P134" s="2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D134" s="2">
        <f t="shared" ref="AD134:AD197" ca="1" si="22">IFERROR(P134,$AD$4)</f>
        <v>0</v>
      </c>
      <c r="AE134" s="46">
        <f t="shared" ref="AE134:AE197" ca="1" si="23">IFERROR(U134,0)</f>
        <v>0</v>
      </c>
      <c r="AG134" s="72" t="e">
        <f t="shared" ca="1" si="17"/>
        <v>#N/A</v>
      </c>
      <c r="AH134" s="72" t="e">
        <f t="shared" ca="1" si="18"/>
        <v>#N/A</v>
      </c>
      <c r="AI134" s="3" t="e">
        <f t="shared" ca="1" si="19"/>
        <v>#N/A</v>
      </c>
    </row>
    <row r="135" spans="7:35" x14ac:dyDescent="0.25">
      <c r="G135" s="3">
        <f t="shared" ref="G135:G198" ca="1" si="24">H135-DATE(YEAR(H135),1,0)+1</f>
        <v>135</v>
      </c>
      <c r="H135" s="104">
        <f t="shared" ca="1" si="16"/>
        <v>45060</v>
      </c>
      <c r="I135" s="131" t="e">
        <f>HLOOKUP($H$4,'Met Data'!$A$2:$F$368,G135,FALSE)</f>
        <v>#N/A</v>
      </c>
      <c r="J135" s="131" t="e">
        <f ca="1">HLOOKUP($H$4,'Met Data'!$H$2:$M$368,G135,FALSE)*L135</f>
        <v>#N/A</v>
      </c>
      <c r="K135" s="105" t="e">
        <f>HLOOKUP($H$4,'Met Data'!$O$2:$T$368,G135,FALSE)</f>
        <v>#N/A</v>
      </c>
      <c r="L135">
        <f t="shared" ca="1" si="20"/>
        <v>1</v>
      </c>
      <c r="N135" t="e">
        <f t="shared" ref="N135:N198" ca="1" si="25">IF(P135&lt;$P$3,TRUE,FALSE)</f>
        <v>#N/A</v>
      </c>
      <c r="O135" t="e">
        <f t="shared" ca="1" si="21"/>
        <v>#N/A</v>
      </c>
      <c r="P135" s="2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D135" s="2">
        <f t="shared" ca="1" si="22"/>
        <v>0</v>
      </c>
      <c r="AE135" s="46">
        <f t="shared" ca="1" si="23"/>
        <v>0</v>
      </c>
      <c r="AG135" s="72" t="e">
        <f t="shared" ca="1" si="17"/>
        <v>#N/A</v>
      </c>
      <c r="AH135" s="72" t="e">
        <f t="shared" ca="1" si="18"/>
        <v>#N/A</v>
      </c>
      <c r="AI135" s="3" t="e">
        <f t="shared" ca="1" si="19"/>
        <v>#N/A</v>
      </c>
    </row>
    <row r="136" spans="7:35" x14ac:dyDescent="0.25">
      <c r="G136" s="3">
        <f t="shared" ca="1" si="24"/>
        <v>136</v>
      </c>
      <c r="H136" s="104">
        <f t="shared" ref="H136:H199" ca="1" si="26">H135+1</f>
        <v>45061</v>
      </c>
      <c r="I136" s="131" t="e">
        <f>HLOOKUP($H$4,'Met Data'!$A$2:$F$368,G136,FALSE)</f>
        <v>#N/A</v>
      </c>
      <c r="J136" s="131" t="e">
        <f ca="1">HLOOKUP($H$4,'Met Data'!$H$2:$M$368,G136,FALSE)*L136</f>
        <v>#N/A</v>
      </c>
      <c r="K136" s="105" t="e">
        <f>HLOOKUP($H$4,'Met Data'!$O$2:$T$368,G136,FALSE)</f>
        <v>#N/A</v>
      </c>
      <c r="L136">
        <f t="shared" ca="1" si="20"/>
        <v>1</v>
      </c>
      <c r="N136" t="e">
        <f t="shared" ca="1" si="25"/>
        <v>#N/A</v>
      </c>
      <c r="O136" t="e">
        <f t="shared" ca="1" si="21"/>
        <v>#N/A</v>
      </c>
      <c r="P136" s="2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D136" s="2">
        <f t="shared" ca="1" si="22"/>
        <v>0</v>
      </c>
      <c r="AE136" s="46">
        <f t="shared" ca="1" si="23"/>
        <v>0</v>
      </c>
      <c r="AG136" s="72" t="e">
        <f t="shared" ref="AG136:AG199" ca="1" si="27">Q135+S136+T136+U136</f>
        <v>#N/A</v>
      </c>
      <c r="AH136" s="72" t="e">
        <f t="shared" ref="AH136:AH199" ca="1" si="28">Q136+R136+X136</f>
        <v>#N/A</v>
      </c>
      <c r="AI136" s="3" t="e">
        <f t="shared" ref="AI136:AI199" ca="1" si="29">AH136-AG136</f>
        <v>#N/A</v>
      </c>
    </row>
    <row r="137" spans="7:35" x14ac:dyDescent="0.25">
      <c r="G137" s="3">
        <f t="shared" ca="1" si="24"/>
        <v>137</v>
      </c>
      <c r="H137" s="104">
        <f t="shared" ca="1" si="26"/>
        <v>45062</v>
      </c>
      <c r="I137" s="131" t="e">
        <f>HLOOKUP($H$4,'Met Data'!$A$2:$F$368,G137,FALSE)</f>
        <v>#N/A</v>
      </c>
      <c r="J137" s="131" t="e">
        <f ca="1">HLOOKUP($H$4,'Met Data'!$H$2:$M$368,G137,FALSE)*L137</f>
        <v>#N/A</v>
      </c>
      <c r="K137" s="105" t="e">
        <f>HLOOKUP($H$4,'Met Data'!$O$2:$T$368,G137,FALSE)</f>
        <v>#N/A</v>
      </c>
      <c r="L137">
        <f t="shared" ca="1" si="20"/>
        <v>1</v>
      </c>
      <c r="N137" t="e">
        <f t="shared" ca="1" si="25"/>
        <v>#N/A</v>
      </c>
      <c r="O137" t="e">
        <f t="shared" ca="1" si="21"/>
        <v>#N/A</v>
      </c>
      <c r="P137" s="2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  <c r="V137" t="e">
        <f ca="1"/>
        <v>#N/A</v>
      </c>
      <c r="W137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D137" s="2">
        <f t="shared" ca="1" si="22"/>
        <v>0</v>
      </c>
      <c r="AE137" s="46">
        <f t="shared" ca="1" si="23"/>
        <v>0</v>
      </c>
      <c r="AG137" s="72" t="e">
        <f t="shared" ca="1" si="27"/>
        <v>#N/A</v>
      </c>
      <c r="AH137" s="72" t="e">
        <f t="shared" ca="1" si="28"/>
        <v>#N/A</v>
      </c>
      <c r="AI137" s="3" t="e">
        <f t="shared" ca="1" si="29"/>
        <v>#N/A</v>
      </c>
    </row>
    <row r="138" spans="7:35" x14ac:dyDescent="0.25">
      <c r="G138" s="3">
        <f t="shared" ca="1" si="24"/>
        <v>138</v>
      </c>
      <c r="H138" s="104">
        <f t="shared" ca="1" si="26"/>
        <v>45063</v>
      </c>
      <c r="I138" s="131" t="e">
        <f>HLOOKUP($H$4,'Met Data'!$A$2:$F$368,G138,FALSE)</f>
        <v>#N/A</v>
      </c>
      <c r="J138" s="131" t="e">
        <f ca="1">HLOOKUP($H$4,'Met Data'!$H$2:$M$368,G138,FALSE)*L138</f>
        <v>#N/A</v>
      </c>
      <c r="K138" s="105" t="e">
        <f>HLOOKUP($H$4,'Met Data'!$O$2:$T$368,G138,FALSE)</f>
        <v>#N/A</v>
      </c>
      <c r="L138">
        <f t="shared" ca="1" si="20"/>
        <v>1</v>
      </c>
      <c r="N138" t="e">
        <f t="shared" ca="1" si="25"/>
        <v>#N/A</v>
      </c>
      <c r="O138" t="e">
        <f t="shared" ca="1" si="21"/>
        <v>#N/A</v>
      </c>
      <c r="P138" s="2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  <c r="V138" t="e">
        <f ca="1"/>
        <v>#N/A</v>
      </c>
      <c r="W138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D138" s="2">
        <f t="shared" ca="1" si="22"/>
        <v>0</v>
      </c>
      <c r="AE138" s="46">
        <f t="shared" ca="1" si="23"/>
        <v>0</v>
      </c>
      <c r="AG138" s="72" t="e">
        <f t="shared" ca="1" si="27"/>
        <v>#N/A</v>
      </c>
      <c r="AH138" s="72" t="e">
        <f t="shared" ca="1" si="28"/>
        <v>#N/A</v>
      </c>
      <c r="AI138" s="3" t="e">
        <f t="shared" ca="1" si="29"/>
        <v>#N/A</v>
      </c>
    </row>
    <row r="139" spans="7:35" x14ac:dyDescent="0.25">
      <c r="G139" s="3">
        <f t="shared" ca="1" si="24"/>
        <v>139</v>
      </c>
      <c r="H139" s="104">
        <f t="shared" ca="1" si="26"/>
        <v>45064</v>
      </c>
      <c r="I139" s="131" t="e">
        <f>HLOOKUP($H$4,'Met Data'!$A$2:$F$368,G139,FALSE)</f>
        <v>#N/A</v>
      </c>
      <c r="J139" s="131" t="e">
        <f ca="1">HLOOKUP($H$4,'Met Data'!$H$2:$M$368,G139,FALSE)*L139</f>
        <v>#N/A</v>
      </c>
      <c r="K139" s="105" t="e">
        <f>HLOOKUP($H$4,'Met Data'!$O$2:$T$368,G139,FALSE)</f>
        <v>#N/A</v>
      </c>
      <c r="L139">
        <f t="shared" ca="1" si="20"/>
        <v>1</v>
      </c>
      <c r="N139" t="e">
        <f t="shared" ca="1" si="25"/>
        <v>#N/A</v>
      </c>
      <c r="O139" t="e">
        <f t="shared" ca="1" si="21"/>
        <v>#N/A</v>
      </c>
      <c r="P139" s="2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  <c r="V139" t="e">
        <f ca="1"/>
        <v>#N/A</v>
      </c>
      <c r="W139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D139" s="2">
        <f t="shared" ca="1" si="22"/>
        <v>0</v>
      </c>
      <c r="AE139" s="46">
        <f t="shared" ca="1" si="23"/>
        <v>0</v>
      </c>
      <c r="AG139" s="72" t="e">
        <f t="shared" ca="1" si="27"/>
        <v>#N/A</v>
      </c>
      <c r="AH139" s="72" t="e">
        <f t="shared" ca="1" si="28"/>
        <v>#N/A</v>
      </c>
      <c r="AI139" s="3" t="e">
        <f t="shared" ca="1" si="29"/>
        <v>#N/A</v>
      </c>
    </row>
    <row r="140" spans="7:35" x14ac:dyDescent="0.25">
      <c r="G140" s="3">
        <f t="shared" ca="1" si="24"/>
        <v>140</v>
      </c>
      <c r="H140" s="104">
        <f t="shared" ca="1" si="26"/>
        <v>45065</v>
      </c>
      <c r="I140" s="131" t="e">
        <f>HLOOKUP($H$4,'Met Data'!$A$2:$F$368,G140,FALSE)</f>
        <v>#N/A</v>
      </c>
      <c r="J140" s="131" t="e">
        <f ca="1">HLOOKUP($H$4,'Met Data'!$H$2:$M$368,G140,FALSE)*L140</f>
        <v>#N/A</v>
      </c>
      <c r="K140" s="105" t="e">
        <f>HLOOKUP($H$4,'Met Data'!$O$2:$T$368,G140,FALSE)</f>
        <v>#N/A</v>
      </c>
      <c r="L140">
        <f t="shared" ca="1" si="20"/>
        <v>1</v>
      </c>
      <c r="N140" t="e">
        <f t="shared" ca="1" si="25"/>
        <v>#N/A</v>
      </c>
      <c r="O140" t="e">
        <f t="shared" ca="1" si="21"/>
        <v>#N/A</v>
      </c>
      <c r="P140" s="2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  <c r="V140" t="e">
        <f ca="1"/>
        <v>#N/A</v>
      </c>
      <c r="W14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D140" s="2">
        <f t="shared" ca="1" si="22"/>
        <v>0</v>
      </c>
      <c r="AE140" s="46">
        <f t="shared" ca="1" si="23"/>
        <v>0</v>
      </c>
      <c r="AG140" s="72" t="e">
        <f t="shared" ca="1" si="27"/>
        <v>#N/A</v>
      </c>
      <c r="AH140" s="72" t="e">
        <f t="shared" ca="1" si="28"/>
        <v>#N/A</v>
      </c>
      <c r="AI140" s="3" t="e">
        <f t="shared" ca="1" si="29"/>
        <v>#N/A</v>
      </c>
    </row>
    <row r="141" spans="7:35" x14ac:dyDescent="0.25">
      <c r="G141" s="3">
        <f t="shared" ca="1" si="24"/>
        <v>141</v>
      </c>
      <c r="H141" s="104">
        <f t="shared" ca="1" si="26"/>
        <v>45066</v>
      </c>
      <c r="I141" s="131" t="e">
        <f>HLOOKUP($H$4,'Met Data'!$A$2:$F$368,G141,FALSE)</f>
        <v>#N/A</v>
      </c>
      <c r="J141" s="131" t="e">
        <f ca="1">HLOOKUP($H$4,'Met Data'!$H$2:$M$368,G141,FALSE)*L141</f>
        <v>#N/A</v>
      </c>
      <c r="K141" s="105" t="e">
        <f>HLOOKUP($H$4,'Met Data'!$O$2:$T$368,G141,FALSE)</f>
        <v>#N/A</v>
      </c>
      <c r="L141">
        <f t="shared" ca="1" si="20"/>
        <v>1</v>
      </c>
      <c r="N141" t="e">
        <f t="shared" ca="1" si="25"/>
        <v>#N/A</v>
      </c>
      <c r="O141" t="e">
        <f t="shared" ca="1" si="21"/>
        <v>#N/A</v>
      </c>
      <c r="P141" s="2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  <c r="V141" t="e">
        <f ca="1"/>
        <v>#N/A</v>
      </c>
      <c r="W141" t="e">
        <f ca="1"/>
        <v>#N/A</v>
      </c>
      <c r="X141" t="e">
        <f ca="1"/>
        <v>#N/A</v>
      </c>
      <c r="Y141" t="e">
        <f ca="1"/>
        <v>#N/A</v>
      </c>
      <c r="Z141" t="e">
        <f ca="1"/>
        <v>#N/A</v>
      </c>
      <c r="AA141" t="e">
        <f ca="1"/>
        <v>#N/A</v>
      </c>
      <c r="AB141" t="e">
        <f ca="1"/>
        <v>#N/A</v>
      </c>
      <c r="AD141" s="2">
        <f t="shared" ca="1" si="22"/>
        <v>0</v>
      </c>
      <c r="AE141" s="46">
        <f t="shared" ca="1" si="23"/>
        <v>0</v>
      </c>
      <c r="AG141" s="72" t="e">
        <f t="shared" ca="1" si="27"/>
        <v>#N/A</v>
      </c>
      <c r="AH141" s="72" t="e">
        <f t="shared" ca="1" si="28"/>
        <v>#N/A</v>
      </c>
      <c r="AI141" s="3" t="e">
        <f t="shared" ca="1" si="29"/>
        <v>#N/A</v>
      </c>
    </row>
    <row r="142" spans="7:35" x14ac:dyDescent="0.25">
      <c r="G142" s="3">
        <f t="shared" ca="1" si="24"/>
        <v>142</v>
      </c>
      <c r="H142" s="104">
        <f t="shared" ca="1" si="26"/>
        <v>45067</v>
      </c>
      <c r="I142" s="131" t="e">
        <f>HLOOKUP($H$4,'Met Data'!$A$2:$F$368,G142,FALSE)</f>
        <v>#N/A</v>
      </c>
      <c r="J142" s="131" t="e">
        <f ca="1">HLOOKUP($H$4,'Met Data'!$H$2:$M$368,G142,FALSE)*L142</f>
        <v>#N/A</v>
      </c>
      <c r="K142" s="105" t="e">
        <f>HLOOKUP($H$4,'Met Data'!$O$2:$T$368,G142,FALSE)</f>
        <v>#N/A</v>
      </c>
      <c r="L142">
        <f t="shared" ca="1" si="20"/>
        <v>1</v>
      </c>
      <c r="N142" t="e">
        <f t="shared" ca="1" si="25"/>
        <v>#N/A</v>
      </c>
      <c r="O142" t="e">
        <f t="shared" ca="1" si="21"/>
        <v>#N/A</v>
      </c>
      <c r="P142" s="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  <c r="V142" t="e">
        <f ca="1"/>
        <v>#N/A</v>
      </c>
      <c r="W142" t="e">
        <f ca="1"/>
        <v>#N/A</v>
      </c>
      <c r="X142" t="e">
        <f ca="1"/>
        <v>#N/A</v>
      </c>
      <c r="Y142" t="e">
        <f ca="1"/>
        <v>#N/A</v>
      </c>
      <c r="Z142" t="e">
        <f ca="1"/>
        <v>#N/A</v>
      </c>
      <c r="AA142" t="e">
        <f ca="1"/>
        <v>#N/A</v>
      </c>
      <c r="AB142" t="e">
        <f ca="1"/>
        <v>#N/A</v>
      </c>
      <c r="AD142" s="2">
        <f t="shared" ca="1" si="22"/>
        <v>0</v>
      </c>
      <c r="AE142" s="46">
        <f t="shared" ca="1" si="23"/>
        <v>0</v>
      </c>
      <c r="AG142" s="72" t="e">
        <f t="shared" ca="1" si="27"/>
        <v>#N/A</v>
      </c>
      <c r="AH142" s="72" t="e">
        <f t="shared" ca="1" si="28"/>
        <v>#N/A</v>
      </c>
      <c r="AI142" s="3" t="e">
        <f t="shared" ca="1" si="29"/>
        <v>#N/A</v>
      </c>
    </row>
    <row r="143" spans="7:35" x14ac:dyDescent="0.25">
      <c r="G143" s="3">
        <f t="shared" ca="1" si="24"/>
        <v>143</v>
      </c>
      <c r="H143" s="104">
        <f t="shared" ca="1" si="26"/>
        <v>45068</v>
      </c>
      <c r="I143" s="131" t="e">
        <f>HLOOKUP($H$4,'Met Data'!$A$2:$F$368,G143,FALSE)</f>
        <v>#N/A</v>
      </c>
      <c r="J143" s="131" t="e">
        <f ca="1">HLOOKUP($H$4,'Met Data'!$H$2:$M$368,G143,FALSE)*L143</f>
        <v>#N/A</v>
      </c>
      <c r="K143" s="105" t="e">
        <f>HLOOKUP($H$4,'Met Data'!$O$2:$T$368,G143,FALSE)</f>
        <v>#N/A</v>
      </c>
      <c r="L143">
        <f t="shared" ca="1" si="20"/>
        <v>1</v>
      </c>
      <c r="N143" t="e">
        <f t="shared" ca="1" si="25"/>
        <v>#N/A</v>
      </c>
      <c r="O143" t="e">
        <f t="shared" ca="1" si="21"/>
        <v>#N/A</v>
      </c>
      <c r="P143" s="2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  <c r="V143" t="e">
        <f ca="1"/>
        <v>#N/A</v>
      </c>
      <c r="W143" t="e">
        <f ca="1"/>
        <v>#N/A</v>
      </c>
      <c r="X143" t="e">
        <f ca="1"/>
        <v>#N/A</v>
      </c>
      <c r="Y143" t="e">
        <f ca="1"/>
        <v>#N/A</v>
      </c>
      <c r="Z143" t="e">
        <f ca="1"/>
        <v>#N/A</v>
      </c>
      <c r="AA143" t="e">
        <f ca="1"/>
        <v>#N/A</v>
      </c>
      <c r="AB143" t="e">
        <f ca="1"/>
        <v>#N/A</v>
      </c>
      <c r="AD143" s="2">
        <f t="shared" ca="1" si="22"/>
        <v>0</v>
      </c>
      <c r="AE143" s="46">
        <f t="shared" ca="1" si="23"/>
        <v>0</v>
      </c>
      <c r="AG143" s="72" t="e">
        <f t="shared" ca="1" si="27"/>
        <v>#N/A</v>
      </c>
      <c r="AH143" s="72" t="e">
        <f t="shared" ca="1" si="28"/>
        <v>#N/A</v>
      </c>
      <c r="AI143" s="3" t="e">
        <f t="shared" ca="1" si="29"/>
        <v>#N/A</v>
      </c>
    </row>
    <row r="144" spans="7:35" x14ac:dyDescent="0.25">
      <c r="G144" s="3">
        <f t="shared" ca="1" si="24"/>
        <v>144</v>
      </c>
      <c r="H144" s="104">
        <f t="shared" ca="1" si="26"/>
        <v>45069</v>
      </c>
      <c r="I144" s="131" t="e">
        <f>HLOOKUP($H$4,'Met Data'!$A$2:$F$368,G144,FALSE)</f>
        <v>#N/A</v>
      </c>
      <c r="J144" s="131" t="e">
        <f ca="1">HLOOKUP($H$4,'Met Data'!$H$2:$M$368,G144,FALSE)*L144</f>
        <v>#N/A</v>
      </c>
      <c r="K144" s="105" t="e">
        <f>HLOOKUP($H$4,'Met Data'!$O$2:$T$368,G144,FALSE)</f>
        <v>#N/A</v>
      </c>
      <c r="L144">
        <f t="shared" ca="1" si="20"/>
        <v>1</v>
      </c>
      <c r="N144" t="e">
        <f t="shared" ca="1" si="25"/>
        <v>#N/A</v>
      </c>
      <c r="O144" t="e">
        <f t="shared" ca="1" si="21"/>
        <v>#N/A</v>
      </c>
      <c r="P144" s="2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  <c r="V144" t="e">
        <f ca="1"/>
        <v>#N/A</v>
      </c>
      <c r="W144" t="e">
        <f ca="1"/>
        <v>#N/A</v>
      </c>
      <c r="X144" t="e">
        <f ca="1"/>
        <v>#N/A</v>
      </c>
      <c r="Y144" t="e">
        <f ca="1"/>
        <v>#N/A</v>
      </c>
      <c r="Z144" t="e">
        <f ca="1"/>
        <v>#N/A</v>
      </c>
      <c r="AA144" t="e">
        <f ca="1"/>
        <v>#N/A</v>
      </c>
      <c r="AB144" t="e">
        <f ca="1"/>
        <v>#N/A</v>
      </c>
      <c r="AD144" s="2">
        <f t="shared" ca="1" si="22"/>
        <v>0</v>
      </c>
      <c r="AE144" s="46">
        <f t="shared" ca="1" si="23"/>
        <v>0</v>
      </c>
      <c r="AG144" s="72" t="e">
        <f t="shared" ca="1" si="27"/>
        <v>#N/A</v>
      </c>
      <c r="AH144" s="72" t="e">
        <f t="shared" ca="1" si="28"/>
        <v>#N/A</v>
      </c>
      <c r="AI144" s="3" t="e">
        <f t="shared" ca="1" si="29"/>
        <v>#N/A</v>
      </c>
    </row>
    <row r="145" spans="7:35" x14ac:dyDescent="0.25">
      <c r="G145" s="3">
        <f t="shared" ca="1" si="24"/>
        <v>145</v>
      </c>
      <c r="H145" s="104">
        <f t="shared" ca="1" si="26"/>
        <v>45070</v>
      </c>
      <c r="I145" s="131" t="e">
        <f>HLOOKUP($H$4,'Met Data'!$A$2:$F$368,G145,FALSE)</f>
        <v>#N/A</v>
      </c>
      <c r="J145" s="131" t="e">
        <f ca="1">HLOOKUP($H$4,'Met Data'!$H$2:$M$368,G145,FALSE)*L145</f>
        <v>#N/A</v>
      </c>
      <c r="K145" s="105" t="e">
        <f>HLOOKUP($H$4,'Met Data'!$O$2:$T$368,G145,FALSE)</f>
        <v>#N/A</v>
      </c>
      <c r="L145">
        <f t="shared" ca="1" si="20"/>
        <v>1</v>
      </c>
      <c r="N145" t="e">
        <f t="shared" ca="1" si="25"/>
        <v>#N/A</v>
      </c>
      <c r="O145" t="e">
        <f t="shared" ca="1" si="21"/>
        <v>#N/A</v>
      </c>
      <c r="P145" s="2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  <c r="V145" t="e">
        <f ca="1"/>
        <v>#N/A</v>
      </c>
      <c r="W145" t="e">
        <f ca="1"/>
        <v>#N/A</v>
      </c>
      <c r="X145" t="e">
        <f ca="1"/>
        <v>#N/A</v>
      </c>
      <c r="Y145" t="e">
        <f ca="1"/>
        <v>#N/A</v>
      </c>
      <c r="Z145" t="e">
        <f ca="1"/>
        <v>#N/A</v>
      </c>
      <c r="AA145" t="e">
        <f ca="1"/>
        <v>#N/A</v>
      </c>
      <c r="AB145" t="e">
        <f ca="1"/>
        <v>#N/A</v>
      </c>
      <c r="AD145" s="2">
        <f t="shared" ca="1" si="22"/>
        <v>0</v>
      </c>
      <c r="AE145" s="46">
        <f t="shared" ca="1" si="23"/>
        <v>0</v>
      </c>
      <c r="AG145" s="72" t="e">
        <f t="shared" ca="1" si="27"/>
        <v>#N/A</v>
      </c>
      <c r="AH145" s="72" t="e">
        <f t="shared" ca="1" si="28"/>
        <v>#N/A</v>
      </c>
      <c r="AI145" s="3" t="e">
        <f t="shared" ca="1" si="29"/>
        <v>#N/A</v>
      </c>
    </row>
    <row r="146" spans="7:35" x14ac:dyDescent="0.25">
      <c r="G146" s="3">
        <f t="shared" ca="1" si="24"/>
        <v>146</v>
      </c>
      <c r="H146" s="104">
        <f t="shared" ca="1" si="26"/>
        <v>45071</v>
      </c>
      <c r="I146" s="131" t="e">
        <f>HLOOKUP($H$4,'Met Data'!$A$2:$F$368,G146,FALSE)</f>
        <v>#N/A</v>
      </c>
      <c r="J146" s="131" t="e">
        <f ca="1">HLOOKUP($H$4,'Met Data'!$H$2:$M$368,G146,FALSE)*L146</f>
        <v>#N/A</v>
      </c>
      <c r="K146" s="105" t="e">
        <f>HLOOKUP($H$4,'Met Data'!$O$2:$T$368,G146,FALSE)</f>
        <v>#N/A</v>
      </c>
      <c r="L146">
        <f t="shared" ca="1" si="20"/>
        <v>1</v>
      </c>
      <c r="N146" t="e">
        <f t="shared" ca="1" si="25"/>
        <v>#N/A</v>
      </c>
      <c r="O146" t="e">
        <f t="shared" ca="1" si="21"/>
        <v>#N/A</v>
      </c>
      <c r="P146" s="2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  <c r="V146" t="e">
        <f ca="1"/>
        <v>#N/A</v>
      </c>
      <c r="W146" t="e">
        <f ca="1"/>
        <v>#N/A</v>
      </c>
      <c r="X146" t="e">
        <f ca="1"/>
        <v>#N/A</v>
      </c>
      <c r="Y146" t="e">
        <f ca="1"/>
        <v>#N/A</v>
      </c>
      <c r="Z146" t="e">
        <f ca="1"/>
        <v>#N/A</v>
      </c>
      <c r="AA146" t="e">
        <f ca="1"/>
        <v>#N/A</v>
      </c>
      <c r="AB146" t="e">
        <f ca="1"/>
        <v>#N/A</v>
      </c>
      <c r="AD146" s="2">
        <f t="shared" ca="1" si="22"/>
        <v>0</v>
      </c>
      <c r="AE146" s="46">
        <f t="shared" ca="1" si="23"/>
        <v>0</v>
      </c>
      <c r="AG146" s="72" t="e">
        <f t="shared" ca="1" si="27"/>
        <v>#N/A</v>
      </c>
      <c r="AH146" s="72" t="e">
        <f t="shared" ca="1" si="28"/>
        <v>#N/A</v>
      </c>
      <c r="AI146" s="3" t="e">
        <f t="shared" ca="1" si="29"/>
        <v>#N/A</v>
      </c>
    </row>
    <row r="147" spans="7:35" x14ac:dyDescent="0.25">
      <c r="G147" s="3">
        <f t="shared" ca="1" si="24"/>
        <v>147</v>
      </c>
      <c r="H147" s="104">
        <f t="shared" ca="1" si="26"/>
        <v>45072</v>
      </c>
      <c r="I147" s="131" t="e">
        <f>HLOOKUP($H$4,'Met Data'!$A$2:$F$368,G147,FALSE)</f>
        <v>#N/A</v>
      </c>
      <c r="J147" s="131" t="e">
        <f ca="1">HLOOKUP($H$4,'Met Data'!$H$2:$M$368,G147,FALSE)*L147</f>
        <v>#N/A</v>
      </c>
      <c r="K147" s="105" t="e">
        <f>HLOOKUP($H$4,'Met Data'!$O$2:$T$368,G147,FALSE)</f>
        <v>#N/A</v>
      </c>
      <c r="L147">
        <f t="shared" ca="1" si="20"/>
        <v>1</v>
      </c>
      <c r="N147" t="e">
        <f t="shared" ca="1" si="25"/>
        <v>#N/A</v>
      </c>
      <c r="O147" t="e">
        <f t="shared" ca="1" si="21"/>
        <v>#N/A</v>
      </c>
      <c r="P147" s="2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  <c r="V147" t="e">
        <f ca="1"/>
        <v>#N/A</v>
      </c>
      <c r="W147" t="e">
        <f ca="1"/>
        <v>#N/A</v>
      </c>
      <c r="X147" t="e">
        <f ca="1"/>
        <v>#N/A</v>
      </c>
      <c r="Y147" t="e">
        <f ca="1"/>
        <v>#N/A</v>
      </c>
      <c r="Z147" t="e">
        <f ca="1"/>
        <v>#N/A</v>
      </c>
      <c r="AA147" t="e">
        <f ca="1"/>
        <v>#N/A</v>
      </c>
      <c r="AB147" t="e">
        <f ca="1"/>
        <v>#N/A</v>
      </c>
      <c r="AD147" s="2">
        <f t="shared" ca="1" si="22"/>
        <v>0</v>
      </c>
      <c r="AE147" s="46">
        <f t="shared" ca="1" si="23"/>
        <v>0</v>
      </c>
      <c r="AG147" s="72" t="e">
        <f t="shared" ca="1" si="27"/>
        <v>#N/A</v>
      </c>
      <c r="AH147" s="72" t="e">
        <f t="shared" ca="1" si="28"/>
        <v>#N/A</v>
      </c>
      <c r="AI147" s="3" t="e">
        <f t="shared" ca="1" si="29"/>
        <v>#N/A</v>
      </c>
    </row>
    <row r="148" spans="7:35" x14ac:dyDescent="0.25">
      <c r="G148" s="3">
        <f t="shared" ca="1" si="24"/>
        <v>148</v>
      </c>
      <c r="H148" s="104">
        <f t="shared" ca="1" si="26"/>
        <v>45073</v>
      </c>
      <c r="I148" s="131" t="e">
        <f>HLOOKUP($H$4,'Met Data'!$A$2:$F$368,G148,FALSE)</f>
        <v>#N/A</v>
      </c>
      <c r="J148" s="131" t="e">
        <f ca="1">HLOOKUP($H$4,'Met Data'!$H$2:$M$368,G148,FALSE)*L148</f>
        <v>#N/A</v>
      </c>
      <c r="K148" s="105" t="e">
        <f>HLOOKUP($H$4,'Met Data'!$O$2:$T$368,G148,FALSE)</f>
        <v>#N/A</v>
      </c>
      <c r="L148">
        <f t="shared" ca="1" si="20"/>
        <v>1</v>
      </c>
      <c r="N148" t="e">
        <f t="shared" ca="1" si="25"/>
        <v>#N/A</v>
      </c>
      <c r="O148" t="e">
        <f t="shared" ca="1" si="21"/>
        <v>#N/A</v>
      </c>
      <c r="P148" s="2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  <c r="V148" t="e">
        <f ca="1"/>
        <v>#N/A</v>
      </c>
      <c r="W148" t="e">
        <f ca="1"/>
        <v>#N/A</v>
      </c>
      <c r="X148" t="e">
        <f ca="1"/>
        <v>#N/A</v>
      </c>
      <c r="Y148" t="e">
        <f ca="1"/>
        <v>#N/A</v>
      </c>
      <c r="Z148" t="e">
        <f ca="1"/>
        <v>#N/A</v>
      </c>
      <c r="AA148" t="e">
        <f ca="1"/>
        <v>#N/A</v>
      </c>
      <c r="AB148" t="e">
        <f ca="1"/>
        <v>#N/A</v>
      </c>
      <c r="AD148" s="2">
        <f t="shared" ca="1" si="22"/>
        <v>0</v>
      </c>
      <c r="AE148" s="46">
        <f t="shared" ca="1" si="23"/>
        <v>0</v>
      </c>
      <c r="AG148" s="72" t="e">
        <f t="shared" ca="1" si="27"/>
        <v>#N/A</v>
      </c>
      <c r="AH148" s="72" t="e">
        <f t="shared" ca="1" si="28"/>
        <v>#N/A</v>
      </c>
      <c r="AI148" s="3" t="e">
        <f t="shared" ca="1" si="29"/>
        <v>#N/A</v>
      </c>
    </row>
    <row r="149" spans="7:35" x14ac:dyDescent="0.25">
      <c r="G149" s="3">
        <f t="shared" ca="1" si="24"/>
        <v>149</v>
      </c>
      <c r="H149" s="104">
        <f t="shared" ca="1" si="26"/>
        <v>45074</v>
      </c>
      <c r="I149" s="131" t="e">
        <f>HLOOKUP($H$4,'Met Data'!$A$2:$F$368,G149,FALSE)</f>
        <v>#N/A</v>
      </c>
      <c r="J149" s="131" t="e">
        <f ca="1">HLOOKUP($H$4,'Met Data'!$H$2:$M$368,G149,FALSE)*L149</f>
        <v>#N/A</v>
      </c>
      <c r="K149" s="105" t="e">
        <f>HLOOKUP($H$4,'Met Data'!$O$2:$T$368,G149,FALSE)</f>
        <v>#N/A</v>
      </c>
      <c r="L149">
        <f t="shared" ca="1" si="20"/>
        <v>1</v>
      </c>
      <c r="N149" t="e">
        <f t="shared" ca="1" si="25"/>
        <v>#N/A</v>
      </c>
      <c r="O149" t="e">
        <f t="shared" ca="1" si="21"/>
        <v>#N/A</v>
      </c>
      <c r="P149" s="2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  <c r="V149" t="e">
        <f ca="1"/>
        <v>#N/A</v>
      </c>
      <c r="W149" t="e">
        <f ca="1"/>
        <v>#N/A</v>
      </c>
      <c r="X149" t="e">
        <f ca="1"/>
        <v>#N/A</v>
      </c>
      <c r="Y149" t="e">
        <f ca="1"/>
        <v>#N/A</v>
      </c>
      <c r="Z149" t="e">
        <f ca="1"/>
        <v>#N/A</v>
      </c>
      <c r="AA149" t="e">
        <f ca="1"/>
        <v>#N/A</v>
      </c>
      <c r="AB149" t="e">
        <f ca="1"/>
        <v>#N/A</v>
      </c>
      <c r="AD149" s="2">
        <f t="shared" ca="1" si="22"/>
        <v>0</v>
      </c>
      <c r="AE149" s="46">
        <f t="shared" ca="1" si="23"/>
        <v>0</v>
      </c>
      <c r="AG149" s="72" t="e">
        <f t="shared" ca="1" si="27"/>
        <v>#N/A</v>
      </c>
      <c r="AH149" s="72" t="e">
        <f t="shared" ca="1" si="28"/>
        <v>#N/A</v>
      </c>
      <c r="AI149" s="3" t="e">
        <f t="shared" ca="1" si="29"/>
        <v>#N/A</v>
      </c>
    </row>
    <row r="150" spans="7:35" x14ac:dyDescent="0.25">
      <c r="G150" s="3">
        <f t="shared" ca="1" si="24"/>
        <v>150</v>
      </c>
      <c r="H150" s="104">
        <f t="shared" ca="1" si="26"/>
        <v>45075</v>
      </c>
      <c r="I150" s="131" t="e">
        <f>HLOOKUP($H$4,'Met Data'!$A$2:$F$368,G150,FALSE)</f>
        <v>#N/A</v>
      </c>
      <c r="J150" s="131" t="e">
        <f ca="1">HLOOKUP($H$4,'Met Data'!$H$2:$M$368,G150,FALSE)*L150</f>
        <v>#N/A</v>
      </c>
      <c r="K150" s="105" t="e">
        <f>HLOOKUP($H$4,'Met Data'!$O$2:$T$368,G150,FALSE)</f>
        <v>#N/A</v>
      </c>
      <c r="L150">
        <f t="shared" ca="1" si="20"/>
        <v>1</v>
      </c>
      <c r="N150" t="e">
        <f t="shared" ca="1" si="25"/>
        <v>#N/A</v>
      </c>
      <c r="O150" t="e">
        <f t="shared" ca="1" si="21"/>
        <v>#N/A</v>
      </c>
      <c r="P150" s="2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  <c r="V150" t="e">
        <f ca="1"/>
        <v>#N/A</v>
      </c>
      <c r="W150" t="e">
        <f ca="1"/>
        <v>#N/A</v>
      </c>
      <c r="X150" t="e">
        <f ca="1"/>
        <v>#N/A</v>
      </c>
      <c r="Y150" t="e">
        <f ca="1"/>
        <v>#N/A</v>
      </c>
      <c r="Z150" t="e">
        <f ca="1"/>
        <v>#N/A</v>
      </c>
      <c r="AA150" t="e">
        <f ca="1"/>
        <v>#N/A</v>
      </c>
      <c r="AB150" t="e">
        <f ca="1"/>
        <v>#N/A</v>
      </c>
      <c r="AD150" s="2">
        <f t="shared" ca="1" si="22"/>
        <v>0</v>
      </c>
      <c r="AE150" s="46">
        <f t="shared" ca="1" si="23"/>
        <v>0</v>
      </c>
      <c r="AG150" s="72" t="e">
        <f t="shared" ca="1" si="27"/>
        <v>#N/A</v>
      </c>
      <c r="AH150" s="72" t="e">
        <f t="shared" ca="1" si="28"/>
        <v>#N/A</v>
      </c>
      <c r="AI150" s="3" t="e">
        <f t="shared" ca="1" si="29"/>
        <v>#N/A</v>
      </c>
    </row>
    <row r="151" spans="7:35" x14ac:dyDescent="0.25">
      <c r="G151" s="3">
        <f t="shared" ca="1" si="24"/>
        <v>151</v>
      </c>
      <c r="H151" s="104">
        <f t="shared" ca="1" si="26"/>
        <v>45076</v>
      </c>
      <c r="I151" s="131" t="e">
        <f>HLOOKUP($H$4,'Met Data'!$A$2:$F$368,G151,FALSE)</f>
        <v>#N/A</v>
      </c>
      <c r="J151" s="131" t="e">
        <f ca="1">HLOOKUP($H$4,'Met Data'!$H$2:$M$368,G151,FALSE)*L151</f>
        <v>#N/A</v>
      </c>
      <c r="K151" s="105" t="e">
        <f>HLOOKUP($H$4,'Met Data'!$O$2:$T$368,G151,FALSE)</f>
        <v>#N/A</v>
      </c>
      <c r="L151">
        <f t="shared" ca="1" si="20"/>
        <v>1</v>
      </c>
      <c r="N151" t="e">
        <f t="shared" ca="1" si="25"/>
        <v>#N/A</v>
      </c>
      <c r="O151" t="e">
        <f t="shared" ca="1" si="21"/>
        <v>#N/A</v>
      </c>
      <c r="P151" s="2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  <c r="V151" t="e">
        <f ca="1"/>
        <v>#N/A</v>
      </c>
      <c r="W151" t="e">
        <f ca="1"/>
        <v>#N/A</v>
      </c>
      <c r="X151" t="e">
        <f ca="1"/>
        <v>#N/A</v>
      </c>
      <c r="Y151" t="e">
        <f ca="1"/>
        <v>#N/A</v>
      </c>
      <c r="Z151" t="e">
        <f ca="1"/>
        <v>#N/A</v>
      </c>
      <c r="AA151" t="e">
        <f ca="1"/>
        <v>#N/A</v>
      </c>
      <c r="AB151" t="e">
        <f ca="1"/>
        <v>#N/A</v>
      </c>
      <c r="AD151" s="2">
        <f t="shared" ca="1" si="22"/>
        <v>0</v>
      </c>
      <c r="AE151" s="46">
        <f t="shared" ca="1" si="23"/>
        <v>0</v>
      </c>
      <c r="AG151" s="72" t="e">
        <f t="shared" ca="1" si="27"/>
        <v>#N/A</v>
      </c>
      <c r="AH151" s="72" t="e">
        <f t="shared" ca="1" si="28"/>
        <v>#N/A</v>
      </c>
      <c r="AI151" s="3" t="e">
        <f t="shared" ca="1" si="29"/>
        <v>#N/A</v>
      </c>
    </row>
    <row r="152" spans="7:35" x14ac:dyDescent="0.25">
      <c r="G152" s="3">
        <f t="shared" ca="1" si="24"/>
        <v>152</v>
      </c>
      <c r="H152" s="104">
        <f t="shared" ca="1" si="26"/>
        <v>45077</v>
      </c>
      <c r="I152" s="131" t="e">
        <f>HLOOKUP($H$4,'Met Data'!$A$2:$F$368,G152,FALSE)</f>
        <v>#N/A</v>
      </c>
      <c r="J152" s="131" t="e">
        <f ca="1">HLOOKUP($H$4,'Met Data'!$H$2:$M$368,G152,FALSE)*L152</f>
        <v>#N/A</v>
      </c>
      <c r="K152" s="105" t="e">
        <f>HLOOKUP($H$4,'Met Data'!$O$2:$T$368,G152,FALSE)</f>
        <v>#N/A</v>
      </c>
      <c r="L152">
        <f t="shared" ca="1" si="20"/>
        <v>1</v>
      </c>
      <c r="N152" t="e">
        <f t="shared" ca="1" si="25"/>
        <v>#N/A</v>
      </c>
      <c r="O152" t="e">
        <f t="shared" ca="1" si="21"/>
        <v>#N/A</v>
      </c>
      <c r="P152" s="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  <c r="V152" t="e">
        <f ca="1"/>
        <v>#N/A</v>
      </c>
      <c r="W152" t="e">
        <f ca="1"/>
        <v>#N/A</v>
      </c>
      <c r="X152" t="e">
        <f ca="1"/>
        <v>#N/A</v>
      </c>
      <c r="Y152" t="e">
        <f ca="1"/>
        <v>#N/A</v>
      </c>
      <c r="Z152" t="e">
        <f ca="1"/>
        <v>#N/A</v>
      </c>
      <c r="AA152" t="e">
        <f ca="1"/>
        <v>#N/A</v>
      </c>
      <c r="AB152" t="e">
        <f ca="1"/>
        <v>#N/A</v>
      </c>
      <c r="AD152" s="2">
        <f t="shared" ca="1" si="22"/>
        <v>0</v>
      </c>
      <c r="AE152" s="46">
        <f t="shared" ca="1" si="23"/>
        <v>0</v>
      </c>
      <c r="AG152" s="72" t="e">
        <f t="shared" ca="1" si="27"/>
        <v>#N/A</v>
      </c>
      <c r="AH152" s="72" t="e">
        <f t="shared" ca="1" si="28"/>
        <v>#N/A</v>
      </c>
      <c r="AI152" s="3" t="e">
        <f t="shared" ca="1" si="29"/>
        <v>#N/A</v>
      </c>
    </row>
    <row r="153" spans="7:35" x14ac:dyDescent="0.25">
      <c r="G153" s="3">
        <f t="shared" ca="1" si="24"/>
        <v>153</v>
      </c>
      <c r="H153" s="104">
        <f t="shared" ca="1" si="26"/>
        <v>45078</v>
      </c>
      <c r="I153" s="131" t="e">
        <f>HLOOKUP($H$4,'Met Data'!$A$2:$F$368,G153,FALSE)</f>
        <v>#N/A</v>
      </c>
      <c r="J153" s="131" t="e">
        <f ca="1">HLOOKUP($H$4,'Met Data'!$H$2:$M$368,G153,FALSE)*L153</f>
        <v>#N/A</v>
      </c>
      <c r="K153" s="105" t="e">
        <f>HLOOKUP($H$4,'Met Data'!$O$2:$T$368,G153,FALSE)</f>
        <v>#N/A</v>
      </c>
      <c r="L153">
        <f t="shared" ca="1" si="20"/>
        <v>1</v>
      </c>
      <c r="N153" t="e">
        <f t="shared" ca="1" si="25"/>
        <v>#N/A</v>
      </c>
      <c r="O153" t="e">
        <f t="shared" ca="1" si="21"/>
        <v>#N/A</v>
      </c>
      <c r="P153" s="2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  <c r="V153" t="e">
        <f ca="1"/>
        <v>#N/A</v>
      </c>
      <c r="W153" t="e">
        <f ca="1"/>
        <v>#N/A</v>
      </c>
      <c r="X153" t="e">
        <f ca="1"/>
        <v>#N/A</v>
      </c>
      <c r="Y153" t="e">
        <f ca="1"/>
        <v>#N/A</v>
      </c>
      <c r="Z153" t="e">
        <f ca="1"/>
        <v>#N/A</v>
      </c>
      <c r="AA153" t="e">
        <f ca="1"/>
        <v>#N/A</v>
      </c>
      <c r="AB153" t="e">
        <f ca="1"/>
        <v>#N/A</v>
      </c>
      <c r="AD153" s="2">
        <f t="shared" ca="1" si="22"/>
        <v>0</v>
      </c>
      <c r="AE153" s="46">
        <f t="shared" ca="1" si="23"/>
        <v>0</v>
      </c>
      <c r="AG153" s="72" t="e">
        <f t="shared" ca="1" si="27"/>
        <v>#N/A</v>
      </c>
      <c r="AH153" s="72" t="e">
        <f t="shared" ca="1" si="28"/>
        <v>#N/A</v>
      </c>
      <c r="AI153" s="3" t="e">
        <f t="shared" ca="1" si="29"/>
        <v>#N/A</v>
      </c>
    </row>
    <row r="154" spans="7:35" x14ac:dyDescent="0.25">
      <c r="G154" s="3">
        <f t="shared" ca="1" si="24"/>
        <v>154</v>
      </c>
      <c r="H154" s="104">
        <f t="shared" ca="1" si="26"/>
        <v>45079</v>
      </c>
      <c r="I154" s="131" t="e">
        <f>HLOOKUP($H$4,'Met Data'!$A$2:$F$368,G154,FALSE)</f>
        <v>#N/A</v>
      </c>
      <c r="J154" s="131" t="e">
        <f ca="1">HLOOKUP($H$4,'Met Data'!$H$2:$M$368,G154,FALSE)*L154</f>
        <v>#N/A</v>
      </c>
      <c r="K154" s="105" t="e">
        <f>HLOOKUP($H$4,'Met Data'!$O$2:$T$368,G154,FALSE)</f>
        <v>#N/A</v>
      </c>
      <c r="L154">
        <f t="shared" ca="1" si="20"/>
        <v>1</v>
      </c>
      <c r="N154" t="e">
        <f t="shared" ca="1" si="25"/>
        <v>#N/A</v>
      </c>
      <c r="O154" t="e">
        <f t="shared" ca="1" si="21"/>
        <v>#N/A</v>
      </c>
      <c r="P154" s="2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  <c r="V154" t="e">
        <f ca="1"/>
        <v>#N/A</v>
      </c>
      <c r="W154" t="e">
        <f ca="1"/>
        <v>#N/A</v>
      </c>
      <c r="X154" t="e">
        <f ca="1"/>
        <v>#N/A</v>
      </c>
      <c r="Y154" t="e">
        <f ca="1"/>
        <v>#N/A</v>
      </c>
      <c r="Z154" t="e">
        <f ca="1"/>
        <v>#N/A</v>
      </c>
      <c r="AA154" t="e">
        <f ca="1"/>
        <v>#N/A</v>
      </c>
      <c r="AB154" t="e">
        <f ca="1"/>
        <v>#N/A</v>
      </c>
      <c r="AD154" s="2">
        <f t="shared" ca="1" si="22"/>
        <v>0</v>
      </c>
      <c r="AE154" s="46">
        <f t="shared" ca="1" si="23"/>
        <v>0</v>
      </c>
      <c r="AG154" s="72" t="e">
        <f t="shared" ca="1" si="27"/>
        <v>#N/A</v>
      </c>
      <c r="AH154" s="72" t="e">
        <f t="shared" ca="1" si="28"/>
        <v>#N/A</v>
      </c>
      <c r="AI154" s="3" t="e">
        <f t="shared" ca="1" si="29"/>
        <v>#N/A</v>
      </c>
    </row>
    <row r="155" spans="7:35" x14ac:dyDescent="0.25">
      <c r="G155" s="3">
        <f t="shared" ca="1" si="24"/>
        <v>155</v>
      </c>
      <c r="H155" s="104">
        <f t="shared" ca="1" si="26"/>
        <v>45080</v>
      </c>
      <c r="I155" s="131" t="e">
        <f>HLOOKUP($H$4,'Met Data'!$A$2:$F$368,G155,FALSE)</f>
        <v>#N/A</v>
      </c>
      <c r="J155" s="131" t="e">
        <f ca="1">HLOOKUP($H$4,'Met Data'!$H$2:$M$368,G155,FALSE)*L155</f>
        <v>#N/A</v>
      </c>
      <c r="K155" s="105" t="e">
        <f>HLOOKUP($H$4,'Met Data'!$O$2:$T$368,G155,FALSE)</f>
        <v>#N/A</v>
      </c>
      <c r="L155">
        <f t="shared" ca="1" si="20"/>
        <v>1</v>
      </c>
      <c r="N155" t="e">
        <f t="shared" ca="1" si="25"/>
        <v>#N/A</v>
      </c>
      <c r="O155" t="e">
        <f t="shared" ca="1" si="21"/>
        <v>#N/A</v>
      </c>
      <c r="P155" s="2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  <c r="V155" t="e">
        <f ca="1"/>
        <v>#N/A</v>
      </c>
      <c r="W155" t="e">
        <f ca="1"/>
        <v>#N/A</v>
      </c>
      <c r="X155" t="e">
        <f ca="1"/>
        <v>#N/A</v>
      </c>
      <c r="Y155" t="e">
        <f ca="1"/>
        <v>#N/A</v>
      </c>
      <c r="Z155" t="e">
        <f ca="1"/>
        <v>#N/A</v>
      </c>
      <c r="AA155" t="e">
        <f ca="1"/>
        <v>#N/A</v>
      </c>
      <c r="AB155" t="e">
        <f ca="1"/>
        <v>#N/A</v>
      </c>
      <c r="AD155" s="2">
        <f t="shared" ca="1" si="22"/>
        <v>0</v>
      </c>
      <c r="AE155" s="46">
        <f t="shared" ca="1" si="23"/>
        <v>0</v>
      </c>
      <c r="AG155" s="72" t="e">
        <f t="shared" ca="1" si="27"/>
        <v>#N/A</v>
      </c>
      <c r="AH155" s="72" t="e">
        <f t="shared" ca="1" si="28"/>
        <v>#N/A</v>
      </c>
      <c r="AI155" s="3" t="e">
        <f t="shared" ca="1" si="29"/>
        <v>#N/A</v>
      </c>
    </row>
    <row r="156" spans="7:35" x14ac:dyDescent="0.25">
      <c r="G156" s="3">
        <f t="shared" ca="1" si="24"/>
        <v>156</v>
      </c>
      <c r="H156" s="104">
        <f t="shared" ca="1" si="26"/>
        <v>45081</v>
      </c>
      <c r="I156" s="131" t="e">
        <f>HLOOKUP($H$4,'Met Data'!$A$2:$F$368,G156,FALSE)</f>
        <v>#N/A</v>
      </c>
      <c r="J156" s="131" t="e">
        <f ca="1">HLOOKUP($H$4,'Met Data'!$H$2:$M$368,G156,FALSE)*L156</f>
        <v>#N/A</v>
      </c>
      <c r="K156" s="105" t="e">
        <f>HLOOKUP($H$4,'Met Data'!$O$2:$T$368,G156,FALSE)</f>
        <v>#N/A</v>
      </c>
      <c r="L156">
        <f t="shared" ca="1" si="20"/>
        <v>1</v>
      </c>
      <c r="N156" t="e">
        <f t="shared" ca="1" si="25"/>
        <v>#N/A</v>
      </c>
      <c r="O156" t="e">
        <f t="shared" ca="1" si="21"/>
        <v>#N/A</v>
      </c>
      <c r="P156" s="2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  <c r="V156" t="e">
        <f ca="1"/>
        <v>#N/A</v>
      </c>
      <c r="W156" t="e">
        <f ca="1"/>
        <v>#N/A</v>
      </c>
      <c r="X156" t="e">
        <f ca="1"/>
        <v>#N/A</v>
      </c>
      <c r="Y156" t="e">
        <f ca="1"/>
        <v>#N/A</v>
      </c>
      <c r="Z156" t="e">
        <f ca="1"/>
        <v>#N/A</v>
      </c>
      <c r="AA156" t="e">
        <f ca="1"/>
        <v>#N/A</v>
      </c>
      <c r="AB156" t="e">
        <f ca="1"/>
        <v>#N/A</v>
      </c>
      <c r="AD156" s="2">
        <f t="shared" ca="1" si="22"/>
        <v>0</v>
      </c>
      <c r="AE156" s="46">
        <f t="shared" ca="1" si="23"/>
        <v>0</v>
      </c>
      <c r="AG156" s="72" t="e">
        <f t="shared" ca="1" si="27"/>
        <v>#N/A</v>
      </c>
      <c r="AH156" s="72" t="e">
        <f t="shared" ca="1" si="28"/>
        <v>#N/A</v>
      </c>
      <c r="AI156" s="3" t="e">
        <f t="shared" ca="1" si="29"/>
        <v>#N/A</v>
      </c>
    </row>
    <row r="157" spans="7:35" x14ac:dyDescent="0.25">
      <c r="G157" s="3">
        <f t="shared" ca="1" si="24"/>
        <v>157</v>
      </c>
      <c r="H157" s="104">
        <f t="shared" ca="1" si="26"/>
        <v>45082</v>
      </c>
      <c r="I157" s="131" t="e">
        <f>HLOOKUP($H$4,'Met Data'!$A$2:$F$368,G157,FALSE)</f>
        <v>#N/A</v>
      </c>
      <c r="J157" s="131" t="e">
        <f ca="1">HLOOKUP($H$4,'Met Data'!$H$2:$M$368,G157,FALSE)*L157</f>
        <v>#N/A</v>
      </c>
      <c r="K157" s="105" t="e">
        <f>HLOOKUP($H$4,'Met Data'!$O$2:$T$368,G157,FALSE)</f>
        <v>#N/A</v>
      </c>
      <c r="L157">
        <f t="shared" ca="1" si="20"/>
        <v>1</v>
      </c>
      <c r="N157" t="e">
        <f t="shared" ca="1" si="25"/>
        <v>#N/A</v>
      </c>
      <c r="O157" t="e">
        <f t="shared" ca="1" si="21"/>
        <v>#N/A</v>
      </c>
      <c r="P157" s="2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  <c r="V157" t="e">
        <f ca="1"/>
        <v>#N/A</v>
      </c>
      <c r="W157" t="e">
        <f ca="1"/>
        <v>#N/A</v>
      </c>
      <c r="X157" t="e">
        <f ca="1"/>
        <v>#N/A</v>
      </c>
      <c r="Y157" t="e">
        <f ca="1"/>
        <v>#N/A</v>
      </c>
      <c r="Z157" t="e">
        <f ca="1"/>
        <v>#N/A</v>
      </c>
      <c r="AA157" t="e">
        <f ca="1"/>
        <v>#N/A</v>
      </c>
      <c r="AB157" t="e">
        <f ca="1"/>
        <v>#N/A</v>
      </c>
      <c r="AD157" s="2">
        <f t="shared" ca="1" si="22"/>
        <v>0</v>
      </c>
      <c r="AE157" s="46">
        <f t="shared" ca="1" si="23"/>
        <v>0</v>
      </c>
      <c r="AG157" s="72" t="e">
        <f t="shared" ca="1" si="27"/>
        <v>#N/A</v>
      </c>
      <c r="AH157" s="72" t="e">
        <f t="shared" ca="1" si="28"/>
        <v>#N/A</v>
      </c>
      <c r="AI157" s="3" t="e">
        <f t="shared" ca="1" si="29"/>
        <v>#N/A</v>
      </c>
    </row>
    <row r="158" spans="7:35" x14ac:dyDescent="0.25">
      <c r="G158" s="3">
        <f t="shared" ca="1" si="24"/>
        <v>158</v>
      </c>
      <c r="H158" s="104">
        <f t="shared" ca="1" si="26"/>
        <v>45083</v>
      </c>
      <c r="I158" s="131" t="e">
        <f>HLOOKUP($H$4,'Met Data'!$A$2:$F$368,G158,FALSE)</f>
        <v>#N/A</v>
      </c>
      <c r="J158" s="131" t="e">
        <f ca="1">HLOOKUP($H$4,'Met Data'!$H$2:$M$368,G158,FALSE)*L158</f>
        <v>#N/A</v>
      </c>
      <c r="K158" s="105" t="e">
        <f>HLOOKUP($H$4,'Met Data'!$O$2:$T$368,G158,FALSE)</f>
        <v>#N/A</v>
      </c>
      <c r="L158">
        <f t="shared" ca="1" si="20"/>
        <v>1</v>
      </c>
      <c r="N158" t="e">
        <f t="shared" ca="1" si="25"/>
        <v>#N/A</v>
      </c>
      <c r="O158" t="e">
        <f t="shared" ca="1" si="21"/>
        <v>#N/A</v>
      </c>
      <c r="P158" s="2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  <c r="V158" t="e">
        <f ca="1"/>
        <v>#N/A</v>
      </c>
      <c r="W158" t="e">
        <f ca="1"/>
        <v>#N/A</v>
      </c>
      <c r="X158" t="e">
        <f ca="1"/>
        <v>#N/A</v>
      </c>
      <c r="Y158" t="e">
        <f ca="1"/>
        <v>#N/A</v>
      </c>
      <c r="Z158" t="e">
        <f ca="1"/>
        <v>#N/A</v>
      </c>
      <c r="AA158" t="e">
        <f ca="1"/>
        <v>#N/A</v>
      </c>
      <c r="AB158" t="e">
        <f ca="1"/>
        <v>#N/A</v>
      </c>
      <c r="AD158" s="2">
        <f t="shared" ca="1" si="22"/>
        <v>0</v>
      </c>
      <c r="AE158" s="46">
        <f t="shared" ca="1" si="23"/>
        <v>0</v>
      </c>
      <c r="AG158" s="72" t="e">
        <f t="shared" ca="1" si="27"/>
        <v>#N/A</v>
      </c>
      <c r="AH158" s="72" t="e">
        <f t="shared" ca="1" si="28"/>
        <v>#N/A</v>
      </c>
      <c r="AI158" s="3" t="e">
        <f t="shared" ca="1" si="29"/>
        <v>#N/A</v>
      </c>
    </row>
    <row r="159" spans="7:35" x14ac:dyDescent="0.25">
      <c r="G159" s="3">
        <f t="shared" ca="1" si="24"/>
        <v>159</v>
      </c>
      <c r="H159" s="104">
        <f t="shared" ca="1" si="26"/>
        <v>45084</v>
      </c>
      <c r="I159" s="131" t="e">
        <f>HLOOKUP($H$4,'Met Data'!$A$2:$F$368,G159,FALSE)</f>
        <v>#N/A</v>
      </c>
      <c r="J159" s="131" t="e">
        <f ca="1">HLOOKUP($H$4,'Met Data'!$H$2:$M$368,G159,FALSE)*L159</f>
        <v>#N/A</v>
      </c>
      <c r="K159" s="105" t="e">
        <f>HLOOKUP($H$4,'Met Data'!$O$2:$T$368,G159,FALSE)</f>
        <v>#N/A</v>
      </c>
      <c r="L159">
        <f t="shared" ca="1" si="20"/>
        <v>1</v>
      </c>
      <c r="N159" t="e">
        <f t="shared" ca="1" si="25"/>
        <v>#N/A</v>
      </c>
      <c r="O159" t="e">
        <f t="shared" ca="1" si="21"/>
        <v>#N/A</v>
      </c>
      <c r="P159" s="2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  <c r="V159" t="e">
        <f ca="1"/>
        <v>#N/A</v>
      </c>
      <c r="W159" t="e">
        <f ca="1"/>
        <v>#N/A</v>
      </c>
      <c r="X159" t="e">
        <f ca="1"/>
        <v>#N/A</v>
      </c>
      <c r="Y159" t="e">
        <f ca="1"/>
        <v>#N/A</v>
      </c>
      <c r="Z159" t="e">
        <f ca="1"/>
        <v>#N/A</v>
      </c>
      <c r="AA159" t="e">
        <f ca="1"/>
        <v>#N/A</v>
      </c>
      <c r="AB159" t="e">
        <f ca="1"/>
        <v>#N/A</v>
      </c>
      <c r="AD159" s="2">
        <f t="shared" ca="1" si="22"/>
        <v>0</v>
      </c>
      <c r="AE159" s="46">
        <f t="shared" ca="1" si="23"/>
        <v>0</v>
      </c>
      <c r="AG159" s="72" t="e">
        <f t="shared" ca="1" si="27"/>
        <v>#N/A</v>
      </c>
      <c r="AH159" s="72" t="e">
        <f t="shared" ca="1" si="28"/>
        <v>#N/A</v>
      </c>
      <c r="AI159" s="3" t="e">
        <f t="shared" ca="1" si="29"/>
        <v>#N/A</v>
      </c>
    </row>
    <row r="160" spans="7:35" x14ac:dyDescent="0.25">
      <c r="G160" s="3">
        <f t="shared" ca="1" si="24"/>
        <v>160</v>
      </c>
      <c r="H160" s="104">
        <f t="shared" ca="1" si="26"/>
        <v>45085</v>
      </c>
      <c r="I160" s="131" t="e">
        <f>HLOOKUP($H$4,'Met Data'!$A$2:$F$368,G160,FALSE)</f>
        <v>#N/A</v>
      </c>
      <c r="J160" s="131" t="e">
        <f ca="1">HLOOKUP($H$4,'Met Data'!$H$2:$M$368,G160,FALSE)*L160</f>
        <v>#N/A</v>
      </c>
      <c r="K160" s="105" t="e">
        <f>HLOOKUP($H$4,'Met Data'!$O$2:$T$368,G160,FALSE)</f>
        <v>#N/A</v>
      </c>
      <c r="L160">
        <f t="shared" ca="1" si="20"/>
        <v>1</v>
      </c>
      <c r="N160" t="e">
        <f t="shared" ca="1" si="25"/>
        <v>#N/A</v>
      </c>
      <c r="O160" t="e">
        <f t="shared" ca="1" si="21"/>
        <v>#N/A</v>
      </c>
      <c r="P160" s="2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  <c r="V160" t="e">
        <f ca="1"/>
        <v>#N/A</v>
      </c>
      <c r="W160" t="e">
        <f ca="1"/>
        <v>#N/A</v>
      </c>
      <c r="X160" t="e">
        <f ca="1"/>
        <v>#N/A</v>
      </c>
      <c r="Y160" t="e">
        <f ca="1"/>
        <v>#N/A</v>
      </c>
      <c r="Z160" t="e">
        <f ca="1"/>
        <v>#N/A</v>
      </c>
      <c r="AA160" t="e">
        <f ca="1"/>
        <v>#N/A</v>
      </c>
      <c r="AB160" t="e">
        <f ca="1"/>
        <v>#N/A</v>
      </c>
      <c r="AD160" s="2">
        <f t="shared" ca="1" si="22"/>
        <v>0</v>
      </c>
      <c r="AE160" s="46">
        <f t="shared" ca="1" si="23"/>
        <v>0</v>
      </c>
      <c r="AG160" s="72" t="e">
        <f t="shared" ca="1" si="27"/>
        <v>#N/A</v>
      </c>
      <c r="AH160" s="72" t="e">
        <f t="shared" ca="1" si="28"/>
        <v>#N/A</v>
      </c>
      <c r="AI160" s="3" t="e">
        <f t="shared" ca="1" si="29"/>
        <v>#N/A</v>
      </c>
    </row>
    <row r="161" spans="7:35" x14ac:dyDescent="0.25">
      <c r="G161" s="3">
        <f t="shared" ca="1" si="24"/>
        <v>161</v>
      </c>
      <c r="H161" s="104">
        <f t="shared" ca="1" si="26"/>
        <v>45086</v>
      </c>
      <c r="I161" s="131" t="e">
        <f>HLOOKUP($H$4,'Met Data'!$A$2:$F$368,G161,FALSE)</f>
        <v>#N/A</v>
      </c>
      <c r="J161" s="131" t="e">
        <f ca="1">HLOOKUP($H$4,'Met Data'!$H$2:$M$368,G161,FALSE)*L161</f>
        <v>#N/A</v>
      </c>
      <c r="K161" s="105" t="e">
        <f>HLOOKUP($H$4,'Met Data'!$O$2:$T$368,G161,FALSE)</f>
        <v>#N/A</v>
      </c>
      <c r="L161">
        <f t="shared" ca="1" si="20"/>
        <v>1</v>
      </c>
      <c r="N161" t="e">
        <f t="shared" ca="1" si="25"/>
        <v>#N/A</v>
      </c>
      <c r="O161" t="e">
        <f t="shared" ca="1" si="21"/>
        <v>#N/A</v>
      </c>
      <c r="P161" s="2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  <c r="V161" t="e">
        <f ca="1"/>
        <v>#N/A</v>
      </c>
      <c r="W161" t="e">
        <f ca="1"/>
        <v>#N/A</v>
      </c>
      <c r="X161" t="e">
        <f ca="1"/>
        <v>#N/A</v>
      </c>
      <c r="Y161" t="e">
        <f ca="1"/>
        <v>#N/A</v>
      </c>
      <c r="Z161" t="e">
        <f ca="1"/>
        <v>#N/A</v>
      </c>
      <c r="AA161" t="e">
        <f ca="1"/>
        <v>#N/A</v>
      </c>
      <c r="AB161" t="e">
        <f ca="1"/>
        <v>#N/A</v>
      </c>
      <c r="AD161" s="2">
        <f t="shared" ca="1" si="22"/>
        <v>0</v>
      </c>
      <c r="AE161" s="46">
        <f t="shared" ca="1" si="23"/>
        <v>0</v>
      </c>
      <c r="AG161" s="72" t="e">
        <f t="shared" ca="1" si="27"/>
        <v>#N/A</v>
      </c>
      <c r="AH161" s="72" t="e">
        <f t="shared" ca="1" si="28"/>
        <v>#N/A</v>
      </c>
      <c r="AI161" s="3" t="e">
        <f t="shared" ca="1" si="29"/>
        <v>#N/A</v>
      </c>
    </row>
    <row r="162" spans="7:35" x14ac:dyDescent="0.25">
      <c r="G162" s="3">
        <f t="shared" ca="1" si="24"/>
        <v>162</v>
      </c>
      <c r="H162" s="104">
        <f t="shared" ca="1" si="26"/>
        <v>45087</v>
      </c>
      <c r="I162" s="131" t="e">
        <f>HLOOKUP($H$4,'Met Data'!$A$2:$F$368,G162,FALSE)</f>
        <v>#N/A</v>
      </c>
      <c r="J162" s="131" t="e">
        <f ca="1">HLOOKUP($H$4,'Met Data'!$H$2:$M$368,G162,FALSE)*L162</f>
        <v>#N/A</v>
      </c>
      <c r="K162" s="105" t="e">
        <f>HLOOKUP($H$4,'Met Data'!$O$2:$T$368,G162,FALSE)</f>
        <v>#N/A</v>
      </c>
      <c r="L162">
        <f t="shared" ca="1" si="20"/>
        <v>1</v>
      </c>
      <c r="N162" t="e">
        <f t="shared" ca="1" si="25"/>
        <v>#N/A</v>
      </c>
      <c r="O162" t="e">
        <f t="shared" ca="1" si="21"/>
        <v>#N/A</v>
      </c>
      <c r="P162" s="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  <c r="V162" t="e">
        <f ca="1"/>
        <v>#N/A</v>
      </c>
      <c r="W162" t="e">
        <f ca="1"/>
        <v>#N/A</v>
      </c>
      <c r="X162" t="e">
        <f ca="1"/>
        <v>#N/A</v>
      </c>
      <c r="Y162" t="e">
        <f ca="1"/>
        <v>#N/A</v>
      </c>
      <c r="Z162" t="e">
        <f ca="1"/>
        <v>#N/A</v>
      </c>
      <c r="AA162" t="e">
        <f ca="1"/>
        <v>#N/A</v>
      </c>
      <c r="AB162" t="e">
        <f ca="1"/>
        <v>#N/A</v>
      </c>
      <c r="AD162" s="2">
        <f t="shared" ca="1" si="22"/>
        <v>0</v>
      </c>
      <c r="AE162" s="46">
        <f t="shared" ca="1" si="23"/>
        <v>0</v>
      </c>
      <c r="AG162" s="72" t="e">
        <f t="shared" ca="1" si="27"/>
        <v>#N/A</v>
      </c>
      <c r="AH162" s="72" t="e">
        <f t="shared" ca="1" si="28"/>
        <v>#N/A</v>
      </c>
      <c r="AI162" s="3" t="e">
        <f t="shared" ca="1" si="29"/>
        <v>#N/A</v>
      </c>
    </row>
    <row r="163" spans="7:35" x14ac:dyDescent="0.25">
      <c r="G163" s="3">
        <f t="shared" ca="1" si="24"/>
        <v>163</v>
      </c>
      <c r="H163" s="104">
        <f t="shared" ca="1" si="26"/>
        <v>45088</v>
      </c>
      <c r="I163" s="131" t="e">
        <f>HLOOKUP($H$4,'Met Data'!$A$2:$F$368,G163,FALSE)</f>
        <v>#N/A</v>
      </c>
      <c r="J163" s="131" t="e">
        <f ca="1">HLOOKUP($H$4,'Met Data'!$H$2:$M$368,G163,FALSE)*L163</f>
        <v>#N/A</v>
      </c>
      <c r="K163" s="105" t="e">
        <f>HLOOKUP($H$4,'Met Data'!$O$2:$T$368,G163,FALSE)</f>
        <v>#N/A</v>
      </c>
      <c r="L163">
        <f t="shared" ca="1" si="20"/>
        <v>1</v>
      </c>
      <c r="N163" t="e">
        <f t="shared" ca="1" si="25"/>
        <v>#N/A</v>
      </c>
      <c r="O163" t="e">
        <f t="shared" ca="1" si="21"/>
        <v>#N/A</v>
      </c>
      <c r="P163" s="2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  <c r="V163" t="e">
        <f ca="1"/>
        <v>#N/A</v>
      </c>
      <c r="W163" t="e">
        <f ca="1"/>
        <v>#N/A</v>
      </c>
      <c r="X163" t="e">
        <f ca="1"/>
        <v>#N/A</v>
      </c>
      <c r="Y163" t="e">
        <f ca="1"/>
        <v>#N/A</v>
      </c>
      <c r="Z163" t="e">
        <f ca="1"/>
        <v>#N/A</v>
      </c>
      <c r="AA163" t="e">
        <f ca="1"/>
        <v>#N/A</v>
      </c>
      <c r="AB163" t="e">
        <f ca="1"/>
        <v>#N/A</v>
      </c>
      <c r="AD163" s="2">
        <f t="shared" ca="1" si="22"/>
        <v>0</v>
      </c>
      <c r="AE163" s="46">
        <f t="shared" ca="1" si="23"/>
        <v>0</v>
      </c>
      <c r="AG163" s="72" t="e">
        <f t="shared" ca="1" si="27"/>
        <v>#N/A</v>
      </c>
      <c r="AH163" s="72" t="e">
        <f t="shared" ca="1" si="28"/>
        <v>#N/A</v>
      </c>
      <c r="AI163" s="3" t="e">
        <f t="shared" ca="1" si="29"/>
        <v>#N/A</v>
      </c>
    </row>
    <row r="164" spans="7:35" x14ac:dyDescent="0.25">
      <c r="G164" s="3">
        <f t="shared" ca="1" si="24"/>
        <v>164</v>
      </c>
      <c r="H164" s="104">
        <f t="shared" ca="1" si="26"/>
        <v>45089</v>
      </c>
      <c r="I164" s="131" t="e">
        <f>HLOOKUP($H$4,'Met Data'!$A$2:$F$368,G164,FALSE)</f>
        <v>#N/A</v>
      </c>
      <c r="J164" s="131" t="e">
        <f ca="1">HLOOKUP($H$4,'Met Data'!$H$2:$M$368,G164,FALSE)*L164</f>
        <v>#N/A</v>
      </c>
      <c r="K164" s="105" t="e">
        <f>HLOOKUP($H$4,'Met Data'!$O$2:$T$368,G164,FALSE)</f>
        <v>#N/A</v>
      </c>
      <c r="L164">
        <f t="shared" ca="1" si="20"/>
        <v>1</v>
      </c>
      <c r="N164" t="e">
        <f t="shared" ca="1" si="25"/>
        <v>#N/A</v>
      </c>
      <c r="O164" t="e">
        <f t="shared" ca="1" si="21"/>
        <v>#N/A</v>
      </c>
      <c r="P164" s="2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  <c r="V164" t="e">
        <f ca="1"/>
        <v>#N/A</v>
      </c>
      <c r="W164" t="e">
        <f ca="1"/>
        <v>#N/A</v>
      </c>
      <c r="X164" t="e">
        <f ca="1"/>
        <v>#N/A</v>
      </c>
      <c r="Y164" t="e">
        <f ca="1"/>
        <v>#N/A</v>
      </c>
      <c r="Z164" t="e">
        <f ca="1"/>
        <v>#N/A</v>
      </c>
      <c r="AA164" t="e">
        <f ca="1"/>
        <v>#N/A</v>
      </c>
      <c r="AB164" t="e">
        <f ca="1"/>
        <v>#N/A</v>
      </c>
      <c r="AD164" s="2">
        <f t="shared" ca="1" si="22"/>
        <v>0</v>
      </c>
      <c r="AE164" s="46">
        <f t="shared" ca="1" si="23"/>
        <v>0</v>
      </c>
      <c r="AG164" s="72" t="e">
        <f t="shared" ca="1" si="27"/>
        <v>#N/A</v>
      </c>
      <c r="AH164" s="72" t="e">
        <f t="shared" ca="1" si="28"/>
        <v>#N/A</v>
      </c>
      <c r="AI164" s="3" t="e">
        <f t="shared" ca="1" si="29"/>
        <v>#N/A</v>
      </c>
    </row>
    <row r="165" spans="7:35" x14ac:dyDescent="0.25">
      <c r="G165" s="3">
        <f t="shared" ca="1" si="24"/>
        <v>165</v>
      </c>
      <c r="H165" s="104">
        <f t="shared" ca="1" si="26"/>
        <v>45090</v>
      </c>
      <c r="I165" s="131" t="e">
        <f>HLOOKUP($H$4,'Met Data'!$A$2:$F$368,G165,FALSE)</f>
        <v>#N/A</v>
      </c>
      <c r="J165" s="131" t="e">
        <f ca="1">HLOOKUP($H$4,'Met Data'!$H$2:$M$368,G165,FALSE)*L165</f>
        <v>#N/A</v>
      </c>
      <c r="K165" s="105" t="e">
        <f>HLOOKUP($H$4,'Met Data'!$O$2:$T$368,G165,FALSE)</f>
        <v>#N/A</v>
      </c>
      <c r="L165">
        <f t="shared" ca="1" si="20"/>
        <v>1</v>
      </c>
      <c r="N165" t="e">
        <f t="shared" ca="1" si="25"/>
        <v>#N/A</v>
      </c>
      <c r="O165" t="e">
        <f t="shared" ca="1" si="21"/>
        <v>#N/A</v>
      </c>
      <c r="P165" s="2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  <c r="V165" t="e">
        <f ca="1"/>
        <v>#N/A</v>
      </c>
      <c r="W165" t="e">
        <f ca="1"/>
        <v>#N/A</v>
      </c>
      <c r="X165" t="e">
        <f ca="1"/>
        <v>#N/A</v>
      </c>
      <c r="Y165" t="e">
        <f ca="1"/>
        <v>#N/A</v>
      </c>
      <c r="Z165" t="e">
        <f ca="1"/>
        <v>#N/A</v>
      </c>
      <c r="AA165" t="e">
        <f ca="1"/>
        <v>#N/A</v>
      </c>
      <c r="AB165" t="e">
        <f ca="1"/>
        <v>#N/A</v>
      </c>
      <c r="AD165" s="2">
        <f t="shared" ca="1" si="22"/>
        <v>0</v>
      </c>
      <c r="AE165" s="46">
        <f t="shared" ca="1" si="23"/>
        <v>0</v>
      </c>
      <c r="AG165" s="72" t="e">
        <f t="shared" ca="1" si="27"/>
        <v>#N/A</v>
      </c>
      <c r="AH165" s="72" t="e">
        <f t="shared" ca="1" si="28"/>
        <v>#N/A</v>
      </c>
      <c r="AI165" s="3" t="e">
        <f t="shared" ca="1" si="29"/>
        <v>#N/A</v>
      </c>
    </row>
    <row r="166" spans="7:35" x14ac:dyDescent="0.25">
      <c r="G166" s="3">
        <f t="shared" ca="1" si="24"/>
        <v>166</v>
      </c>
      <c r="H166" s="104">
        <f t="shared" ca="1" si="26"/>
        <v>45091</v>
      </c>
      <c r="I166" s="131" t="e">
        <f>HLOOKUP($H$4,'Met Data'!$A$2:$F$368,G166,FALSE)</f>
        <v>#N/A</v>
      </c>
      <c r="J166" s="131" t="e">
        <f ca="1">HLOOKUP($H$4,'Met Data'!$H$2:$M$368,G166,FALSE)*L166</f>
        <v>#N/A</v>
      </c>
      <c r="K166" s="105" t="e">
        <f>HLOOKUP($H$4,'Met Data'!$O$2:$T$368,G166,FALSE)</f>
        <v>#N/A</v>
      </c>
      <c r="L166">
        <f t="shared" ca="1" si="20"/>
        <v>1</v>
      </c>
      <c r="N166" t="e">
        <f t="shared" ca="1" si="25"/>
        <v>#N/A</v>
      </c>
      <c r="O166" t="e">
        <f t="shared" ca="1" si="21"/>
        <v>#N/A</v>
      </c>
      <c r="P166" s="2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  <c r="V166" t="e">
        <f ca="1"/>
        <v>#N/A</v>
      </c>
      <c r="W166" t="e">
        <f ca="1"/>
        <v>#N/A</v>
      </c>
      <c r="X166" t="e">
        <f ca="1"/>
        <v>#N/A</v>
      </c>
      <c r="Y166" t="e">
        <f ca="1"/>
        <v>#N/A</v>
      </c>
      <c r="Z166" t="e">
        <f ca="1"/>
        <v>#N/A</v>
      </c>
      <c r="AA166" t="e">
        <f ca="1"/>
        <v>#N/A</v>
      </c>
      <c r="AB166" t="e">
        <f ca="1"/>
        <v>#N/A</v>
      </c>
      <c r="AD166" s="2">
        <f t="shared" ca="1" si="22"/>
        <v>0</v>
      </c>
      <c r="AE166" s="46">
        <f t="shared" ca="1" si="23"/>
        <v>0</v>
      </c>
      <c r="AG166" s="72" t="e">
        <f t="shared" ca="1" si="27"/>
        <v>#N/A</v>
      </c>
      <c r="AH166" s="72" t="e">
        <f t="shared" ca="1" si="28"/>
        <v>#N/A</v>
      </c>
      <c r="AI166" s="3" t="e">
        <f t="shared" ca="1" si="29"/>
        <v>#N/A</v>
      </c>
    </row>
    <row r="167" spans="7:35" x14ac:dyDescent="0.25">
      <c r="G167" s="3">
        <f t="shared" ca="1" si="24"/>
        <v>167</v>
      </c>
      <c r="H167" s="104">
        <f t="shared" ca="1" si="26"/>
        <v>45092</v>
      </c>
      <c r="I167" s="131" t="e">
        <f>HLOOKUP($H$4,'Met Data'!$A$2:$F$368,G167,FALSE)</f>
        <v>#N/A</v>
      </c>
      <c r="J167" s="131" t="e">
        <f ca="1">HLOOKUP($H$4,'Met Data'!$H$2:$M$368,G167,FALSE)*L167</f>
        <v>#N/A</v>
      </c>
      <c r="K167" s="105" t="e">
        <f>HLOOKUP($H$4,'Met Data'!$O$2:$T$368,G167,FALSE)</f>
        <v>#N/A</v>
      </c>
      <c r="L167">
        <f t="shared" ca="1" si="20"/>
        <v>1</v>
      </c>
      <c r="N167" t="e">
        <f t="shared" ca="1" si="25"/>
        <v>#N/A</v>
      </c>
      <c r="O167" t="e">
        <f t="shared" ca="1" si="21"/>
        <v>#N/A</v>
      </c>
      <c r="P167" s="2" t="e">
        <f ca="1"/>
        <v>#N/A</v>
      </c>
      <c r="Q167" t="e">
        <f ca="1"/>
        <v>#N/A</v>
      </c>
      <c r="R167" t="e">
        <f ca="1"/>
        <v>#N/A</v>
      </c>
      <c r="S167" t="e">
        <f ca="1"/>
        <v>#N/A</v>
      </c>
      <c r="T167" t="e">
        <f ca="1"/>
        <v>#N/A</v>
      </c>
      <c r="U167" t="e">
        <f ca="1"/>
        <v>#N/A</v>
      </c>
      <c r="V167" t="e">
        <f ca="1"/>
        <v>#N/A</v>
      </c>
      <c r="W167" t="e">
        <f ca="1"/>
        <v>#N/A</v>
      </c>
      <c r="X167" t="e">
        <f ca="1"/>
        <v>#N/A</v>
      </c>
      <c r="Y167" t="e">
        <f ca="1"/>
        <v>#N/A</v>
      </c>
      <c r="Z167" t="e">
        <f ca="1"/>
        <v>#N/A</v>
      </c>
      <c r="AA167" t="e">
        <f ca="1"/>
        <v>#N/A</v>
      </c>
      <c r="AB167" t="e">
        <f ca="1"/>
        <v>#N/A</v>
      </c>
      <c r="AD167" s="2">
        <f t="shared" ca="1" si="22"/>
        <v>0</v>
      </c>
      <c r="AE167" s="46">
        <f t="shared" ca="1" si="23"/>
        <v>0</v>
      </c>
      <c r="AG167" s="72" t="e">
        <f t="shared" ca="1" si="27"/>
        <v>#N/A</v>
      </c>
      <c r="AH167" s="72" t="e">
        <f t="shared" ca="1" si="28"/>
        <v>#N/A</v>
      </c>
      <c r="AI167" s="3" t="e">
        <f t="shared" ca="1" si="29"/>
        <v>#N/A</v>
      </c>
    </row>
    <row r="168" spans="7:35" x14ac:dyDescent="0.25">
      <c r="G168" s="3">
        <f t="shared" ca="1" si="24"/>
        <v>168</v>
      </c>
      <c r="H168" s="104">
        <f t="shared" ca="1" si="26"/>
        <v>45093</v>
      </c>
      <c r="I168" s="131" t="e">
        <f>HLOOKUP($H$4,'Met Data'!$A$2:$F$368,G168,FALSE)</f>
        <v>#N/A</v>
      </c>
      <c r="J168" s="131" t="e">
        <f ca="1">HLOOKUP($H$4,'Met Data'!$H$2:$M$368,G168,FALSE)*L168</f>
        <v>#N/A</v>
      </c>
      <c r="K168" s="105" t="e">
        <f>HLOOKUP($H$4,'Met Data'!$O$2:$T$368,G168,FALSE)</f>
        <v>#N/A</v>
      </c>
      <c r="L168">
        <f t="shared" ca="1" si="20"/>
        <v>1</v>
      </c>
      <c r="N168" t="e">
        <f t="shared" ca="1" si="25"/>
        <v>#N/A</v>
      </c>
      <c r="O168" t="e">
        <f t="shared" ca="1" si="21"/>
        <v>#N/A</v>
      </c>
      <c r="P168" s="2" t="e">
        <f ca="1"/>
        <v>#N/A</v>
      </c>
      <c r="Q168" t="e">
        <f ca="1"/>
        <v>#N/A</v>
      </c>
      <c r="R168" t="e">
        <f ca="1"/>
        <v>#N/A</v>
      </c>
      <c r="S168" t="e">
        <f ca="1"/>
        <v>#N/A</v>
      </c>
      <c r="T168" t="e">
        <f ca="1"/>
        <v>#N/A</v>
      </c>
      <c r="U168" t="e">
        <f ca="1"/>
        <v>#N/A</v>
      </c>
      <c r="V168" t="e">
        <f ca="1"/>
        <v>#N/A</v>
      </c>
      <c r="W168" t="e">
        <f ca="1"/>
        <v>#N/A</v>
      </c>
      <c r="X168" t="e">
        <f ca="1"/>
        <v>#N/A</v>
      </c>
      <c r="Y168" t="e">
        <f ca="1"/>
        <v>#N/A</v>
      </c>
      <c r="Z168" t="e">
        <f ca="1"/>
        <v>#N/A</v>
      </c>
      <c r="AA168" t="e">
        <f ca="1"/>
        <v>#N/A</v>
      </c>
      <c r="AB168" t="e">
        <f ca="1"/>
        <v>#N/A</v>
      </c>
      <c r="AD168" s="2">
        <f t="shared" ca="1" si="22"/>
        <v>0</v>
      </c>
      <c r="AE168" s="46">
        <f t="shared" ca="1" si="23"/>
        <v>0</v>
      </c>
      <c r="AG168" s="72" t="e">
        <f t="shared" ca="1" si="27"/>
        <v>#N/A</v>
      </c>
      <c r="AH168" s="72" t="e">
        <f t="shared" ca="1" si="28"/>
        <v>#N/A</v>
      </c>
      <c r="AI168" s="3" t="e">
        <f t="shared" ca="1" si="29"/>
        <v>#N/A</v>
      </c>
    </row>
    <row r="169" spans="7:35" x14ac:dyDescent="0.25">
      <c r="G169" s="3">
        <f t="shared" ca="1" si="24"/>
        <v>169</v>
      </c>
      <c r="H169" s="104">
        <f t="shared" ca="1" si="26"/>
        <v>45094</v>
      </c>
      <c r="I169" s="131" t="e">
        <f>HLOOKUP($H$4,'Met Data'!$A$2:$F$368,G169,FALSE)</f>
        <v>#N/A</v>
      </c>
      <c r="J169" s="131" t="e">
        <f ca="1">HLOOKUP($H$4,'Met Data'!$H$2:$M$368,G169,FALSE)*L169</f>
        <v>#N/A</v>
      </c>
      <c r="K169" s="105" t="e">
        <f>HLOOKUP($H$4,'Met Data'!$O$2:$T$368,G169,FALSE)</f>
        <v>#N/A</v>
      </c>
      <c r="L169">
        <f t="shared" ca="1" si="20"/>
        <v>1</v>
      </c>
      <c r="N169" t="e">
        <f t="shared" ca="1" si="25"/>
        <v>#N/A</v>
      </c>
      <c r="O169" t="e">
        <f t="shared" ca="1" si="21"/>
        <v>#N/A</v>
      </c>
      <c r="P169" s="2" t="e">
        <f ca="1"/>
        <v>#N/A</v>
      </c>
      <c r="Q169" t="e">
        <f ca="1"/>
        <v>#N/A</v>
      </c>
      <c r="R169" t="e">
        <f ca="1"/>
        <v>#N/A</v>
      </c>
      <c r="S169" t="e">
        <f ca="1"/>
        <v>#N/A</v>
      </c>
      <c r="T169" t="e">
        <f ca="1"/>
        <v>#N/A</v>
      </c>
      <c r="U169" t="e">
        <f ca="1"/>
        <v>#N/A</v>
      </c>
      <c r="V169" t="e">
        <f ca="1"/>
        <v>#N/A</v>
      </c>
      <c r="W169" t="e">
        <f ca="1"/>
        <v>#N/A</v>
      </c>
      <c r="X169" t="e">
        <f ca="1"/>
        <v>#N/A</v>
      </c>
      <c r="Y169" t="e">
        <f ca="1"/>
        <v>#N/A</v>
      </c>
      <c r="Z169" t="e">
        <f ca="1"/>
        <v>#N/A</v>
      </c>
      <c r="AA169" t="e">
        <f ca="1"/>
        <v>#N/A</v>
      </c>
      <c r="AB169" t="e">
        <f ca="1"/>
        <v>#N/A</v>
      </c>
      <c r="AD169" s="2">
        <f t="shared" ca="1" si="22"/>
        <v>0</v>
      </c>
      <c r="AE169" s="46">
        <f t="shared" ca="1" si="23"/>
        <v>0</v>
      </c>
      <c r="AG169" s="72" t="e">
        <f t="shared" ca="1" si="27"/>
        <v>#N/A</v>
      </c>
      <c r="AH169" s="72" t="e">
        <f t="shared" ca="1" si="28"/>
        <v>#N/A</v>
      </c>
      <c r="AI169" s="3" t="e">
        <f t="shared" ca="1" si="29"/>
        <v>#N/A</v>
      </c>
    </row>
    <row r="170" spans="7:35" x14ac:dyDescent="0.25">
      <c r="G170" s="3">
        <f t="shared" ca="1" si="24"/>
        <v>170</v>
      </c>
      <c r="H170" s="104">
        <f t="shared" ca="1" si="26"/>
        <v>45095</v>
      </c>
      <c r="I170" s="131" t="e">
        <f>HLOOKUP($H$4,'Met Data'!$A$2:$F$368,G170,FALSE)</f>
        <v>#N/A</v>
      </c>
      <c r="J170" s="131" t="e">
        <f ca="1">HLOOKUP($H$4,'Met Data'!$H$2:$M$368,G170,FALSE)*L170</f>
        <v>#N/A</v>
      </c>
      <c r="K170" s="105" t="e">
        <f>HLOOKUP($H$4,'Met Data'!$O$2:$T$368,G170,FALSE)</f>
        <v>#N/A</v>
      </c>
      <c r="L170">
        <f t="shared" ca="1" si="20"/>
        <v>1</v>
      </c>
      <c r="N170" t="e">
        <f t="shared" ca="1" si="25"/>
        <v>#N/A</v>
      </c>
      <c r="O170" t="e">
        <f t="shared" ca="1" si="21"/>
        <v>#N/A</v>
      </c>
      <c r="P170" s="2" t="e">
        <f ca="1"/>
        <v>#N/A</v>
      </c>
      <c r="Q170" t="e">
        <f ca="1"/>
        <v>#N/A</v>
      </c>
      <c r="R170" t="e">
        <f ca="1"/>
        <v>#N/A</v>
      </c>
      <c r="S170" t="e">
        <f ca="1"/>
        <v>#N/A</v>
      </c>
      <c r="T170" t="e">
        <f ca="1"/>
        <v>#N/A</v>
      </c>
      <c r="U170" t="e">
        <f ca="1"/>
        <v>#N/A</v>
      </c>
      <c r="V170" t="e">
        <f ca="1"/>
        <v>#N/A</v>
      </c>
      <c r="W170" t="e">
        <f ca="1"/>
        <v>#N/A</v>
      </c>
      <c r="X170" t="e">
        <f ca="1"/>
        <v>#N/A</v>
      </c>
      <c r="Y170" t="e">
        <f ca="1"/>
        <v>#N/A</v>
      </c>
      <c r="Z170" t="e">
        <f ca="1"/>
        <v>#N/A</v>
      </c>
      <c r="AA170" t="e">
        <f ca="1"/>
        <v>#N/A</v>
      </c>
      <c r="AB170" t="e">
        <f ca="1"/>
        <v>#N/A</v>
      </c>
      <c r="AD170" s="2">
        <f t="shared" ca="1" si="22"/>
        <v>0</v>
      </c>
      <c r="AE170" s="46">
        <f t="shared" ca="1" si="23"/>
        <v>0</v>
      </c>
      <c r="AG170" s="72" t="e">
        <f t="shared" ca="1" si="27"/>
        <v>#N/A</v>
      </c>
      <c r="AH170" s="72" t="e">
        <f t="shared" ca="1" si="28"/>
        <v>#N/A</v>
      </c>
      <c r="AI170" s="3" t="e">
        <f t="shared" ca="1" si="29"/>
        <v>#N/A</v>
      </c>
    </row>
    <row r="171" spans="7:35" x14ac:dyDescent="0.25">
      <c r="G171" s="3">
        <f t="shared" ca="1" si="24"/>
        <v>171</v>
      </c>
      <c r="H171" s="104">
        <f t="shared" ca="1" si="26"/>
        <v>45096</v>
      </c>
      <c r="I171" s="131" t="e">
        <f>HLOOKUP($H$4,'Met Data'!$A$2:$F$368,G171,FALSE)</f>
        <v>#N/A</v>
      </c>
      <c r="J171" s="131" t="e">
        <f ca="1">HLOOKUP($H$4,'Met Data'!$H$2:$M$368,G171,FALSE)*L171</f>
        <v>#N/A</v>
      </c>
      <c r="K171" s="105" t="e">
        <f>HLOOKUP($H$4,'Met Data'!$O$2:$T$368,G171,FALSE)</f>
        <v>#N/A</v>
      </c>
      <c r="L171">
        <f t="shared" ca="1" si="20"/>
        <v>1</v>
      </c>
      <c r="N171" t="e">
        <f t="shared" ca="1" si="25"/>
        <v>#N/A</v>
      </c>
      <c r="O171" t="e">
        <f t="shared" ca="1" si="21"/>
        <v>#N/A</v>
      </c>
      <c r="P171" s="2" t="e">
        <f ca="1"/>
        <v>#N/A</v>
      </c>
      <c r="Q171" t="e">
        <f ca="1"/>
        <v>#N/A</v>
      </c>
      <c r="R171" t="e">
        <f ca="1"/>
        <v>#N/A</v>
      </c>
      <c r="S171" t="e">
        <f ca="1"/>
        <v>#N/A</v>
      </c>
      <c r="T171" t="e">
        <f ca="1"/>
        <v>#N/A</v>
      </c>
      <c r="U171" t="e">
        <f ca="1"/>
        <v>#N/A</v>
      </c>
      <c r="V171" t="e">
        <f ca="1"/>
        <v>#N/A</v>
      </c>
      <c r="W171" t="e">
        <f ca="1"/>
        <v>#N/A</v>
      </c>
      <c r="X171" t="e">
        <f ca="1"/>
        <v>#N/A</v>
      </c>
      <c r="Y171" t="e">
        <f ca="1"/>
        <v>#N/A</v>
      </c>
      <c r="Z171" t="e">
        <f ca="1"/>
        <v>#N/A</v>
      </c>
      <c r="AA171" t="e">
        <f ca="1"/>
        <v>#N/A</v>
      </c>
      <c r="AB171" t="e">
        <f ca="1"/>
        <v>#N/A</v>
      </c>
      <c r="AD171" s="2">
        <f t="shared" ca="1" si="22"/>
        <v>0</v>
      </c>
      <c r="AE171" s="46">
        <f t="shared" ca="1" si="23"/>
        <v>0</v>
      </c>
      <c r="AG171" s="72" t="e">
        <f t="shared" ca="1" si="27"/>
        <v>#N/A</v>
      </c>
      <c r="AH171" s="72" t="e">
        <f t="shared" ca="1" si="28"/>
        <v>#N/A</v>
      </c>
      <c r="AI171" s="3" t="e">
        <f t="shared" ca="1" si="29"/>
        <v>#N/A</v>
      </c>
    </row>
    <row r="172" spans="7:35" x14ac:dyDescent="0.25">
      <c r="G172" s="3">
        <f t="shared" ca="1" si="24"/>
        <v>172</v>
      </c>
      <c r="H172" s="104">
        <f t="shared" ca="1" si="26"/>
        <v>45097</v>
      </c>
      <c r="I172" s="131" t="e">
        <f>HLOOKUP($H$4,'Met Data'!$A$2:$F$368,G172,FALSE)</f>
        <v>#N/A</v>
      </c>
      <c r="J172" s="131" t="e">
        <f ca="1">HLOOKUP($H$4,'Met Data'!$H$2:$M$368,G172,FALSE)*L172</f>
        <v>#N/A</v>
      </c>
      <c r="K172" s="105" t="e">
        <f>HLOOKUP($H$4,'Met Data'!$O$2:$T$368,G172,FALSE)</f>
        <v>#N/A</v>
      </c>
      <c r="L172">
        <f t="shared" ca="1" si="20"/>
        <v>1</v>
      </c>
      <c r="N172" t="e">
        <f t="shared" ca="1" si="25"/>
        <v>#N/A</v>
      </c>
      <c r="O172" t="e">
        <f t="shared" ca="1" si="21"/>
        <v>#N/A</v>
      </c>
      <c r="P172" s="2" t="e">
        <f ca="1"/>
        <v>#N/A</v>
      </c>
      <c r="Q172" t="e">
        <f ca="1"/>
        <v>#N/A</v>
      </c>
      <c r="R172" t="e">
        <f ca="1"/>
        <v>#N/A</v>
      </c>
      <c r="S172" t="e">
        <f ca="1"/>
        <v>#N/A</v>
      </c>
      <c r="T172" t="e">
        <f ca="1"/>
        <v>#N/A</v>
      </c>
      <c r="U172" t="e">
        <f ca="1"/>
        <v>#N/A</v>
      </c>
      <c r="V172" t="e">
        <f ca="1"/>
        <v>#N/A</v>
      </c>
      <c r="W172" t="e">
        <f ca="1"/>
        <v>#N/A</v>
      </c>
      <c r="X172" t="e">
        <f ca="1"/>
        <v>#N/A</v>
      </c>
      <c r="Y172" t="e">
        <f ca="1"/>
        <v>#N/A</v>
      </c>
      <c r="Z172" t="e">
        <f ca="1"/>
        <v>#N/A</v>
      </c>
      <c r="AA172" t="e">
        <f ca="1"/>
        <v>#N/A</v>
      </c>
      <c r="AB172" t="e">
        <f ca="1"/>
        <v>#N/A</v>
      </c>
      <c r="AD172" s="2">
        <f t="shared" ca="1" si="22"/>
        <v>0</v>
      </c>
      <c r="AE172" s="46">
        <f t="shared" ca="1" si="23"/>
        <v>0</v>
      </c>
      <c r="AG172" s="72" t="e">
        <f t="shared" ca="1" si="27"/>
        <v>#N/A</v>
      </c>
      <c r="AH172" s="72" t="e">
        <f t="shared" ca="1" si="28"/>
        <v>#N/A</v>
      </c>
      <c r="AI172" s="3" t="e">
        <f t="shared" ca="1" si="29"/>
        <v>#N/A</v>
      </c>
    </row>
    <row r="173" spans="7:35" x14ac:dyDescent="0.25">
      <c r="G173" s="3">
        <f t="shared" ca="1" si="24"/>
        <v>173</v>
      </c>
      <c r="H173" s="104">
        <f t="shared" ca="1" si="26"/>
        <v>45098</v>
      </c>
      <c r="I173" s="131" t="e">
        <f>HLOOKUP($H$4,'Met Data'!$A$2:$F$368,G173,FALSE)</f>
        <v>#N/A</v>
      </c>
      <c r="J173" s="131" t="e">
        <f ca="1">HLOOKUP($H$4,'Met Data'!$H$2:$M$368,G173,FALSE)*L173</f>
        <v>#N/A</v>
      </c>
      <c r="K173" s="105" t="e">
        <f>HLOOKUP($H$4,'Met Data'!$O$2:$T$368,G173,FALSE)</f>
        <v>#N/A</v>
      </c>
      <c r="L173">
        <f t="shared" ca="1" si="20"/>
        <v>1</v>
      </c>
      <c r="N173" t="e">
        <f t="shared" ca="1" si="25"/>
        <v>#N/A</v>
      </c>
      <c r="O173" t="e">
        <f t="shared" ca="1" si="21"/>
        <v>#N/A</v>
      </c>
      <c r="P173" s="2" t="e">
        <f ca="1"/>
        <v>#N/A</v>
      </c>
      <c r="Q173" t="e">
        <f ca="1"/>
        <v>#N/A</v>
      </c>
      <c r="R173" t="e">
        <f ca="1"/>
        <v>#N/A</v>
      </c>
      <c r="S173" t="e">
        <f ca="1"/>
        <v>#N/A</v>
      </c>
      <c r="T173" t="e">
        <f ca="1"/>
        <v>#N/A</v>
      </c>
      <c r="U173" t="e">
        <f ca="1"/>
        <v>#N/A</v>
      </c>
      <c r="V173" t="e">
        <f ca="1"/>
        <v>#N/A</v>
      </c>
      <c r="W173" t="e">
        <f ca="1"/>
        <v>#N/A</v>
      </c>
      <c r="X173" t="e">
        <f ca="1"/>
        <v>#N/A</v>
      </c>
      <c r="Y173" t="e">
        <f ca="1"/>
        <v>#N/A</v>
      </c>
      <c r="Z173" t="e">
        <f ca="1"/>
        <v>#N/A</v>
      </c>
      <c r="AA173" t="e">
        <f ca="1"/>
        <v>#N/A</v>
      </c>
      <c r="AB173" t="e">
        <f ca="1"/>
        <v>#N/A</v>
      </c>
      <c r="AD173" s="2">
        <f t="shared" ca="1" si="22"/>
        <v>0</v>
      </c>
      <c r="AE173" s="46">
        <f t="shared" ca="1" si="23"/>
        <v>0</v>
      </c>
      <c r="AG173" s="72" t="e">
        <f t="shared" ca="1" si="27"/>
        <v>#N/A</v>
      </c>
      <c r="AH173" s="72" t="e">
        <f t="shared" ca="1" si="28"/>
        <v>#N/A</v>
      </c>
      <c r="AI173" s="3" t="e">
        <f t="shared" ca="1" si="29"/>
        <v>#N/A</v>
      </c>
    </row>
    <row r="174" spans="7:35" x14ac:dyDescent="0.25">
      <c r="G174" s="3">
        <f t="shared" ca="1" si="24"/>
        <v>174</v>
      </c>
      <c r="H174" s="104">
        <f t="shared" ca="1" si="26"/>
        <v>45099</v>
      </c>
      <c r="I174" s="131" t="e">
        <f>HLOOKUP($H$4,'Met Data'!$A$2:$F$368,G174,FALSE)</f>
        <v>#N/A</v>
      </c>
      <c r="J174" s="131" t="e">
        <f ca="1">HLOOKUP($H$4,'Met Data'!$H$2:$M$368,G174,FALSE)*L174</f>
        <v>#N/A</v>
      </c>
      <c r="K174" s="105" t="e">
        <f>HLOOKUP($H$4,'Met Data'!$O$2:$T$368,G174,FALSE)</f>
        <v>#N/A</v>
      </c>
      <c r="L174">
        <f t="shared" ca="1" si="20"/>
        <v>1</v>
      </c>
      <c r="N174" t="e">
        <f t="shared" ca="1" si="25"/>
        <v>#N/A</v>
      </c>
      <c r="O174" t="e">
        <f t="shared" ca="1" si="21"/>
        <v>#N/A</v>
      </c>
      <c r="P174" s="2" t="e">
        <f ca="1"/>
        <v>#N/A</v>
      </c>
      <c r="Q174" t="e">
        <f ca="1"/>
        <v>#N/A</v>
      </c>
      <c r="R174" t="e">
        <f ca="1"/>
        <v>#N/A</v>
      </c>
      <c r="S174" t="e">
        <f ca="1"/>
        <v>#N/A</v>
      </c>
      <c r="T174" t="e">
        <f ca="1"/>
        <v>#N/A</v>
      </c>
      <c r="U174" t="e">
        <f ca="1"/>
        <v>#N/A</v>
      </c>
      <c r="V174" t="e">
        <f ca="1"/>
        <v>#N/A</v>
      </c>
      <c r="W174" t="e">
        <f ca="1"/>
        <v>#N/A</v>
      </c>
      <c r="X174" t="e">
        <f ca="1"/>
        <v>#N/A</v>
      </c>
      <c r="Y174" t="e">
        <f ca="1"/>
        <v>#N/A</v>
      </c>
      <c r="Z174" t="e">
        <f ca="1"/>
        <v>#N/A</v>
      </c>
      <c r="AA174" t="e">
        <f ca="1"/>
        <v>#N/A</v>
      </c>
      <c r="AB174" t="e">
        <f ca="1"/>
        <v>#N/A</v>
      </c>
      <c r="AD174" s="2">
        <f t="shared" ca="1" si="22"/>
        <v>0</v>
      </c>
      <c r="AE174" s="46">
        <f t="shared" ca="1" si="23"/>
        <v>0</v>
      </c>
      <c r="AG174" s="72" t="e">
        <f t="shared" ca="1" si="27"/>
        <v>#N/A</v>
      </c>
      <c r="AH174" s="72" t="e">
        <f t="shared" ca="1" si="28"/>
        <v>#N/A</v>
      </c>
      <c r="AI174" s="3" t="e">
        <f t="shared" ca="1" si="29"/>
        <v>#N/A</v>
      </c>
    </row>
    <row r="175" spans="7:35" x14ac:dyDescent="0.25">
      <c r="G175" s="3">
        <f t="shared" ca="1" si="24"/>
        <v>175</v>
      </c>
      <c r="H175" s="104">
        <f t="shared" ca="1" si="26"/>
        <v>45100</v>
      </c>
      <c r="I175" s="131" t="e">
        <f>HLOOKUP($H$4,'Met Data'!$A$2:$F$368,G175,FALSE)</f>
        <v>#N/A</v>
      </c>
      <c r="J175" s="131" t="e">
        <f ca="1">HLOOKUP($H$4,'Met Data'!$H$2:$M$368,G175,FALSE)*L175</f>
        <v>#N/A</v>
      </c>
      <c r="K175" s="105" t="e">
        <f>HLOOKUP($H$4,'Met Data'!$O$2:$T$368,G175,FALSE)</f>
        <v>#N/A</v>
      </c>
      <c r="L175">
        <f t="shared" ca="1" si="20"/>
        <v>1</v>
      </c>
      <c r="N175" t="e">
        <f t="shared" ca="1" si="25"/>
        <v>#N/A</v>
      </c>
      <c r="O175" t="e">
        <f t="shared" ca="1" si="21"/>
        <v>#N/A</v>
      </c>
      <c r="P175" s="2" t="e">
        <f ca="1"/>
        <v>#N/A</v>
      </c>
      <c r="Q175" t="e">
        <f ca="1"/>
        <v>#N/A</v>
      </c>
      <c r="R175" t="e">
        <f ca="1"/>
        <v>#N/A</v>
      </c>
      <c r="S175" t="e">
        <f ca="1"/>
        <v>#N/A</v>
      </c>
      <c r="T175" t="e">
        <f ca="1"/>
        <v>#N/A</v>
      </c>
      <c r="U175" t="e">
        <f ca="1"/>
        <v>#N/A</v>
      </c>
      <c r="V175" t="e">
        <f ca="1"/>
        <v>#N/A</v>
      </c>
      <c r="W175" t="e">
        <f ca="1"/>
        <v>#N/A</v>
      </c>
      <c r="X175" t="e">
        <f ca="1"/>
        <v>#N/A</v>
      </c>
      <c r="Y175" t="e">
        <f ca="1"/>
        <v>#N/A</v>
      </c>
      <c r="Z175" t="e">
        <f ca="1"/>
        <v>#N/A</v>
      </c>
      <c r="AA175" t="e">
        <f ca="1"/>
        <v>#N/A</v>
      </c>
      <c r="AB175" t="e">
        <f ca="1"/>
        <v>#N/A</v>
      </c>
      <c r="AD175" s="2">
        <f t="shared" ca="1" si="22"/>
        <v>0</v>
      </c>
      <c r="AE175" s="46">
        <f t="shared" ca="1" si="23"/>
        <v>0</v>
      </c>
      <c r="AG175" s="72" t="e">
        <f t="shared" ca="1" si="27"/>
        <v>#N/A</v>
      </c>
      <c r="AH175" s="72" t="e">
        <f t="shared" ca="1" si="28"/>
        <v>#N/A</v>
      </c>
      <c r="AI175" s="3" t="e">
        <f t="shared" ca="1" si="29"/>
        <v>#N/A</v>
      </c>
    </row>
    <row r="176" spans="7:35" x14ac:dyDescent="0.25">
      <c r="G176" s="3">
        <f t="shared" ca="1" si="24"/>
        <v>176</v>
      </c>
      <c r="H176" s="104">
        <f t="shared" ca="1" si="26"/>
        <v>45101</v>
      </c>
      <c r="I176" s="131" t="e">
        <f>HLOOKUP($H$4,'Met Data'!$A$2:$F$368,G176,FALSE)</f>
        <v>#N/A</v>
      </c>
      <c r="J176" s="131" t="e">
        <f ca="1">HLOOKUP($H$4,'Met Data'!$H$2:$M$368,G176,FALSE)*L176</f>
        <v>#N/A</v>
      </c>
      <c r="K176" s="105" t="e">
        <f>HLOOKUP($H$4,'Met Data'!$O$2:$T$368,G176,FALSE)</f>
        <v>#N/A</v>
      </c>
      <c r="L176">
        <f t="shared" ca="1" si="20"/>
        <v>1</v>
      </c>
      <c r="N176" t="e">
        <f t="shared" ca="1" si="25"/>
        <v>#N/A</v>
      </c>
      <c r="O176" t="e">
        <f t="shared" ca="1" si="21"/>
        <v>#N/A</v>
      </c>
      <c r="P176" s="2" t="e">
        <f ca="1"/>
        <v>#N/A</v>
      </c>
      <c r="Q176" t="e">
        <f ca="1"/>
        <v>#N/A</v>
      </c>
      <c r="R176" t="e">
        <f ca="1"/>
        <v>#N/A</v>
      </c>
      <c r="S176" t="e">
        <f ca="1"/>
        <v>#N/A</v>
      </c>
      <c r="T176" t="e">
        <f ca="1"/>
        <v>#N/A</v>
      </c>
      <c r="U176" t="e">
        <f ca="1"/>
        <v>#N/A</v>
      </c>
      <c r="V176" t="e">
        <f ca="1"/>
        <v>#N/A</v>
      </c>
      <c r="W176" t="e">
        <f ca="1"/>
        <v>#N/A</v>
      </c>
      <c r="X176" t="e">
        <f ca="1"/>
        <v>#N/A</v>
      </c>
      <c r="Y176" t="e">
        <f ca="1"/>
        <v>#N/A</v>
      </c>
      <c r="Z176" t="e">
        <f ca="1"/>
        <v>#N/A</v>
      </c>
      <c r="AA176" t="e">
        <f ca="1"/>
        <v>#N/A</v>
      </c>
      <c r="AB176" t="e">
        <f ca="1"/>
        <v>#N/A</v>
      </c>
      <c r="AD176" s="2">
        <f t="shared" ca="1" si="22"/>
        <v>0</v>
      </c>
      <c r="AE176" s="46">
        <f t="shared" ca="1" si="23"/>
        <v>0</v>
      </c>
      <c r="AG176" s="72" t="e">
        <f t="shared" ca="1" si="27"/>
        <v>#N/A</v>
      </c>
      <c r="AH176" s="72" t="e">
        <f t="shared" ca="1" si="28"/>
        <v>#N/A</v>
      </c>
      <c r="AI176" s="3" t="e">
        <f t="shared" ca="1" si="29"/>
        <v>#N/A</v>
      </c>
    </row>
    <row r="177" spans="7:35" x14ac:dyDescent="0.25">
      <c r="G177" s="3">
        <f t="shared" ca="1" si="24"/>
        <v>177</v>
      </c>
      <c r="H177" s="104">
        <f t="shared" ca="1" si="26"/>
        <v>45102</v>
      </c>
      <c r="I177" s="131" t="e">
        <f>HLOOKUP($H$4,'Met Data'!$A$2:$F$368,G177,FALSE)</f>
        <v>#N/A</v>
      </c>
      <c r="J177" s="131" t="e">
        <f ca="1">HLOOKUP($H$4,'Met Data'!$H$2:$M$368,G177,FALSE)*L177</f>
        <v>#N/A</v>
      </c>
      <c r="K177" s="105" t="e">
        <f>HLOOKUP($H$4,'Met Data'!$O$2:$T$368,G177,FALSE)</f>
        <v>#N/A</v>
      </c>
      <c r="L177">
        <f t="shared" ca="1" si="20"/>
        <v>1</v>
      </c>
      <c r="N177" t="e">
        <f t="shared" ca="1" si="25"/>
        <v>#N/A</v>
      </c>
      <c r="O177" t="e">
        <f t="shared" ca="1" si="21"/>
        <v>#N/A</v>
      </c>
      <c r="P177" s="2" t="e">
        <f ca="1"/>
        <v>#N/A</v>
      </c>
      <c r="Q177" t="e">
        <f ca="1"/>
        <v>#N/A</v>
      </c>
      <c r="R177" t="e">
        <f ca="1"/>
        <v>#N/A</v>
      </c>
      <c r="S177" t="e">
        <f ca="1"/>
        <v>#N/A</v>
      </c>
      <c r="T177" t="e">
        <f ca="1"/>
        <v>#N/A</v>
      </c>
      <c r="U177" t="e">
        <f ca="1"/>
        <v>#N/A</v>
      </c>
      <c r="V177" t="e">
        <f ca="1"/>
        <v>#N/A</v>
      </c>
      <c r="W177" t="e">
        <f ca="1"/>
        <v>#N/A</v>
      </c>
      <c r="X177" t="e">
        <f ca="1"/>
        <v>#N/A</v>
      </c>
      <c r="Y177" t="e">
        <f ca="1"/>
        <v>#N/A</v>
      </c>
      <c r="Z177" t="e">
        <f ca="1"/>
        <v>#N/A</v>
      </c>
      <c r="AA177" t="e">
        <f ca="1"/>
        <v>#N/A</v>
      </c>
      <c r="AB177" t="e">
        <f ca="1"/>
        <v>#N/A</v>
      </c>
      <c r="AD177" s="2">
        <f t="shared" ca="1" si="22"/>
        <v>0</v>
      </c>
      <c r="AE177" s="46">
        <f t="shared" ca="1" si="23"/>
        <v>0</v>
      </c>
      <c r="AG177" s="72" t="e">
        <f t="shared" ca="1" si="27"/>
        <v>#N/A</v>
      </c>
      <c r="AH177" s="72" t="e">
        <f t="shared" ca="1" si="28"/>
        <v>#N/A</v>
      </c>
      <c r="AI177" s="3" t="e">
        <f t="shared" ca="1" si="29"/>
        <v>#N/A</v>
      </c>
    </row>
    <row r="178" spans="7:35" x14ac:dyDescent="0.25">
      <c r="G178" s="3">
        <f t="shared" ca="1" si="24"/>
        <v>178</v>
      </c>
      <c r="H178" s="104">
        <f t="shared" ca="1" si="26"/>
        <v>45103</v>
      </c>
      <c r="I178" s="131" t="e">
        <f>HLOOKUP($H$4,'Met Data'!$A$2:$F$368,G178,FALSE)</f>
        <v>#N/A</v>
      </c>
      <c r="J178" s="131" t="e">
        <f ca="1">HLOOKUP($H$4,'Met Data'!$H$2:$M$368,G178,FALSE)*L178</f>
        <v>#N/A</v>
      </c>
      <c r="K178" s="105" t="e">
        <f>HLOOKUP($H$4,'Met Data'!$O$2:$T$368,G178,FALSE)</f>
        <v>#N/A</v>
      </c>
      <c r="L178">
        <f t="shared" ca="1" si="20"/>
        <v>1</v>
      </c>
      <c r="N178" t="e">
        <f t="shared" ca="1" si="25"/>
        <v>#N/A</v>
      </c>
      <c r="O178" t="e">
        <f t="shared" ca="1" si="21"/>
        <v>#N/A</v>
      </c>
      <c r="P178" s="2" t="e">
        <f ca="1"/>
        <v>#N/A</v>
      </c>
      <c r="Q178" t="e">
        <f ca="1"/>
        <v>#N/A</v>
      </c>
      <c r="R178" t="e">
        <f ca="1"/>
        <v>#N/A</v>
      </c>
      <c r="S178" t="e">
        <f ca="1"/>
        <v>#N/A</v>
      </c>
      <c r="T178" t="e">
        <f ca="1"/>
        <v>#N/A</v>
      </c>
      <c r="U178" t="e">
        <f ca="1"/>
        <v>#N/A</v>
      </c>
      <c r="V178" t="e">
        <f ca="1"/>
        <v>#N/A</v>
      </c>
      <c r="W178" t="e">
        <f ca="1"/>
        <v>#N/A</v>
      </c>
      <c r="X178" t="e">
        <f ca="1"/>
        <v>#N/A</v>
      </c>
      <c r="Y178" t="e">
        <f ca="1"/>
        <v>#N/A</v>
      </c>
      <c r="Z178" t="e">
        <f ca="1"/>
        <v>#N/A</v>
      </c>
      <c r="AA178" t="e">
        <f ca="1"/>
        <v>#N/A</v>
      </c>
      <c r="AB178" t="e">
        <f ca="1"/>
        <v>#N/A</v>
      </c>
      <c r="AD178" s="2">
        <f t="shared" ca="1" si="22"/>
        <v>0</v>
      </c>
      <c r="AE178" s="46">
        <f t="shared" ca="1" si="23"/>
        <v>0</v>
      </c>
      <c r="AG178" s="72" t="e">
        <f t="shared" ca="1" si="27"/>
        <v>#N/A</v>
      </c>
      <c r="AH178" s="72" t="e">
        <f t="shared" ca="1" si="28"/>
        <v>#N/A</v>
      </c>
      <c r="AI178" s="3" t="e">
        <f t="shared" ca="1" si="29"/>
        <v>#N/A</v>
      </c>
    </row>
    <row r="179" spans="7:35" x14ac:dyDescent="0.25">
      <c r="G179" s="3">
        <f t="shared" ca="1" si="24"/>
        <v>179</v>
      </c>
      <c r="H179" s="104">
        <f t="shared" ca="1" si="26"/>
        <v>45104</v>
      </c>
      <c r="I179" s="131" t="e">
        <f>HLOOKUP($H$4,'Met Data'!$A$2:$F$368,G179,FALSE)</f>
        <v>#N/A</v>
      </c>
      <c r="J179" s="131" t="e">
        <f ca="1">HLOOKUP($H$4,'Met Data'!$H$2:$M$368,G179,FALSE)*L179</f>
        <v>#N/A</v>
      </c>
      <c r="K179" s="105" t="e">
        <f>HLOOKUP($H$4,'Met Data'!$O$2:$T$368,G179,FALSE)</f>
        <v>#N/A</v>
      </c>
      <c r="L179">
        <f t="shared" ca="1" si="20"/>
        <v>1</v>
      </c>
      <c r="N179" t="e">
        <f t="shared" ca="1" si="25"/>
        <v>#N/A</v>
      </c>
      <c r="O179" t="e">
        <f t="shared" ca="1" si="21"/>
        <v>#N/A</v>
      </c>
      <c r="P179" s="2" t="e">
        <f ca="1"/>
        <v>#N/A</v>
      </c>
      <c r="Q179" t="e">
        <f ca="1"/>
        <v>#N/A</v>
      </c>
      <c r="R179" t="e">
        <f ca="1"/>
        <v>#N/A</v>
      </c>
      <c r="S179" t="e">
        <f ca="1"/>
        <v>#N/A</v>
      </c>
      <c r="T179" t="e">
        <f ca="1"/>
        <v>#N/A</v>
      </c>
      <c r="U179" t="e">
        <f ca="1"/>
        <v>#N/A</v>
      </c>
      <c r="V179" t="e">
        <f ca="1"/>
        <v>#N/A</v>
      </c>
      <c r="W179" t="e">
        <f ca="1"/>
        <v>#N/A</v>
      </c>
      <c r="X179" t="e">
        <f ca="1"/>
        <v>#N/A</v>
      </c>
      <c r="Y179" t="e">
        <f ca="1"/>
        <v>#N/A</v>
      </c>
      <c r="Z179" t="e">
        <f ca="1"/>
        <v>#N/A</v>
      </c>
      <c r="AA179" t="e">
        <f ca="1"/>
        <v>#N/A</v>
      </c>
      <c r="AB179" t="e">
        <f ca="1"/>
        <v>#N/A</v>
      </c>
      <c r="AD179" s="2">
        <f t="shared" ca="1" si="22"/>
        <v>0</v>
      </c>
      <c r="AE179" s="46">
        <f t="shared" ca="1" si="23"/>
        <v>0</v>
      </c>
      <c r="AG179" s="72" t="e">
        <f t="shared" ca="1" si="27"/>
        <v>#N/A</v>
      </c>
      <c r="AH179" s="72" t="e">
        <f t="shared" ca="1" si="28"/>
        <v>#N/A</v>
      </c>
      <c r="AI179" s="3" t="e">
        <f t="shared" ca="1" si="29"/>
        <v>#N/A</v>
      </c>
    </row>
    <row r="180" spans="7:35" x14ac:dyDescent="0.25">
      <c r="G180" s="3">
        <f t="shared" ca="1" si="24"/>
        <v>180</v>
      </c>
      <c r="H180" s="104">
        <f t="shared" ca="1" si="26"/>
        <v>45105</v>
      </c>
      <c r="I180" s="131" t="e">
        <f>HLOOKUP($H$4,'Met Data'!$A$2:$F$368,G180,FALSE)</f>
        <v>#N/A</v>
      </c>
      <c r="J180" s="131" t="e">
        <f ca="1">HLOOKUP($H$4,'Met Data'!$H$2:$M$368,G180,FALSE)*L180</f>
        <v>#N/A</v>
      </c>
      <c r="K180" s="105" t="e">
        <f>HLOOKUP($H$4,'Met Data'!$O$2:$T$368,G180,FALSE)</f>
        <v>#N/A</v>
      </c>
      <c r="L180">
        <f t="shared" ca="1" si="20"/>
        <v>1</v>
      </c>
      <c r="N180" t="e">
        <f t="shared" ca="1" si="25"/>
        <v>#N/A</v>
      </c>
      <c r="O180" t="e">
        <f t="shared" ca="1" si="21"/>
        <v>#N/A</v>
      </c>
      <c r="P180" s="2" t="e">
        <f ca="1"/>
        <v>#N/A</v>
      </c>
      <c r="Q180" t="e">
        <f ca="1"/>
        <v>#N/A</v>
      </c>
      <c r="R180" t="e">
        <f ca="1"/>
        <v>#N/A</v>
      </c>
      <c r="S180" t="e">
        <f ca="1"/>
        <v>#N/A</v>
      </c>
      <c r="T180" t="e">
        <f ca="1"/>
        <v>#N/A</v>
      </c>
      <c r="U180" t="e">
        <f ca="1"/>
        <v>#N/A</v>
      </c>
      <c r="V180" t="e">
        <f ca="1"/>
        <v>#N/A</v>
      </c>
      <c r="W180" t="e">
        <f ca="1"/>
        <v>#N/A</v>
      </c>
      <c r="X180" t="e">
        <f ca="1"/>
        <v>#N/A</v>
      </c>
      <c r="Y180" t="e">
        <f ca="1"/>
        <v>#N/A</v>
      </c>
      <c r="Z180" t="e">
        <f ca="1"/>
        <v>#N/A</v>
      </c>
      <c r="AA180" t="e">
        <f ca="1"/>
        <v>#N/A</v>
      </c>
      <c r="AB180" t="e">
        <f ca="1"/>
        <v>#N/A</v>
      </c>
      <c r="AD180" s="2">
        <f t="shared" ca="1" si="22"/>
        <v>0</v>
      </c>
      <c r="AE180" s="46">
        <f t="shared" ca="1" si="23"/>
        <v>0</v>
      </c>
      <c r="AG180" s="72" t="e">
        <f t="shared" ca="1" si="27"/>
        <v>#N/A</v>
      </c>
      <c r="AH180" s="72" t="e">
        <f t="shared" ca="1" si="28"/>
        <v>#N/A</v>
      </c>
      <c r="AI180" s="3" t="e">
        <f t="shared" ca="1" si="29"/>
        <v>#N/A</v>
      </c>
    </row>
    <row r="181" spans="7:35" x14ac:dyDescent="0.25">
      <c r="G181" s="3">
        <f t="shared" ca="1" si="24"/>
        <v>181</v>
      </c>
      <c r="H181" s="104">
        <f t="shared" ca="1" si="26"/>
        <v>45106</v>
      </c>
      <c r="I181" s="131" t="e">
        <f>HLOOKUP($H$4,'Met Data'!$A$2:$F$368,G181,FALSE)</f>
        <v>#N/A</v>
      </c>
      <c r="J181" s="131" t="e">
        <f ca="1">HLOOKUP($H$4,'Met Data'!$H$2:$M$368,G181,FALSE)*L181</f>
        <v>#N/A</v>
      </c>
      <c r="K181" s="105" t="e">
        <f>HLOOKUP($H$4,'Met Data'!$O$2:$T$368,G181,FALSE)</f>
        <v>#N/A</v>
      </c>
      <c r="L181">
        <f t="shared" ca="1" si="20"/>
        <v>1</v>
      </c>
      <c r="N181" t="e">
        <f t="shared" ca="1" si="25"/>
        <v>#N/A</v>
      </c>
      <c r="O181" t="e">
        <f t="shared" ca="1" si="21"/>
        <v>#N/A</v>
      </c>
      <c r="P181" s="2" t="e">
        <f ca="1"/>
        <v>#N/A</v>
      </c>
      <c r="Q181" t="e">
        <f ca="1"/>
        <v>#N/A</v>
      </c>
      <c r="R181" t="e">
        <f ca="1"/>
        <v>#N/A</v>
      </c>
      <c r="S181" t="e">
        <f ca="1"/>
        <v>#N/A</v>
      </c>
      <c r="T181" t="e">
        <f ca="1"/>
        <v>#N/A</v>
      </c>
      <c r="U181" t="e">
        <f ca="1"/>
        <v>#N/A</v>
      </c>
      <c r="V181" t="e">
        <f ca="1"/>
        <v>#N/A</v>
      </c>
      <c r="W181" t="e">
        <f ca="1"/>
        <v>#N/A</v>
      </c>
      <c r="X181" t="e">
        <f ca="1"/>
        <v>#N/A</v>
      </c>
      <c r="Y181" t="e">
        <f ca="1"/>
        <v>#N/A</v>
      </c>
      <c r="Z181" t="e">
        <f ca="1"/>
        <v>#N/A</v>
      </c>
      <c r="AA181" t="e">
        <f ca="1"/>
        <v>#N/A</v>
      </c>
      <c r="AB181" t="e">
        <f ca="1"/>
        <v>#N/A</v>
      </c>
      <c r="AD181" s="2">
        <f t="shared" ca="1" si="22"/>
        <v>0</v>
      </c>
      <c r="AE181" s="46">
        <f t="shared" ca="1" si="23"/>
        <v>0</v>
      </c>
      <c r="AG181" s="72" t="e">
        <f t="shared" ca="1" si="27"/>
        <v>#N/A</v>
      </c>
      <c r="AH181" s="72" t="e">
        <f t="shared" ca="1" si="28"/>
        <v>#N/A</v>
      </c>
      <c r="AI181" s="3" t="e">
        <f t="shared" ca="1" si="29"/>
        <v>#N/A</v>
      </c>
    </row>
    <row r="182" spans="7:35" x14ac:dyDescent="0.25">
      <c r="G182" s="3">
        <f t="shared" ca="1" si="24"/>
        <v>182</v>
      </c>
      <c r="H182" s="104">
        <f t="shared" ca="1" si="26"/>
        <v>45107</v>
      </c>
      <c r="I182" s="131" t="e">
        <f>HLOOKUP($H$4,'Met Data'!$A$2:$F$368,G182,FALSE)</f>
        <v>#N/A</v>
      </c>
      <c r="J182" s="131" t="e">
        <f ca="1">HLOOKUP($H$4,'Met Data'!$H$2:$M$368,G182,FALSE)*L182</f>
        <v>#N/A</v>
      </c>
      <c r="K182" s="105" t="e">
        <f>HLOOKUP($H$4,'Met Data'!$O$2:$T$368,G182,FALSE)</f>
        <v>#N/A</v>
      </c>
      <c r="L182">
        <f t="shared" ca="1" si="20"/>
        <v>1</v>
      </c>
      <c r="N182" t="e">
        <f t="shared" ca="1" si="25"/>
        <v>#N/A</v>
      </c>
      <c r="O182" t="e">
        <f t="shared" ca="1" si="21"/>
        <v>#N/A</v>
      </c>
      <c r="P182" s="2" t="e">
        <f ca="1"/>
        <v>#N/A</v>
      </c>
      <c r="Q182" t="e">
        <f ca="1"/>
        <v>#N/A</v>
      </c>
      <c r="R182" t="e">
        <f ca="1"/>
        <v>#N/A</v>
      </c>
      <c r="S182" t="e">
        <f ca="1"/>
        <v>#N/A</v>
      </c>
      <c r="T182" t="e">
        <f ca="1"/>
        <v>#N/A</v>
      </c>
      <c r="U182" t="e">
        <f ca="1"/>
        <v>#N/A</v>
      </c>
      <c r="V182" t="e">
        <f ca="1"/>
        <v>#N/A</v>
      </c>
      <c r="W182" t="e">
        <f ca="1"/>
        <v>#N/A</v>
      </c>
      <c r="X182" t="e">
        <f ca="1"/>
        <v>#N/A</v>
      </c>
      <c r="Y182" t="e">
        <f ca="1"/>
        <v>#N/A</v>
      </c>
      <c r="Z182" t="e">
        <f ca="1"/>
        <v>#N/A</v>
      </c>
      <c r="AA182" t="e">
        <f ca="1"/>
        <v>#N/A</v>
      </c>
      <c r="AB182" t="e">
        <f ca="1"/>
        <v>#N/A</v>
      </c>
      <c r="AD182" s="2">
        <f t="shared" ca="1" si="22"/>
        <v>0</v>
      </c>
      <c r="AE182" s="46">
        <f t="shared" ca="1" si="23"/>
        <v>0</v>
      </c>
      <c r="AG182" s="72" t="e">
        <f t="shared" ca="1" si="27"/>
        <v>#N/A</v>
      </c>
      <c r="AH182" s="72" t="e">
        <f t="shared" ca="1" si="28"/>
        <v>#N/A</v>
      </c>
      <c r="AI182" s="3" t="e">
        <f t="shared" ca="1" si="29"/>
        <v>#N/A</v>
      </c>
    </row>
    <row r="183" spans="7:35" x14ac:dyDescent="0.25">
      <c r="G183" s="3">
        <f t="shared" ca="1" si="24"/>
        <v>183</v>
      </c>
      <c r="H183" s="104">
        <f t="shared" ca="1" si="26"/>
        <v>45108</v>
      </c>
      <c r="I183" s="131" t="e">
        <f>HLOOKUP($H$4,'Met Data'!$A$2:$F$368,G183,FALSE)</f>
        <v>#N/A</v>
      </c>
      <c r="J183" s="131" t="e">
        <f ca="1">HLOOKUP($H$4,'Met Data'!$H$2:$M$368,G183,FALSE)*L183</f>
        <v>#N/A</v>
      </c>
      <c r="K183" s="105" t="e">
        <f>HLOOKUP($H$4,'Met Data'!$O$2:$T$368,G183,FALSE)</f>
        <v>#N/A</v>
      </c>
      <c r="L183">
        <f t="shared" ca="1" si="20"/>
        <v>1</v>
      </c>
      <c r="N183" t="e">
        <f t="shared" ca="1" si="25"/>
        <v>#N/A</v>
      </c>
      <c r="O183" t="e">
        <f t="shared" ca="1" si="21"/>
        <v>#N/A</v>
      </c>
      <c r="P183" s="2" t="e">
        <f ca="1"/>
        <v>#N/A</v>
      </c>
      <c r="Q183" t="e">
        <f ca="1"/>
        <v>#N/A</v>
      </c>
      <c r="R183" t="e">
        <f ca="1"/>
        <v>#N/A</v>
      </c>
      <c r="S183" t="e">
        <f ca="1"/>
        <v>#N/A</v>
      </c>
      <c r="T183" t="e">
        <f ca="1"/>
        <v>#N/A</v>
      </c>
      <c r="U183" t="e">
        <f ca="1"/>
        <v>#N/A</v>
      </c>
      <c r="V183" t="e">
        <f ca="1"/>
        <v>#N/A</v>
      </c>
      <c r="W183" t="e">
        <f ca="1"/>
        <v>#N/A</v>
      </c>
      <c r="X183" t="e">
        <f ca="1"/>
        <v>#N/A</v>
      </c>
      <c r="Y183" t="e">
        <f ca="1"/>
        <v>#N/A</v>
      </c>
      <c r="Z183" t="e">
        <f ca="1"/>
        <v>#N/A</v>
      </c>
      <c r="AA183" t="e">
        <f ca="1"/>
        <v>#N/A</v>
      </c>
      <c r="AB183" t="e">
        <f ca="1"/>
        <v>#N/A</v>
      </c>
      <c r="AD183" s="2">
        <f t="shared" ca="1" si="22"/>
        <v>0</v>
      </c>
      <c r="AE183" s="46">
        <f t="shared" ca="1" si="23"/>
        <v>0</v>
      </c>
      <c r="AG183" s="72" t="e">
        <f t="shared" ca="1" si="27"/>
        <v>#N/A</v>
      </c>
      <c r="AH183" s="72" t="e">
        <f t="shared" ca="1" si="28"/>
        <v>#N/A</v>
      </c>
      <c r="AI183" s="3" t="e">
        <f t="shared" ca="1" si="29"/>
        <v>#N/A</v>
      </c>
    </row>
    <row r="184" spans="7:35" x14ac:dyDescent="0.25">
      <c r="G184" s="3">
        <f t="shared" ca="1" si="24"/>
        <v>184</v>
      </c>
      <c r="H184" s="104">
        <f t="shared" ca="1" si="26"/>
        <v>45109</v>
      </c>
      <c r="I184" s="131" t="e">
        <f>HLOOKUP($H$4,'Met Data'!$A$2:$F$368,G184,FALSE)</f>
        <v>#N/A</v>
      </c>
      <c r="J184" s="131" t="e">
        <f ca="1">HLOOKUP($H$4,'Met Data'!$H$2:$M$368,G184,FALSE)*L184</f>
        <v>#N/A</v>
      </c>
      <c r="K184" s="105" t="e">
        <f>HLOOKUP($H$4,'Met Data'!$O$2:$T$368,G184,FALSE)</f>
        <v>#N/A</v>
      </c>
      <c r="L184">
        <f t="shared" ca="1" si="20"/>
        <v>1</v>
      </c>
      <c r="N184" t="e">
        <f t="shared" ca="1" si="25"/>
        <v>#N/A</v>
      </c>
      <c r="O184" t="e">
        <f t="shared" ca="1" si="21"/>
        <v>#N/A</v>
      </c>
      <c r="P184" s="2" t="e">
        <f ca="1"/>
        <v>#N/A</v>
      </c>
      <c r="Q184" t="e">
        <f ca="1"/>
        <v>#N/A</v>
      </c>
      <c r="R184" t="e">
        <f ca="1"/>
        <v>#N/A</v>
      </c>
      <c r="S184" t="e">
        <f ca="1"/>
        <v>#N/A</v>
      </c>
      <c r="T184" t="e">
        <f ca="1"/>
        <v>#N/A</v>
      </c>
      <c r="U184" t="e">
        <f ca="1"/>
        <v>#N/A</v>
      </c>
      <c r="V184" t="e">
        <f ca="1"/>
        <v>#N/A</v>
      </c>
      <c r="W184" t="e">
        <f ca="1"/>
        <v>#N/A</v>
      </c>
      <c r="X184" t="e">
        <f ca="1"/>
        <v>#N/A</v>
      </c>
      <c r="Y184" t="e">
        <f ca="1"/>
        <v>#N/A</v>
      </c>
      <c r="Z184" t="e">
        <f ca="1"/>
        <v>#N/A</v>
      </c>
      <c r="AA184" t="e">
        <f ca="1"/>
        <v>#N/A</v>
      </c>
      <c r="AB184" t="e">
        <f ca="1"/>
        <v>#N/A</v>
      </c>
      <c r="AD184" s="2">
        <f t="shared" ca="1" si="22"/>
        <v>0</v>
      </c>
      <c r="AE184" s="46">
        <f t="shared" ca="1" si="23"/>
        <v>0</v>
      </c>
      <c r="AG184" s="72" t="e">
        <f t="shared" ca="1" si="27"/>
        <v>#N/A</v>
      </c>
      <c r="AH184" s="72" t="e">
        <f t="shared" ca="1" si="28"/>
        <v>#N/A</v>
      </c>
      <c r="AI184" s="3" t="e">
        <f t="shared" ca="1" si="29"/>
        <v>#N/A</v>
      </c>
    </row>
    <row r="185" spans="7:35" x14ac:dyDescent="0.25">
      <c r="G185" s="3">
        <f t="shared" ca="1" si="24"/>
        <v>185</v>
      </c>
      <c r="H185" s="104">
        <f t="shared" ca="1" si="26"/>
        <v>45110</v>
      </c>
      <c r="I185" s="131" t="e">
        <f>HLOOKUP($H$4,'Met Data'!$A$2:$F$368,G185,FALSE)</f>
        <v>#N/A</v>
      </c>
      <c r="J185" s="131" t="e">
        <f ca="1">HLOOKUP($H$4,'Met Data'!$H$2:$M$368,G185,FALSE)*L185</f>
        <v>#N/A</v>
      </c>
      <c r="K185" s="105" t="e">
        <f>HLOOKUP($H$4,'Met Data'!$O$2:$T$368,G185,FALSE)</f>
        <v>#N/A</v>
      </c>
      <c r="L185">
        <f t="shared" ca="1" si="20"/>
        <v>1</v>
      </c>
      <c r="N185" t="e">
        <f t="shared" ca="1" si="25"/>
        <v>#N/A</v>
      </c>
      <c r="O185" t="e">
        <f t="shared" ca="1" si="21"/>
        <v>#N/A</v>
      </c>
      <c r="P185" s="2" t="e">
        <f ca="1"/>
        <v>#N/A</v>
      </c>
      <c r="Q185" t="e">
        <f ca="1"/>
        <v>#N/A</v>
      </c>
      <c r="R185" t="e">
        <f ca="1"/>
        <v>#N/A</v>
      </c>
      <c r="S185" t="e">
        <f ca="1"/>
        <v>#N/A</v>
      </c>
      <c r="T185" t="e">
        <f ca="1"/>
        <v>#N/A</v>
      </c>
      <c r="U185" t="e">
        <f ca="1"/>
        <v>#N/A</v>
      </c>
      <c r="V185" t="e">
        <f ca="1"/>
        <v>#N/A</v>
      </c>
      <c r="W185" t="e">
        <f ca="1"/>
        <v>#N/A</v>
      </c>
      <c r="X185" t="e">
        <f ca="1"/>
        <v>#N/A</v>
      </c>
      <c r="Y185" t="e">
        <f ca="1"/>
        <v>#N/A</v>
      </c>
      <c r="Z185" t="e">
        <f ca="1"/>
        <v>#N/A</v>
      </c>
      <c r="AA185" t="e">
        <f ca="1"/>
        <v>#N/A</v>
      </c>
      <c r="AB185" t="e">
        <f ca="1"/>
        <v>#N/A</v>
      </c>
      <c r="AD185" s="2">
        <f t="shared" ca="1" si="22"/>
        <v>0</v>
      </c>
      <c r="AE185" s="46">
        <f t="shared" ca="1" si="23"/>
        <v>0</v>
      </c>
      <c r="AG185" s="72" t="e">
        <f t="shared" ca="1" si="27"/>
        <v>#N/A</v>
      </c>
      <c r="AH185" s="72" t="e">
        <f t="shared" ca="1" si="28"/>
        <v>#N/A</v>
      </c>
      <c r="AI185" s="3" t="e">
        <f t="shared" ca="1" si="29"/>
        <v>#N/A</v>
      </c>
    </row>
    <row r="186" spans="7:35" x14ac:dyDescent="0.25">
      <c r="G186" s="3">
        <f t="shared" ca="1" si="24"/>
        <v>186</v>
      </c>
      <c r="H186" s="104">
        <f t="shared" ca="1" si="26"/>
        <v>45111</v>
      </c>
      <c r="I186" s="131" t="e">
        <f>HLOOKUP($H$4,'Met Data'!$A$2:$F$368,G186,FALSE)</f>
        <v>#N/A</v>
      </c>
      <c r="J186" s="131" t="e">
        <f ca="1">HLOOKUP($H$4,'Met Data'!$H$2:$M$368,G186,FALSE)*L186</f>
        <v>#N/A</v>
      </c>
      <c r="K186" s="105" t="e">
        <f>HLOOKUP($H$4,'Met Data'!$O$2:$T$368,G186,FALSE)</f>
        <v>#N/A</v>
      </c>
      <c r="L186">
        <f t="shared" ca="1" si="20"/>
        <v>1</v>
      </c>
      <c r="N186" t="e">
        <f t="shared" ca="1" si="25"/>
        <v>#N/A</v>
      </c>
      <c r="O186" t="e">
        <f t="shared" ca="1" si="21"/>
        <v>#N/A</v>
      </c>
      <c r="P186" s="2" t="e">
        <f ca="1"/>
        <v>#N/A</v>
      </c>
      <c r="Q186" t="e">
        <f ca="1"/>
        <v>#N/A</v>
      </c>
      <c r="R186" t="e">
        <f ca="1"/>
        <v>#N/A</v>
      </c>
      <c r="S186" t="e">
        <f ca="1"/>
        <v>#N/A</v>
      </c>
      <c r="T186" t="e">
        <f ca="1"/>
        <v>#N/A</v>
      </c>
      <c r="U186" t="e">
        <f ca="1"/>
        <v>#N/A</v>
      </c>
      <c r="V186" t="e">
        <f ca="1"/>
        <v>#N/A</v>
      </c>
      <c r="W186" t="e">
        <f ca="1"/>
        <v>#N/A</v>
      </c>
      <c r="X186" t="e">
        <f ca="1"/>
        <v>#N/A</v>
      </c>
      <c r="Y186" t="e">
        <f ca="1"/>
        <v>#N/A</v>
      </c>
      <c r="Z186" t="e">
        <f ca="1"/>
        <v>#N/A</v>
      </c>
      <c r="AA186" t="e">
        <f ca="1"/>
        <v>#N/A</v>
      </c>
      <c r="AB186" t="e">
        <f ca="1"/>
        <v>#N/A</v>
      </c>
      <c r="AD186" s="2">
        <f t="shared" ca="1" si="22"/>
        <v>0</v>
      </c>
      <c r="AE186" s="46">
        <f t="shared" ca="1" si="23"/>
        <v>0</v>
      </c>
      <c r="AG186" s="72" t="e">
        <f t="shared" ca="1" si="27"/>
        <v>#N/A</v>
      </c>
      <c r="AH186" s="72" t="e">
        <f t="shared" ca="1" si="28"/>
        <v>#N/A</v>
      </c>
      <c r="AI186" s="3" t="e">
        <f t="shared" ca="1" si="29"/>
        <v>#N/A</v>
      </c>
    </row>
    <row r="187" spans="7:35" x14ac:dyDescent="0.25">
      <c r="G187" s="3">
        <f t="shared" ca="1" si="24"/>
        <v>187</v>
      </c>
      <c r="H187" s="104">
        <f t="shared" ca="1" si="26"/>
        <v>45112</v>
      </c>
      <c r="I187" s="131" t="e">
        <f>HLOOKUP($H$4,'Met Data'!$A$2:$F$368,G187,FALSE)</f>
        <v>#N/A</v>
      </c>
      <c r="J187" s="131" t="e">
        <f ca="1">HLOOKUP($H$4,'Met Data'!$H$2:$M$368,G187,FALSE)*L187</f>
        <v>#N/A</v>
      </c>
      <c r="K187" s="105" t="e">
        <f>HLOOKUP($H$4,'Met Data'!$O$2:$T$368,G187,FALSE)</f>
        <v>#N/A</v>
      </c>
      <c r="L187">
        <f t="shared" ca="1" si="20"/>
        <v>1</v>
      </c>
      <c r="N187" t="e">
        <f t="shared" ca="1" si="25"/>
        <v>#N/A</v>
      </c>
      <c r="O187" t="e">
        <f t="shared" ca="1" si="21"/>
        <v>#N/A</v>
      </c>
      <c r="P187" s="2" t="e">
        <f ca="1"/>
        <v>#N/A</v>
      </c>
      <c r="Q187" t="e">
        <f ca="1"/>
        <v>#N/A</v>
      </c>
      <c r="R187" t="e">
        <f ca="1"/>
        <v>#N/A</v>
      </c>
      <c r="S187" t="e">
        <f ca="1"/>
        <v>#N/A</v>
      </c>
      <c r="T187" t="e">
        <f ca="1"/>
        <v>#N/A</v>
      </c>
      <c r="U187" t="e">
        <f ca="1"/>
        <v>#N/A</v>
      </c>
      <c r="V187" t="e">
        <f ca="1"/>
        <v>#N/A</v>
      </c>
      <c r="W187" t="e">
        <f ca="1"/>
        <v>#N/A</v>
      </c>
      <c r="X187" t="e">
        <f ca="1"/>
        <v>#N/A</v>
      </c>
      <c r="Y187" t="e">
        <f ca="1"/>
        <v>#N/A</v>
      </c>
      <c r="Z187" t="e">
        <f ca="1"/>
        <v>#N/A</v>
      </c>
      <c r="AA187" t="e">
        <f ca="1"/>
        <v>#N/A</v>
      </c>
      <c r="AB187" t="e">
        <f ca="1"/>
        <v>#N/A</v>
      </c>
      <c r="AD187" s="2">
        <f t="shared" ca="1" si="22"/>
        <v>0</v>
      </c>
      <c r="AE187" s="46">
        <f t="shared" ca="1" si="23"/>
        <v>0</v>
      </c>
      <c r="AG187" s="72" t="e">
        <f t="shared" ca="1" si="27"/>
        <v>#N/A</v>
      </c>
      <c r="AH187" s="72" t="e">
        <f t="shared" ca="1" si="28"/>
        <v>#N/A</v>
      </c>
      <c r="AI187" s="3" t="e">
        <f t="shared" ca="1" si="29"/>
        <v>#N/A</v>
      </c>
    </row>
    <row r="188" spans="7:35" x14ac:dyDescent="0.25">
      <c r="G188" s="3">
        <f t="shared" ca="1" si="24"/>
        <v>188</v>
      </c>
      <c r="H188" s="104">
        <f t="shared" ca="1" si="26"/>
        <v>45113</v>
      </c>
      <c r="I188" s="131" t="e">
        <f>HLOOKUP($H$4,'Met Data'!$A$2:$F$368,G188,FALSE)</f>
        <v>#N/A</v>
      </c>
      <c r="J188" s="131" t="e">
        <f ca="1">HLOOKUP($H$4,'Met Data'!$H$2:$M$368,G188,FALSE)*L188</f>
        <v>#N/A</v>
      </c>
      <c r="K188" s="105" t="e">
        <f>HLOOKUP($H$4,'Met Data'!$O$2:$T$368,G188,FALSE)</f>
        <v>#N/A</v>
      </c>
      <c r="L188">
        <f t="shared" ca="1" si="20"/>
        <v>1</v>
      </c>
      <c r="N188" t="e">
        <f t="shared" ca="1" si="25"/>
        <v>#N/A</v>
      </c>
      <c r="O188" t="e">
        <f t="shared" ca="1" si="21"/>
        <v>#N/A</v>
      </c>
      <c r="P188" s="2" t="e">
        <f ca="1"/>
        <v>#N/A</v>
      </c>
      <c r="Q188" t="e">
        <f ca="1"/>
        <v>#N/A</v>
      </c>
      <c r="R188" t="e">
        <f ca="1"/>
        <v>#N/A</v>
      </c>
      <c r="S188" t="e">
        <f ca="1"/>
        <v>#N/A</v>
      </c>
      <c r="T188" t="e">
        <f ca="1"/>
        <v>#N/A</v>
      </c>
      <c r="U188" t="e">
        <f ca="1"/>
        <v>#N/A</v>
      </c>
      <c r="V188" t="e">
        <f ca="1"/>
        <v>#N/A</v>
      </c>
      <c r="W188" t="e">
        <f ca="1"/>
        <v>#N/A</v>
      </c>
      <c r="X188" t="e">
        <f ca="1"/>
        <v>#N/A</v>
      </c>
      <c r="Y188" t="e">
        <f ca="1"/>
        <v>#N/A</v>
      </c>
      <c r="Z188" t="e">
        <f ca="1"/>
        <v>#N/A</v>
      </c>
      <c r="AA188" t="e">
        <f ca="1"/>
        <v>#N/A</v>
      </c>
      <c r="AB188" t="e">
        <f ca="1"/>
        <v>#N/A</v>
      </c>
      <c r="AD188" s="2">
        <f t="shared" ca="1" si="22"/>
        <v>0</v>
      </c>
      <c r="AE188" s="46">
        <f t="shared" ca="1" si="23"/>
        <v>0</v>
      </c>
      <c r="AG188" s="72" t="e">
        <f t="shared" ca="1" si="27"/>
        <v>#N/A</v>
      </c>
      <c r="AH188" s="72" t="e">
        <f t="shared" ca="1" si="28"/>
        <v>#N/A</v>
      </c>
      <c r="AI188" s="3" t="e">
        <f t="shared" ca="1" si="29"/>
        <v>#N/A</v>
      </c>
    </row>
    <row r="189" spans="7:35" x14ac:dyDescent="0.25">
      <c r="G189" s="3">
        <f t="shared" ca="1" si="24"/>
        <v>189</v>
      </c>
      <c r="H189" s="104">
        <f t="shared" ca="1" si="26"/>
        <v>45114</v>
      </c>
      <c r="I189" s="131" t="e">
        <f>HLOOKUP($H$4,'Met Data'!$A$2:$F$368,G189,FALSE)</f>
        <v>#N/A</v>
      </c>
      <c r="J189" s="131" t="e">
        <f ca="1">HLOOKUP($H$4,'Met Data'!$H$2:$M$368,G189,FALSE)*L189</f>
        <v>#N/A</v>
      </c>
      <c r="K189" s="105" t="e">
        <f>HLOOKUP($H$4,'Met Data'!$O$2:$T$368,G189,FALSE)</f>
        <v>#N/A</v>
      </c>
      <c r="L189">
        <f t="shared" ca="1" si="20"/>
        <v>1</v>
      </c>
      <c r="N189" t="e">
        <f t="shared" ca="1" si="25"/>
        <v>#N/A</v>
      </c>
      <c r="O189" t="e">
        <f t="shared" ca="1" si="21"/>
        <v>#N/A</v>
      </c>
      <c r="P189" s="2" t="e">
        <f ca="1"/>
        <v>#N/A</v>
      </c>
      <c r="Q189" t="e">
        <f ca="1"/>
        <v>#N/A</v>
      </c>
      <c r="R189" t="e">
        <f ca="1"/>
        <v>#N/A</v>
      </c>
      <c r="S189" t="e">
        <f ca="1"/>
        <v>#N/A</v>
      </c>
      <c r="T189" t="e">
        <f ca="1"/>
        <v>#N/A</v>
      </c>
      <c r="U189" t="e">
        <f ca="1"/>
        <v>#N/A</v>
      </c>
      <c r="V189" t="e">
        <f ca="1"/>
        <v>#N/A</v>
      </c>
      <c r="W189" t="e">
        <f ca="1"/>
        <v>#N/A</v>
      </c>
      <c r="X189" t="e">
        <f ca="1"/>
        <v>#N/A</v>
      </c>
      <c r="Y189" t="e">
        <f ca="1"/>
        <v>#N/A</v>
      </c>
      <c r="Z189" t="e">
        <f ca="1"/>
        <v>#N/A</v>
      </c>
      <c r="AA189" t="e">
        <f ca="1"/>
        <v>#N/A</v>
      </c>
      <c r="AB189" t="e">
        <f ca="1"/>
        <v>#N/A</v>
      </c>
      <c r="AD189" s="2">
        <f t="shared" ca="1" si="22"/>
        <v>0</v>
      </c>
      <c r="AE189" s="46">
        <f t="shared" ca="1" si="23"/>
        <v>0</v>
      </c>
      <c r="AG189" s="72" t="e">
        <f t="shared" ca="1" si="27"/>
        <v>#N/A</v>
      </c>
      <c r="AH189" s="72" t="e">
        <f t="shared" ca="1" si="28"/>
        <v>#N/A</v>
      </c>
      <c r="AI189" s="3" t="e">
        <f t="shared" ca="1" si="29"/>
        <v>#N/A</v>
      </c>
    </row>
    <row r="190" spans="7:35" x14ac:dyDescent="0.25">
      <c r="G190" s="3">
        <f t="shared" ca="1" si="24"/>
        <v>190</v>
      </c>
      <c r="H190" s="104">
        <f t="shared" ca="1" si="26"/>
        <v>45115</v>
      </c>
      <c r="I190" s="131" t="e">
        <f>HLOOKUP($H$4,'Met Data'!$A$2:$F$368,G190,FALSE)</f>
        <v>#N/A</v>
      </c>
      <c r="J190" s="131" t="e">
        <f ca="1">HLOOKUP($H$4,'Met Data'!$H$2:$M$368,G190,FALSE)*L190</f>
        <v>#N/A</v>
      </c>
      <c r="K190" s="105" t="e">
        <f>HLOOKUP($H$4,'Met Data'!$O$2:$T$368,G190,FALSE)</f>
        <v>#N/A</v>
      </c>
      <c r="L190">
        <f t="shared" ca="1" si="20"/>
        <v>1</v>
      </c>
      <c r="N190" t="e">
        <f t="shared" ca="1" si="25"/>
        <v>#N/A</v>
      </c>
      <c r="O190" t="e">
        <f t="shared" ca="1" si="21"/>
        <v>#N/A</v>
      </c>
      <c r="P190" s="2" t="e">
        <f ca="1"/>
        <v>#N/A</v>
      </c>
      <c r="Q190" t="e">
        <f ca="1"/>
        <v>#N/A</v>
      </c>
      <c r="R190" t="e">
        <f ca="1"/>
        <v>#N/A</v>
      </c>
      <c r="S190" t="e">
        <f ca="1"/>
        <v>#N/A</v>
      </c>
      <c r="T190" t="e">
        <f ca="1"/>
        <v>#N/A</v>
      </c>
      <c r="U190" t="e">
        <f ca="1"/>
        <v>#N/A</v>
      </c>
      <c r="V190" t="e">
        <f ca="1"/>
        <v>#N/A</v>
      </c>
      <c r="W190" t="e">
        <f ca="1"/>
        <v>#N/A</v>
      </c>
      <c r="X190" t="e">
        <f ca="1"/>
        <v>#N/A</v>
      </c>
      <c r="Y190" t="e">
        <f ca="1"/>
        <v>#N/A</v>
      </c>
      <c r="Z190" t="e">
        <f ca="1"/>
        <v>#N/A</v>
      </c>
      <c r="AA190" t="e">
        <f ca="1"/>
        <v>#N/A</v>
      </c>
      <c r="AB190" t="e">
        <f ca="1"/>
        <v>#N/A</v>
      </c>
      <c r="AD190" s="2">
        <f t="shared" ca="1" si="22"/>
        <v>0</v>
      </c>
      <c r="AE190" s="46">
        <f t="shared" ca="1" si="23"/>
        <v>0</v>
      </c>
      <c r="AG190" s="72" t="e">
        <f t="shared" ca="1" si="27"/>
        <v>#N/A</v>
      </c>
      <c r="AH190" s="72" t="e">
        <f t="shared" ca="1" si="28"/>
        <v>#N/A</v>
      </c>
      <c r="AI190" s="3" t="e">
        <f t="shared" ca="1" si="29"/>
        <v>#N/A</v>
      </c>
    </row>
    <row r="191" spans="7:35" x14ac:dyDescent="0.25">
      <c r="G191" s="3">
        <f t="shared" ca="1" si="24"/>
        <v>191</v>
      </c>
      <c r="H191" s="104">
        <f t="shared" ca="1" si="26"/>
        <v>45116</v>
      </c>
      <c r="I191" s="131" t="e">
        <f>HLOOKUP($H$4,'Met Data'!$A$2:$F$368,G191,FALSE)</f>
        <v>#N/A</v>
      </c>
      <c r="J191" s="131" t="e">
        <f ca="1">HLOOKUP($H$4,'Met Data'!$H$2:$M$368,G191,FALSE)*L191</f>
        <v>#N/A</v>
      </c>
      <c r="K191" s="105" t="e">
        <f>HLOOKUP($H$4,'Met Data'!$O$2:$T$368,G191,FALSE)</f>
        <v>#N/A</v>
      </c>
      <c r="L191">
        <f t="shared" ca="1" si="20"/>
        <v>1</v>
      </c>
      <c r="N191" t="e">
        <f t="shared" ca="1" si="25"/>
        <v>#N/A</v>
      </c>
      <c r="O191" t="e">
        <f t="shared" ca="1" si="21"/>
        <v>#N/A</v>
      </c>
      <c r="P191" s="2" t="e">
        <f ca="1"/>
        <v>#N/A</v>
      </c>
      <c r="Q191" t="e">
        <f ca="1"/>
        <v>#N/A</v>
      </c>
      <c r="R191" t="e">
        <f ca="1"/>
        <v>#N/A</v>
      </c>
      <c r="S191" t="e">
        <f ca="1"/>
        <v>#N/A</v>
      </c>
      <c r="T191" t="e">
        <f ca="1"/>
        <v>#N/A</v>
      </c>
      <c r="U191" t="e">
        <f ca="1"/>
        <v>#N/A</v>
      </c>
      <c r="V191" t="e">
        <f ca="1"/>
        <v>#N/A</v>
      </c>
      <c r="W191" t="e">
        <f ca="1"/>
        <v>#N/A</v>
      </c>
      <c r="X191" t="e">
        <f ca="1"/>
        <v>#N/A</v>
      </c>
      <c r="Y191" t="e">
        <f ca="1"/>
        <v>#N/A</v>
      </c>
      <c r="Z191" t="e">
        <f ca="1"/>
        <v>#N/A</v>
      </c>
      <c r="AA191" t="e">
        <f ca="1"/>
        <v>#N/A</v>
      </c>
      <c r="AB191" t="e">
        <f ca="1"/>
        <v>#N/A</v>
      </c>
      <c r="AD191" s="2">
        <f t="shared" ca="1" si="22"/>
        <v>0</v>
      </c>
      <c r="AE191" s="46">
        <f t="shared" ca="1" si="23"/>
        <v>0</v>
      </c>
      <c r="AG191" s="72" t="e">
        <f t="shared" ca="1" si="27"/>
        <v>#N/A</v>
      </c>
      <c r="AH191" s="72" t="e">
        <f t="shared" ca="1" si="28"/>
        <v>#N/A</v>
      </c>
      <c r="AI191" s="3" t="e">
        <f t="shared" ca="1" si="29"/>
        <v>#N/A</v>
      </c>
    </row>
    <row r="192" spans="7:35" x14ac:dyDescent="0.25">
      <c r="G192" s="3">
        <f t="shared" ca="1" si="24"/>
        <v>192</v>
      </c>
      <c r="H192" s="104">
        <f t="shared" ca="1" si="26"/>
        <v>45117</v>
      </c>
      <c r="I192" s="131" t="e">
        <f>HLOOKUP($H$4,'Met Data'!$A$2:$F$368,G192,FALSE)</f>
        <v>#N/A</v>
      </c>
      <c r="J192" s="131" t="e">
        <f ca="1">HLOOKUP($H$4,'Met Data'!$H$2:$M$368,G192,FALSE)*L192</f>
        <v>#N/A</v>
      </c>
      <c r="K192" s="105" t="e">
        <f>HLOOKUP($H$4,'Met Data'!$O$2:$T$368,G192,FALSE)</f>
        <v>#N/A</v>
      </c>
      <c r="L192">
        <f t="shared" ca="1" si="20"/>
        <v>1</v>
      </c>
      <c r="N192" t="e">
        <f t="shared" ca="1" si="25"/>
        <v>#N/A</v>
      </c>
      <c r="O192" t="e">
        <f t="shared" ca="1" si="21"/>
        <v>#N/A</v>
      </c>
      <c r="P192" s="2" t="e">
        <f ca="1"/>
        <v>#N/A</v>
      </c>
      <c r="Q192" t="e">
        <f ca="1"/>
        <v>#N/A</v>
      </c>
      <c r="R192" t="e">
        <f ca="1"/>
        <v>#N/A</v>
      </c>
      <c r="S192" t="e">
        <f ca="1"/>
        <v>#N/A</v>
      </c>
      <c r="T192" t="e">
        <f ca="1"/>
        <v>#N/A</v>
      </c>
      <c r="U192" t="e">
        <f ca="1"/>
        <v>#N/A</v>
      </c>
      <c r="V192" t="e">
        <f ca="1"/>
        <v>#N/A</v>
      </c>
      <c r="W192" t="e">
        <f ca="1"/>
        <v>#N/A</v>
      </c>
      <c r="X192" t="e">
        <f ca="1"/>
        <v>#N/A</v>
      </c>
      <c r="Y192" t="e">
        <f ca="1"/>
        <v>#N/A</v>
      </c>
      <c r="Z192" t="e">
        <f ca="1"/>
        <v>#N/A</v>
      </c>
      <c r="AA192" t="e">
        <f ca="1"/>
        <v>#N/A</v>
      </c>
      <c r="AB192" t="e">
        <f ca="1"/>
        <v>#N/A</v>
      </c>
      <c r="AD192" s="2">
        <f t="shared" ca="1" si="22"/>
        <v>0</v>
      </c>
      <c r="AE192" s="46">
        <f t="shared" ca="1" si="23"/>
        <v>0</v>
      </c>
      <c r="AG192" s="72" t="e">
        <f t="shared" ca="1" si="27"/>
        <v>#N/A</v>
      </c>
      <c r="AH192" s="72" t="e">
        <f t="shared" ca="1" si="28"/>
        <v>#N/A</v>
      </c>
      <c r="AI192" s="3" t="e">
        <f t="shared" ca="1" si="29"/>
        <v>#N/A</v>
      </c>
    </row>
    <row r="193" spans="7:35" x14ac:dyDescent="0.25">
      <c r="G193" s="3">
        <f t="shared" ca="1" si="24"/>
        <v>193</v>
      </c>
      <c r="H193" s="104">
        <f t="shared" ca="1" si="26"/>
        <v>45118</v>
      </c>
      <c r="I193" s="131" t="e">
        <f>HLOOKUP($H$4,'Met Data'!$A$2:$F$368,G193,FALSE)</f>
        <v>#N/A</v>
      </c>
      <c r="J193" s="131" t="e">
        <f ca="1">HLOOKUP($H$4,'Met Data'!$H$2:$M$368,G193,FALSE)*L193</f>
        <v>#N/A</v>
      </c>
      <c r="K193" s="105" t="e">
        <f>HLOOKUP($H$4,'Met Data'!$O$2:$T$368,G193,FALSE)</f>
        <v>#N/A</v>
      </c>
      <c r="L193">
        <f t="shared" ca="1" si="20"/>
        <v>1</v>
      </c>
      <c r="N193" t="e">
        <f t="shared" ca="1" si="25"/>
        <v>#N/A</v>
      </c>
      <c r="O193" t="e">
        <f t="shared" ca="1" si="21"/>
        <v>#N/A</v>
      </c>
      <c r="P193" s="2" t="e">
        <f ca="1"/>
        <v>#N/A</v>
      </c>
      <c r="Q193" t="e">
        <f ca="1"/>
        <v>#N/A</v>
      </c>
      <c r="R193" t="e">
        <f ca="1"/>
        <v>#N/A</v>
      </c>
      <c r="S193" t="e">
        <f ca="1"/>
        <v>#N/A</v>
      </c>
      <c r="T193" t="e">
        <f ca="1"/>
        <v>#N/A</v>
      </c>
      <c r="U193" t="e">
        <f ca="1"/>
        <v>#N/A</v>
      </c>
      <c r="V193" t="e">
        <f ca="1"/>
        <v>#N/A</v>
      </c>
      <c r="W193" t="e">
        <f ca="1"/>
        <v>#N/A</v>
      </c>
      <c r="X193" t="e">
        <f ca="1"/>
        <v>#N/A</v>
      </c>
      <c r="Y193" t="e">
        <f ca="1"/>
        <v>#N/A</v>
      </c>
      <c r="Z193" t="e">
        <f ca="1"/>
        <v>#N/A</v>
      </c>
      <c r="AA193" t="e">
        <f ca="1"/>
        <v>#N/A</v>
      </c>
      <c r="AB193" t="e">
        <f ca="1"/>
        <v>#N/A</v>
      </c>
      <c r="AD193" s="2">
        <f t="shared" ca="1" si="22"/>
        <v>0</v>
      </c>
      <c r="AE193" s="46">
        <f t="shared" ca="1" si="23"/>
        <v>0</v>
      </c>
      <c r="AG193" s="72" t="e">
        <f t="shared" ca="1" si="27"/>
        <v>#N/A</v>
      </c>
      <c r="AH193" s="72" t="e">
        <f t="shared" ca="1" si="28"/>
        <v>#N/A</v>
      </c>
      <c r="AI193" s="3" t="e">
        <f t="shared" ca="1" si="29"/>
        <v>#N/A</v>
      </c>
    </row>
    <row r="194" spans="7:35" x14ac:dyDescent="0.25">
      <c r="G194" s="3">
        <f t="shared" ca="1" si="24"/>
        <v>194</v>
      </c>
      <c r="H194" s="104">
        <f t="shared" ca="1" si="26"/>
        <v>45119</v>
      </c>
      <c r="I194" s="131" t="e">
        <f>HLOOKUP($H$4,'Met Data'!$A$2:$F$368,G194,FALSE)</f>
        <v>#N/A</v>
      </c>
      <c r="J194" s="131" t="e">
        <f ca="1">HLOOKUP($H$4,'Met Data'!$H$2:$M$368,G194,FALSE)*L194</f>
        <v>#N/A</v>
      </c>
      <c r="K194" s="105" t="e">
        <f>HLOOKUP($H$4,'Met Data'!$O$2:$T$368,G194,FALSE)</f>
        <v>#N/A</v>
      </c>
      <c r="L194">
        <f t="shared" ca="1" si="20"/>
        <v>1</v>
      </c>
      <c r="N194" t="e">
        <f t="shared" ca="1" si="25"/>
        <v>#N/A</v>
      </c>
      <c r="O194" t="e">
        <f t="shared" ca="1" si="21"/>
        <v>#N/A</v>
      </c>
      <c r="P194" s="2" t="e">
        <f ca="1"/>
        <v>#N/A</v>
      </c>
      <c r="Q194" t="e">
        <f ca="1"/>
        <v>#N/A</v>
      </c>
      <c r="R194" t="e">
        <f ca="1"/>
        <v>#N/A</v>
      </c>
      <c r="S194" t="e">
        <f ca="1"/>
        <v>#N/A</v>
      </c>
      <c r="T194" t="e">
        <f ca="1"/>
        <v>#N/A</v>
      </c>
      <c r="U194" t="e">
        <f ca="1"/>
        <v>#N/A</v>
      </c>
      <c r="V194" t="e">
        <f ca="1"/>
        <v>#N/A</v>
      </c>
      <c r="W194" t="e">
        <f ca="1"/>
        <v>#N/A</v>
      </c>
      <c r="X194" t="e">
        <f ca="1"/>
        <v>#N/A</v>
      </c>
      <c r="Y194" t="e">
        <f ca="1"/>
        <v>#N/A</v>
      </c>
      <c r="Z194" t="e">
        <f ca="1"/>
        <v>#N/A</v>
      </c>
      <c r="AA194" t="e">
        <f ca="1"/>
        <v>#N/A</v>
      </c>
      <c r="AB194" t="e">
        <f ca="1"/>
        <v>#N/A</v>
      </c>
      <c r="AD194" s="2">
        <f t="shared" ca="1" si="22"/>
        <v>0</v>
      </c>
      <c r="AE194" s="46">
        <f t="shared" ca="1" si="23"/>
        <v>0</v>
      </c>
      <c r="AG194" s="72" t="e">
        <f t="shared" ca="1" si="27"/>
        <v>#N/A</v>
      </c>
      <c r="AH194" s="72" t="e">
        <f t="shared" ca="1" si="28"/>
        <v>#N/A</v>
      </c>
      <c r="AI194" s="3" t="e">
        <f t="shared" ca="1" si="29"/>
        <v>#N/A</v>
      </c>
    </row>
    <row r="195" spans="7:35" x14ac:dyDescent="0.25">
      <c r="G195" s="3">
        <f t="shared" ca="1" si="24"/>
        <v>195</v>
      </c>
      <c r="H195" s="104">
        <f t="shared" ca="1" si="26"/>
        <v>45120</v>
      </c>
      <c r="I195" s="131" t="e">
        <f>HLOOKUP($H$4,'Met Data'!$A$2:$F$368,G195,FALSE)</f>
        <v>#N/A</v>
      </c>
      <c r="J195" s="131" t="e">
        <f ca="1">HLOOKUP($H$4,'Met Data'!$H$2:$M$368,G195,FALSE)*L195</f>
        <v>#N/A</v>
      </c>
      <c r="K195" s="105" t="e">
        <f>HLOOKUP($H$4,'Met Data'!$O$2:$T$368,G195,FALSE)</f>
        <v>#N/A</v>
      </c>
      <c r="L195">
        <f t="shared" ca="1" si="20"/>
        <v>1</v>
      </c>
      <c r="N195" t="e">
        <f t="shared" ca="1" si="25"/>
        <v>#N/A</v>
      </c>
      <c r="O195" t="e">
        <f t="shared" ca="1" si="21"/>
        <v>#N/A</v>
      </c>
      <c r="P195" s="2" t="e">
        <f ca="1"/>
        <v>#N/A</v>
      </c>
      <c r="Q195" t="e">
        <f ca="1"/>
        <v>#N/A</v>
      </c>
      <c r="R195" t="e">
        <f ca="1"/>
        <v>#N/A</v>
      </c>
      <c r="S195" t="e">
        <f ca="1"/>
        <v>#N/A</v>
      </c>
      <c r="T195" t="e">
        <f ca="1"/>
        <v>#N/A</v>
      </c>
      <c r="U195" t="e">
        <f ca="1"/>
        <v>#N/A</v>
      </c>
      <c r="V195" t="e">
        <f ca="1"/>
        <v>#N/A</v>
      </c>
      <c r="W195" t="e">
        <f ca="1"/>
        <v>#N/A</v>
      </c>
      <c r="X195" t="e">
        <f ca="1"/>
        <v>#N/A</v>
      </c>
      <c r="Y195" t="e">
        <f ca="1"/>
        <v>#N/A</v>
      </c>
      <c r="Z195" t="e">
        <f ca="1"/>
        <v>#N/A</v>
      </c>
      <c r="AA195" t="e">
        <f ca="1"/>
        <v>#N/A</v>
      </c>
      <c r="AB195" t="e">
        <f ca="1"/>
        <v>#N/A</v>
      </c>
      <c r="AD195" s="2">
        <f t="shared" ca="1" si="22"/>
        <v>0</v>
      </c>
      <c r="AE195" s="46">
        <f t="shared" ca="1" si="23"/>
        <v>0</v>
      </c>
      <c r="AG195" s="72" t="e">
        <f t="shared" ca="1" si="27"/>
        <v>#N/A</v>
      </c>
      <c r="AH195" s="72" t="e">
        <f t="shared" ca="1" si="28"/>
        <v>#N/A</v>
      </c>
      <c r="AI195" s="3" t="e">
        <f t="shared" ca="1" si="29"/>
        <v>#N/A</v>
      </c>
    </row>
    <row r="196" spans="7:35" x14ac:dyDescent="0.25">
      <c r="G196" s="3">
        <f t="shared" ca="1" si="24"/>
        <v>196</v>
      </c>
      <c r="H196" s="104">
        <f t="shared" ca="1" si="26"/>
        <v>45121</v>
      </c>
      <c r="I196" s="131" t="e">
        <f>HLOOKUP($H$4,'Met Data'!$A$2:$F$368,G196,FALSE)</f>
        <v>#N/A</v>
      </c>
      <c r="J196" s="131" t="e">
        <f ca="1">HLOOKUP($H$4,'Met Data'!$H$2:$M$368,G196,FALSE)*L196</f>
        <v>#N/A</v>
      </c>
      <c r="K196" s="105" t="e">
        <f>HLOOKUP($H$4,'Met Data'!$O$2:$T$368,G196,FALSE)</f>
        <v>#N/A</v>
      </c>
      <c r="L196">
        <f t="shared" ca="1" si="20"/>
        <v>1</v>
      </c>
      <c r="N196" t="e">
        <f t="shared" ca="1" si="25"/>
        <v>#N/A</v>
      </c>
      <c r="O196" t="e">
        <f t="shared" ca="1" si="21"/>
        <v>#N/A</v>
      </c>
      <c r="P196" s="2" t="e">
        <f ca="1"/>
        <v>#N/A</v>
      </c>
      <c r="Q196" t="e">
        <f ca="1"/>
        <v>#N/A</v>
      </c>
      <c r="R196" t="e">
        <f ca="1"/>
        <v>#N/A</v>
      </c>
      <c r="S196" t="e">
        <f ca="1"/>
        <v>#N/A</v>
      </c>
      <c r="T196" t="e">
        <f ca="1"/>
        <v>#N/A</v>
      </c>
      <c r="U196" t="e">
        <f ca="1"/>
        <v>#N/A</v>
      </c>
      <c r="V196" t="e">
        <f ca="1"/>
        <v>#N/A</v>
      </c>
      <c r="W196" t="e">
        <f ca="1"/>
        <v>#N/A</v>
      </c>
      <c r="X196" t="e">
        <f ca="1"/>
        <v>#N/A</v>
      </c>
      <c r="Y196" t="e">
        <f ca="1"/>
        <v>#N/A</v>
      </c>
      <c r="Z196" t="e">
        <f ca="1"/>
        <v>#N/A</v>
      </c>
      <c r="AA196" t="e">
        <f ca="1"/>
        <v>#N/A</v>
      </c>
      <c r="AB196" t="e">
        <f ca="1"/>
        <v>#N/A</v>
      </c>
      <c r="AD196" s="2">
        <f t="shared" ca="1" si="22"/>
        <v>0</v>
      </c>
      <c r="AE196" s="46">
        <f t="shared" ca="1" si="23"/>
        <v>0</v>
      </c>
      <c r="AG196" s="72" t="e">
        <f t="shared" ca="1" si="27"/>
        <v>#N/A</v>
      </c>
      <c r="AH196" s="72" t="e">
        <f t="shared" ca="1" si="28"/>
        <v>#N/A</v>
      </c>
      <c r="AI196" s="3" t="e">
        <f t="shared" ca="1" si="29"/>
        <v>#N/A</v>
      </c>
    </row>
    <row r="197" spans="7:35" x14ac:dyDescent="0.25">
      <c r="G197" s="3">
        <f t="shared" ca="1" si="24"/>
        <v>197</v>
      </c>
      <c r="H197" s="104">
        <f t="shared" ca="1" si="26"/>
        <v>45122</v>
      </c>
      <c r="I197" s="131" t="e">
        <f>HLOOKUP($H$4,'Met Data'!$A$2:$F$368,G197,FALSE)</f>
        <v>#N/A</v>
      </c>
      <c r="J197" s="131" t="e">
        <f ca="1">HLOOKUP($H$4,'Met Data'!$H$2:$M$368,G197,FALSE)*L197</f>
        <v>#N/A</v>
      </c>
      <c r="K197" s="105" t="e">
        <f>HLOOKUP($H$4,'Met Data'!$O$2:$T$368,G197,FALSE)</f>
        <v>#N/A</v>
      </c>
      <c r="L197">
        <f t="shared" ca="1" si="20"/>
        <v>1</v>
      </c>
      <c r="N197" t="e">
        <f t="shared" ca="1" si="25"/>
        <v>#N/A</v>
      </c>
      <c r="O197" t="e">
        <f t="shared" ca="1" si="21"/>
        <v>#N/A</v>
      </c>
      <c r="P197" s="2" t="e">
        <f ca="1"/>
        <v>#N/A</v>
      </c>
      <c r="Q197" t="e">
        <f ca="1"/>
        <v>#N/A</v>
      </c>
      <c r="R197" t="e">
        <f ca="1"/>
        <v>#N/A</v>
      </c>
      <c r="S197" t="e">
        <f ca="1"/>
        <v>#N/A</v>
      </c>
      <c r="T197" t="e">
        <f ca="1"/>
        <v>#N/A</v>
      </c>
      <c r="U197" t="e">
        <f ca="1"/>
        <v>#N/A</v>
      </c>
      <c r="V197" t="e">
        <f ca="1"/>
        <v>#N/A</v>
      </c>
      <c r="W197" t="e">
        <f ca="1"/>
        <v>#N/A</v>
      </c>
      <c r="X197" t="e">
        <f ca="1"/>
        <v>#N/A</v>
      </c>
      <c r="Y197" t="e">
        <f ca="1"/>
        <v>#N/A</v>
      </c>
      <c r="Z197" t="e">
        <f ca="1"/>
        <v>#N/A</v>
      </c>
      <c r="AA197" t="e">
        <f ca="1"/>
        <v>#N/A</v>
      </c>
      <c r="AB197" t="e">
        <f ca="1"/>
        <v>#N/A</v>
      </c>
      <c r="AD197" s="2">
        <f t="shared" ca="1" si="22"/>
        <v>0</v>
      </c>
      <c r="AE197" s="46">
        <f t="shared" ca="1" si="23"/>
        <v>0</v>
      </c>
      <c r="AG197" s="72" t="e">
        <f t="shared" ca="1" si="27"/>
        <v>#N/A</v>
      </c>
      <c r="AH197" s="72" t="e">
        <f t="shared" ca="1" si="28"/>
        <v>#N/A</v>
      </c>
      <c r="AI197" s="3" t="e">
        <f t="shared" ca="1" si="29"/>
        <v>#N/A</v>
      </c>
    </row>
    <row r="198" spans="7:35" x14ac:dyDescent="0.25">
      <c r="G198" s="3">
        <f t="shared" ca="1" si="24"/>
        <v>198</v>
      </c>
      <c r="H198" s="104">
        <f t="shared" ca="1" si="26"/>
        <v>45123</v>
      </c>
      <c r="I198" s="131" t="e">
        <f>HLOOKUP($H$4,'Met Data'!$A$2:$F$368,G198,FALSE)</f>
        <v>#N/A</v>
      </c>
      <c r="J198" s="131" t="e">
        <f ca="1">HLOOKUP($H$4,'Met Data'!$H$2:$M$368,G198,FALSE)*L198</f>
        <v>#N/A</v>
      </c>
      <c r="K198" s="105" t="e">
        <f>HLOOKUP($H$4,'Met Data'!$O$2:$T$368,G198,FALSE)</f>
        <v>#N/A</v>
      </c>
      <c r="L198">
        <f t="shared" ref="L198:L261" ca="1" si="30">IF(H198&lt;$B$31,$J$3,$J$4)</f>
        <v>1</v>
      </c>
      <c r="N198" t="e">
        <f t="shared" ca="1" si="25"/>
        <v>#N/A</v>
      </c>
      <c r="O198" t="e">
        <f t="shared" ref="O198:O261" ca="1" si="31">AND(IF(P198&gt;($P$2-1),TRUE,FALSE),IF(P198&lt;($P$3+1),TRUE,FALSE))</f>
        <v>#N/A</v>
      </c>
      <c r="P198" s="2" t="e">
        <f ca="1"/>
        <v>#N/A</v>
      </c>
      <c r="Q198" t="e">
        <f ca="1"/>
        <v>#N/A</v>
      </c>
      <c r="R198" t="e">
        <f ca="1"/>
        <v>#N/A</v>
      </c>
      <c r="S198" t="e">
        <f ca="1"/>
        <v>#N/A</v>
      </c>
      <c r="T198" t="e">
        <f ca="1"/>
        <v>#N/A</v>
      </c>
      <c r="U198" t="e">
        <f ca="1"/>
        <v>#N/A</v>
      </c>
      <c r="V198" t="e">
        <f ca="1"/>
        <v>#N/A</v>
      </c>
      <c r="W198" t="e">
        <f ca="1"/>
        <v>#N/A</v>
      </c>
      <c r="X198" t="e">
        <f ca="1"/>
        <v>#N/A</v>
      </c>
      <c r="Y198" t="e">
        <f ca="1"/>
        <v>#N/A</v>
      </c>
      <c r="Z198" t="e">
        <f ca="1"/>
        <v>#N/A</v>
      </c>
      <c r="AA198" t="e">
        <f ca="1"/>
        <v>#N/A</v>
      </c>
      <c r="AB198" t="e">
        <f ca="1"/>
        <v>#N/A</v>
      </c>
      <c r="AD198" s="2">
        <f t="shared" ref="AD198:AD261" ca="1" si="32">IFERROR(P198,$AD$4)</f>
        <v>0</v>
      </c>
      <c r="AE198" s="46">
        <f t="shared" ref="AE198:AE261" ca="1" si="33">IFERROR(U198,0)</f>
        <v>0</v>
      </c>
      <c r="AG198" s="72" t="e">
        <f t="shared" ca="1" si="27"/>
        <v>#N/A</v>
      </c>
      <c r="AH198" s="72" t="e">
        <f t="shared" ca="1" si="28"/>
        <v>#N/A</v>
      </c>
      <c r="AI198" s="3" t="e">
        <f t="shared" ca="1" si="29"/>
        <v>#N/A</v>
      </c>
    </row>
    <row r="199" spans="7:35" x14ac:dyDescent="0.25">
      <c r="G199" s="3">
        <f t="shared" ref="G199:G262" ca="1" si="34">H199-DATE(YEAR(H199),1,0)+1</f>
        <v>199</v>
      </c>
      <c r="H199" s="104">
        <f t="shared" ca="1" si="26"/>
        <v>45124</v>
      </c>
      <c r="I199" s="131" t="e">
        <f>HLOOKUP($H$4,'Met Data'!$A$2:$F$368,G199,FALSE)</f>
        <v>#N/A</v>
      </c>
      <c r="J199" s="131" t="e">
        <f ca="1">HLOOKUP($H$4,'Met Data'!$H$2:$M$368,G199,FALSE)*L199</f>
        <v>#N/A</v>
      </c>
      <c r="K199" s="105" t="e">
        <f>HLOOKUP($H$4,'Met Data'!$O$2:$T$368,G199,FALSE)</f>
        <v>#N/A</v>
      </c>
      <c r="L199">
        <f t="shared" ca="1" si="30"/>
        <v>1</v>
      </c>
      <c r="N199" t="e">
        <f t="shared" ref="N199:N262" ca="1" si="35">IF(P199&lt;$P$3,TRUE,FALSE)</f>
        <v>#N/A</v>
      </c>
      <c r="O199" t="e">
        <f t="shared" ca="1" si="31"/>
        <v>#N/A</v>
      </c>
      <c r="P199" s="2" t="e">
        <f ca="1"/>
        <v>#N/A</v>
      </c>
      <c r="Q199" t="e">
        <f ca="1"/>
        <v>#N/A</v>
      </c>
      <c r="R199" t="e">
        <f ca="1"/>
        <v>#N/A</v>
      </c>
      <c r="S199" t="e">
        <f ca="1"/>
        <v>#N/A</v>
      </c>
      <c r="T199" t="e">
        <f ca="1"/>
        <v>#N/A</v>
      </c>
      <c r="U199" t="e">
        <f ca="1"/>
        <v>#N/A</v>
      </c>
      <c r="V199" t="e">
        <f ca="1"/>
        <v>#N/A</v>
      </c>
      <c r="W199" t="e">
        <f ca="1"/>
        <v>#N/A</v>
      </c>
      <c r="X199" t="e">
        <f ca="1"/>
        <v>#N/A</v>
      </c>
      <c r="Y199" t="e">
        <f ca="1"/>
        <v>#N/A</v>
      </c>
      <c r="Z199" t="e">
        <f ca="1"/>
        <v>#N/A</v>
      </c>
      <c r="AA199" t="e">
        <f ca="1"/>
        <v>#N/A</v>
      </c>
      <c r="AB199" t="e">
        <f ca="1"/>
        <v>#N/A</v>
      </c>
      <c r="AD199" s="2">
        <f t="shared" ca="1" si="32"/>
        <v>0</v>
      </c>
      <c r="AE199" s="46">
        <f t="shared" ca="1" si="33"/>
        <v>0</v>
      </c>
      <c r="AG199" s="72" t="e">
        <f t="shared" ca="1" si="27"/>
        <v>#N/A</v>
      </c>
      <c r="AH199" s="72" t="e">
        <f t="shared" ca="1" si="28"/>
        <v>#N/A</v>
      </c>
      <c r="AI199" s="3" t="e">
        <f t="shared" ca="1" si="29"/>
        <v>#N/A</v>
      </c>
    </row>
    <row r="200" spans="7:35" x14ac:dyDescent="0.25">
      <c r="G200" s="3">
        <f t="shared" ca="1" si="34"/>
        <v>200</v>
      </c>
      <c r="H200" s="104">
        <f t="shared" ref="H200:H263" ca="1" si="36">H199+1</f>
        <v>45125</v>
      </c>
      <c r="I200" s="131" t="e">
        <f>HLOOKUP($H$4,'Met Data'!$A$2:$F$368,G200,FALSE)</f>
        <v>#N/A</v>
      </c>
      <c r="J200" s="131" t="e">
        <f ca="1">HLOOKUP($H$4,'Met Data'!$H$2:$M$368,G200,FALSE)*L200</f>
        <v>#N/A</v>
      </c>
      <c r="K200" s="105" t="e">
        <f>HLOOKUP($H$4,'Met Data'!$O$2:$T$368,G200,FALSE)</f>
        <v>#N/A</v>
      </c>
      <c r="L200">
        <f t="shared" ca="1" si="30"/>
        <v>1</v>
      </c>
      <c r="N200" t="e">
        <f t="shared" ca="1" si="35"/>
        <v>#N/A</v>
      </c>
      <c r="O200" t="e">
        <f t="shared" ca="1" si="31"/>
        <v>#N/A</v>
      </c>
      <c r="P200" s="2" t="e">
        <f ca="1"/>
        <v>#N/A</v>
      </c>
      <c r="Q200" t="e">
        <f ca="1"/>
        <v>#N/A</v>
      </c>
      <c r="R200" t="e">
        <f ca="1"/>
        <v>#N/A</v>
      </c>
      <c r="S200" t="e">
        <f ca="1"/>
        <v>#N/A</v>
      </c>
      <c r="T200" t="e">
        <f ca="1"/>
        <v>#N/A</v>
      </c>
      <c r="U200" t="e">
        <f ca="1"/>
        <v>#N/A</v>
      </c>
      <c r="V200" t="e">
        <f ca="1"/>
        <v>#N/A</v>
      </c>
      <c r="W200" t="e">
        <f ca="1"/>
        <v>#N/A</v>
      </c>
      <c r="X200" t="e">
        <f ca="1"/>
        <v>#N/A</v>
      </c>
      <c r="Y200" t="e">
        <f ca="1"/>
        <v>#N/A</v>
      </c>
      <c r="Z200" t="e">
        <f ca="1"/>
        <v>#N/A</v>
      </c>
      <c r="AA200" t="e">
        <f ca="1"/>
        <v>#N/A</v>
      </c>
      <c r="AB200" t="e">
        <f ca="1"/>
        <v>#N/A</v>
      </c>
      <c r="AD200" s="2">
        <f t="shared" ca="1" si="32"/>
        <v>0</v>
      </c>
      <c r="AE200" s="46">
        <f t="shared" ca="1" si="33"/>
        <v>0</v>
      </c>
      <c r="AG200" s="72" t="e">
        <f ca="1">Q199+S200+T200+U200</f>
        <v>#N/A</v>
      </c>
      <c r="AH200" s="72" t="e">
        <f ca="1">Q200+R200+X200</f>
        <v>#N/A</v>
      </c>
      <c r="AI200" s="3" t="e">
        <f ca="1">AH200-AG200</f>
        <v>#N/A</v>
      </c>
    </row>
    <row r="201" spans="7:35" x14ac:dyDescent="0.25">
      <c r="G201" s="3">
        <f t="shared" ca="1" si="34"/>
        <v>201</v>
      </c>
      <c r="H201" s="104">
        <f t="shared" ca="1" si="36"/>
        <v>45126</v>
      </c>
      <c r="I201" s="131" t="e">
        <f>HLOOKUP($H$4,'Met Data'!$A$2:$F$368,G201,FALSE)</f>
        <v>#N/A</v>
      </c>
      <c r="J201" s="131" t="e">
        <f ca="1">HLOOKUP($H$4,'Met Data'!$H$2:$M$368,G201,FALSE)*L201</f>
        <v>#N/A</v>
      </c>
      <c r="K201" s="105" t="e">
        <f>HLOOKUP($H$4,'Met Data'!$O$2:$T$368,G201,FALSE)</f>
        <v>#N/A</v>
      </c>
      <c r="L201">
        <f t="shared" ca="1" si="30"/>
        <v>1</v>
      </c>
      <c r="N201" t="e">
        <f t="shared" ca="1" si="35"/>
        <v>#N/A</v>
      </c>
      <c r="O201" t="e">
        <f t="shared" ca="1" si="31"/>
        <v>#N/A</v>
      </c>
      <c r="P201" s="2" t="e">
        <f ca="1"/>
        <v>#N/A</v>
      </c>
      <c r="Q201" t="e">
        <f ca="1"/>
        <v>#N/A</v>
      </c>
      <c r="R201" t="e">
        <f ca="1"/>
        <v>#N/A</v>
      </c>
      <c r="S201" t="e">
        <f ca="1"/>
        <v>#N/A</v>
      </c>
      <c r="T201" t="e">
        <f ca="1"/>
        <v>#N/A</v>
      </c>
      <c r="U201" t="e">
        <f ca="1"/>
        <v>#N/A</v>
      </c>
      <c r="V201" t="e">
        <f ca="1"/>
        <v>#N/A</v>
      </c>
      <c r="W201" t="e">
        <f ca="1"/>
        <v>#N/A</v>
      </c>
      <c r="X201" t="e">
        <f ca="1"/>
        <v>#N/A</v>
      </c>
      <c r="Y201" t="e">
        <f ca="1"/>
        <v>#N/A</v>
      </c>
      <c r="Z201" t="e">
        <f ca="1"/>
        <v>#N/A</v>
      </c>
      <c r="AA201" t="e">
        <f ca="1"/>
        <v>#N/A</v>
      </c>
      <c r="AB201" t="e">
        <f ca="1"/>
        <v>#N/A</v>
      </c>
      <c r="AD201" s="2">
        <f t="shared" ca="1" si="32"/>
        <v>0</v>
      </c>
      <c r="AE201" s="46">
        <f t="shared" ca="1" si="33"/>
        <v>0</v>
      </c>
      <c r="AG201" s="72" t="e">
        <f ca="1">Q200+S201+T201+U201</f>
        <v>#N/A</v>
      </c>
      <c r="AH201" s="72" t="e">
        <f ca="1">Q201+R201+X201</f>
        <v>#N/A</v>
      </c>
      <c r="AI201" s="3" t="e">
        <f ca="1">AH201-AG201</f>
        <v>#N/A</v>
      </c>
    </row>
    <row r="202" spans="7:35" x14ac:dyDescent="0.25">
      <c r="G202" s="3">
        <f t="shared" ca="1" si="34"/>
        <v>202</v>
      </c>
      <c r="H202" s="104">
        <f t="shared" ca="1" si="36"/>
        <v>45127</v>
      </c>
      <c r="I202" s="131" t="e">
        <f>HLOOKUP($H$4,'Met Data'!$A$2:$F$368,G202,FALSE)</f>
        <v>#N/A</v>
      </c>
      <c r="J202" s="131" t="e">
        <f ca="1">HLOOKUP($H$4,'Met Data'!$H$2:$M$368,G202,FALSE)*L202</f>
        <v>#N/A</v>
      </c>
      <c r="K202" s="105" t="e">
        <f>HLOOKUP($H$4,'Met Data'!$O$2:$T$368,G202,FALSE)</f>
        <v>#N/A</v>
      </c>
      <c r="L202">
        <f t="shared" ca="1" si="30"/>
        <v>1</v>
      </c>
      <c r="N202" t="e">
        <f t="shared" ca="1" si="35"/>
        <v>#N/A</v>
      </c>
      <c r="O202" t="e">
        <f t="shared" ca="1" si="31"/>
        <v>#N/A</v>
      </c>
      <c r="P202" s="2" t="e">
        <f ca="1"/>
        <v>#N/A</v>
      </c>
      <c r="Q202" t="e">
        <f ca="1"/>
        <v>#N/A</v>
      </c>
      <c r="R202" t="e">
        <f ca="1"/>
        <v>#N/A</v>
      </c>
      <c r="S202" t="e">
        <f ca="1"/>
        <v>#N/A</v>
      </c>
      <c r="T202" t="e">
        <f ca="1"/>
        <v>#N/A</v>
      </c>
      <c r="U202" t="e">
        <f ca="1"/>
        <v>#N/A</v>
      </c>
      <c r="V202" t="e">
        <f ca="1"/>
        <v>#N/A</v>
      </c>
      <c r="W202" t="e">
        <f ca="1"/>
        <v>#N/A</v>
      </c>
      <c r="X202" t="e">
        <f ca="1"/>
        <v>#N/A</v>
      </c>
      <c r="Y202" t="e">
        <f ca="1"/>
        <v>#N/A</v>
      </c>
      <c r="Z202" t="e">
        <f ca="1"/>
        <v>#N/A</v>
      </c>
      <c r="AA202" t="e">
        <f ca="1"/>
        <v>#N/A</v>
      </c>
      <c r="AB202" t="e">
        <f ca="1"/>
        <v>#N/A</v>
      </c>
      <c r="AD202" s="2">
        <f t="shared" ca="1" si="32"/>
        <v>0</v>
      </c>
      <c r="AE202" s="46">
        <f t="shared" ca="1" si="33"/>
        <v>0</v>
      </c>
      <c r="AG202" s="72" t="e">
        <f ca="1">Q201+S202+T202+U202</f>
        <v>#N/A</v>
      </c>
      <c r="AH202" s="72" t="e">
        <f ca="1">Q202+R202+X202</f>
        <v>#N/A</v>
      </c>
      <c r="AI202" s="3" t="e">
        <f ca="1">AH202-AG202</f>
        <v>#N/A</v>
      </c>
    </row>
    <row r="203" spans="7:35" x14ac:dyDescent="0.25">
      <c r="G203" s="3">
        <f t="shared" ca="1" si="34"/>
        <v>203</v>
      </c>
      <c r="H203" s="104">
        <f t="shared" ca="1" si="36"/>
        <v>45128</v>
      </c>
      <c r="I203" s="131" t="e">
        <f>HLOOKUP($H$4,'Met Data'!$A$2:$F$368,G203,FALSE)</f>
        <v>#N/A</v>
      </c>
      <c r="J203" s="131" t="e">
        <f ca="1">HLOOKUP($H$4,'Met Data'!$H$2:$M$368,G203,FALSE)*L203</f>
        <v>#N/A</v>
      </c>
      <c r="K203" s="105" t="e">
        <f>HLOOKUP($H$4,'Met Data'!$O$2:$T$368,G203,FALSE)</f>
        <v>#N/A</v>
      </c>
      <c r="L203">
        <f t="shared" ca="1" si="30"/>
        <v>1</v>
      </c>
      <c r="N203" t="e">
        <f t="shared" ca="1" si="35"/>
        <v>#N/A</v>
      </c>
      <c r="O203" t="e">
        <f t="shared" ca="1" si="31"/>
        <v>#N/A</v>
      </c>
      <c r="P203" s="2" t="e">
        <f ca="1"/>
        <v>#N/A</v>
      </c>
      <c r="Q203" t="e">
        <f ca="1"/>
        <v>#N/A</v>
      </c>
      <c r="R203" t="e">
        <f ca="1"/>
        <v>#N/A</v>
      </c>
      <c r="S203" t="e">
        <f ca="1"/>
        <v>#N/A</v>
      </c>
      <c r="T203" t="e">
        <f ca="1"/>
        <v>#N/A</v>
      </c>
      <c r="U203" t="e">
        <f ca="1"/>
        <v>#N/A</v>
      </c>
      <c r="V203" t="e">
        <f ca="1"/>
        <v>#N/A</v>
      </c>
      <c r="W203" t="e">
        <f ca="1"/>
        <v>#N/A</v>
      </c>
      <c r="X203" t="e">
        <f ca="1"/>
        <v>#N/A</v>
      </c>
      <c r="Y203" t="e">
        <f ca="1"/>
        <v>#N/A</v>
      </c>
      <c r="Z203" t="e">
        <f ca="1"/>
        <v>#N/A</v>
      </c>
      <c r="AA203" t="e">
        <f ca="1"/>
        <v>#N/A</v>
      </c>
      <c r="AB203" t="e">
        <f ca="1"/>
        <v>#N/A</v>
      </c>
      <c r="AD203" s="2">
        <f t="shared" ca="1" si="32"/>
        <v>0</v>
      </c>
      <c r="AE203" s="46">
        <f t="shared" ca="1" si="33"/>
        <v>0</v>
      </c>
      <c r="AG203" s="72" t="e">
        <f t="shared" ref="AG203:AG266" ca="1" si="37">Q202+S203+T203+U203</f>
        <v>#N/A</v>
      </c>
      <c r="AH203" s="72" t="e">
        <f t="shared" ref="AH203:AH266" ca="1" si="38">Q203+R203+X203</f>
        <v>#N/A</v>
      </c>
      <c r="AI203" s="3" t="e">
        <f t="shared" ref="AI203:AI266" ca="1" si="39">AH203-AG203</f>
        <v>#N/A</v>
      </c>
    </row>
    <row r="204" spans="7:35" x14ac:dyDescent="0.25">
      <c r="G204" s="3">
        <f t="shared" ca="1" si="34"/>
        <v>204</v>
      </c>
      <c r="H204" s="104">
        <f t="shared" ca="1" si="36"/>
        <v>45129</v>
      </c>
      <c r="I204" s="131" t="e">
        <f>HLOOKUP($H$4,'Met Data'!$A$2:$F$368,G204,FALSE)</f>
        <v>#N/A</v>
      </c>
      <c r="J204" s="131" t="e">
        <f ca="1">HLOOKUP($H$4,'Met Data'!$H$2:$M$368,G204,FALSE)*L204</f>
        <v>#N/A</v>
      </c>
      <c r="K204" s="105" t="e">
        <f>HLOOKUP($H$4,'Met Data'!$O$2:$T$368,G204,FALSE)</f>
        <v>#N/A</v>
      </c>
      <c r="L204">
        <f t="shared" ca="1" si="30"/>
        <v>1</v>
      </c>
      <c r="N204" t="e">
        <f t="shared" ca="1" si="35"/>
        <v>#N/A</v>
      </c>
      <c r="O204" t="e">
        <f t="shared" ca="1" si="31"/>
        <v>#N/A</v>
      </c>
      <c r="P204" s="2" t="e">
        <f ca="1"/>
        <v>#N/A</v>
      </c>
      <c r="Q204" t="e">
        <f ca="1"/>
        <v>#N/A</v>
      </c>
      <c r="R204" t="e">
        <f ca="1"/>
        <v>#N/A</v>
      </c>
      <c r="S204" t="e">
        <f ca="1"/>
        <v>#N/A</v>
      </c>
      <c r="T204" t="e">
        <f ca="1"/>
        <v>#N/A</v>
      </c>
      <c r="U204" t="e">
        <f ca="1"/>
        <v>#N/A</v>
      </c>
      <c r="V204" t="e">
        <f ca="1"/>
        <v>#N/A</v>
      </c>
      <c r="W204" t="e">
        <f ca="1"/>
        <v>#N/A</v>
      </c>
      <c r="X204" t="e">
        <f ca="1"/>
        <v>#N/A</v>
      </c>
      <c r="Y204" t="e">
        <f ca="1"/>
        <v>#N/A</v>
      </c>
      <c r="Z204" t="e">
        <f ca="1"/>
        <v>#N/A</v>
      </c>
      <c r="AA204" t="e">
        <f ca="1"/>
        <v>#N/A</v>
      </c>
      <c r="AB204" t="e">
        <f ca="1"/>
        <v>#N/A</v>
      </c>
      <c r="AD204" s="2">
        <f t="shared" ca="1" si="32"/>
        <v>0</v>
      </c>
      <c r="AE204" s="46">
        <f t="shared" ca="1" si="33"/>
        <v>0</v>
      </c>
      <c r="AG204" s="72" t="e">
        <f t="shared" ca="1" si="37"/>
        <v>#N/A</v>
      </c>
      <c r="AH204" s="72" t="e">
        <f t="shared" ca="1" si="38"/>
        <v>#N/A</v>
      </c>
      <c r="AI204" s="3" t="e">
        <f t="shared" ca="1" si="39"/>
        <v>#N/A</v>
      </c>
    </row>
    <row r="205" spans="7:35" x14ac:dyDescent="0.25">
      <c r="G205" s="3">
        <f t="shared" ca="1" si="34"/>
        <v>205</v>
      </c>
      <c r="H205" s="104">
        <f t="shared" ca="1" si="36"/>
        <v>45130</v>
      </c>
      <c r="I205" s="131" t="e">
        <f>HLOOKUP($H$4,'Met Data'!$A$2:$F$368,G205,FALSE)</f>
        <v>#N/A</v>
      </c>
      <c r="J205" s="131" t="e">
        <f ca="1">HLOOKUP($H$4,'Met Data'!$H$2:$M$368,G205,FALSE)*L205</f>
        <v>#N/A</v>
      </c>
      <c r="K205" s="105" t="e">
        <f>HLOOKUP($H$4,'Met Data'!$O$2:$T$368,G205,FALSE)</f>
        <v>#N/A</v>
      </c>
      <c r="L205">
        <f t="shared" ca="1" si="30"/>
        <v>1</v>
      </c>
      <c r="N205" t="e">
        <f t="shared" ca="1" si="35"/>
        <v>#N/A</v>
      </c>
      <c r="O205" t="e">
        <f t="shared" ca="1" si="31"/>
        <v>#N/A</v>
      </c>
      <c r="P205" s="2" t="e">
        <f ca="1"/>
        <v>#N/A</v>
      </c>
      <c r="Q205" t="e">
        <f ca="1"/>
        <v>#N/A</v>
      </c>
      <c r="R205" t="e">
        <f ca="1"/>
        <v>#N/A</v>
      </c>
      <c r="S205" t="e">
        <f ca="1"/>
        <v>#N/A</v>
      </c>
      <c r="T205" t="e">
        <f ca="1"/>
        <v>#N/A</v>
      </c>
      <c r="U205" t="e">
        <f ca="1"/>
        <v>#N/A</v>
      </c>
      <c r="V205" t="e">
        <f ca="1"/>
        <v>#N/A</v>
      </c>
      <c r="W205" t="e">
        <f ca="1"/>
        <v>#N/A</v>
      </c>
      <c r="X205" t="e">
        <f ca="1"/>
        <v>#N/A</v>
      </c>
      <c r="Y205" t="e">
        <f ca="1"/>
        <v>#N/A</v>
      </c>
      <c r="Z205" t="e">
        <f ca="1"/>
        <v>#N/A</v>
      </c>
      <c r="AA205" t="e">
        <f ca="1"/>
        <v>#N/A</v>
      </c>
      <c r="AB205" t="e">
        <f ca="1"/>
        <v>#N/A</v>
      </c>
      <c r="AD205" s="2">
        <f t="shared" ca="1" si="32"/>
        <v>0</v>
      </c>
      <c r="AE205" s="46">
        <f t="shared" ca="1" si="33"/>
        <v>0</v>
      </c>
      <c r="AG205" s="72" t="e">
        <f t="shared" ca="1" si="37"/>
        <v>#N/A</v>
      </c>
      <c r="AH205" s="72" t="e">
        <f t="shared" ca="1" si="38"/>
        <v>#N/A</v>
      </c>
      <c r="AI205" s="3" t="e">
        <f t="shared" ca="1" si="39"/>
        <v>#N/A</v>
      </c>
    </row>
    <row r="206" spans="7:35" x14ac:dyDescent="0.25">
      <c r="G206" s="3">
        <f t="shared" ca="1" si="34"/>
        <v>206</v>
      </c>
      <c r="H206" s="104">
        <f t="shared" ca="1" si="36"/>
        <v>45131</v>
      </c>
      <c r="I206" s="131" t="e">
        <f>HLOOKUP($H$4,'Met Data'!$A$2:$F$368,G206,FALSE)</f>
        <v>#N/A</v>
      </c>
      <c r="J206" s="131" t="e">
        <f ca="1">HLOOKUP($H$4,'Met Data'!$H$2:$M$368,G206,FALSE)*L206</f>
        <v>#N/A</v>
      </c>
      <c r="K206" s="105" t="e">
        <f>HLOOKUP($H$4,'Met Data'!$O$2:$T$368,G206,FALSE)</f>
        <v>#N/A</v>
      </c>
      <c r="L206">
        <f t="shared" ca="1" si="30"/>
        <v>1</v>
      </c>
      <c r="N206" t="e">
        <f t="shared" ca="1" si="35"/>
        <v>#N/A</v>
      </c>
      <c r="O206" t="e">
        <f t="shared" ca="1" si="31"/>
        <v>#N/A</v>
      </c>
      <c r="P206" s="2" t="e">
        <f ca="1"/>
        <v>#N/A</v>
      </c>
      <c r="Q206" t="e">
        <f ca="1"/>
        <v>#N/A</v>
      </c>
      <c r="R206" t="e">
        <f ca="1"/>
        <v>#N/A</v>
      </c>
      <c r="S206" t="e">
        <f ca="1"/>
        <v>#N/A</v>
      </c>
      <c r="T206" t="e">
        <f ca="1"/>
        <v>#N/A</v>
      </c>
      <c r="U206" t="e">
        <f ca="1"/>
        <v>#N/A</v>
      </c>
      <c r="V206" t="e">
        <f ca="1"/>
        <v>#N/A</v>
      </c>
      <c r="W206" t="e">
        <f ca="1"/>
        <v>#N/A</v>
      </c>
      <c r="X206" t="e">
        <f ca="1"/>
        <v>#N/A</v>
      </c>
      <c r="Y206" t="e">
        <f ca="1"/>
        <v>#N/A</v>
      </c>
      <c r="Z206" t="e">
        <f ca="1"/>
        <v>#N/A</v>
      </c>
      <c r="AA206" t="e">
        <f ca="1"/>
        <v>#N/A</v>
      </c>
      <c r="AB206" t="e">
        <f ca="1"/>
        <v>#N/A</v>
      </c>
      <c r="AD206" s="2">
        <f t="shared" ca="1" si="32"/>
        <v>0</v>
      </c>
      <c r="AE206" s="46">
        <f t="shared" ca="1" si="33"/>
        <v>0</v>
      </c>
      <c r="AG206" s="72" t="e">
        <f t="shared" ca="1" si="37"/>
        <v>#N/A</v>
      </c>
      <c r="AH206" s="72" t="e">
        <f t="shared" ca="1" si="38"/>
        <v>#N/A</v>
      </c>
      <c r="AI206" s="3" t="e">
        <f t="shared" ca="1" si="39"/>
        <v>#N/A</v>
      </c>
    </row>
    <row r="207" spans="7:35" x14ac:dyDescent="0.25">
      <c r="G207" s="3">
        <f t="shared" ca="1" si="34"/>
        <v>207</v>
      </c>
      <c r="H207" s="104">
        <f t="shared" ca="1" si="36"/>
        <v>45132</v>
      </c>
      <c r="I207" s="131" t="e">
        <f>HLOOKUP($H$4,'Met Data'!$A$2:$F$368,G207,FALSE)</f>
        <v>#N/A</v>
      </c>
      <c r="J207" s="131" t="e">
        <f ca="1">HLOOKUP($H$4,'Met Data'!$H$2:$M$368,G207,FALSE)*L207</f>
        <v>#N/A</v>
      </c>
      <c r="K207" s="105" t="e">
        <f>HLOOKUP($H$4,'Met Data'!$O$2:$T$368,G207,FALSE)</f>
        <v>#N/A</v>
      </c>
      <c r="L207">
        <f t="shared" ca="1" si="30"/>
        <v>1</v>
      </c>
      <c r="N207" t="e">
        <f t="shared" ca="1" si="35"/>
        <v>#N/A</v>
      </c>
      <c r="O207" t="e">
        <f t="shared" ca="1" si="31"/>
        <v>#N/A</v>
      </c>
      <c r="P207" s="2" t="e">
        <f ca="1"/>
        <v>#N/A</v>
      </c>
      <c r="Q207" t="e">
        <f ca="1"/>
        <v>#N/A</v>
      </c>
      <c r="R207" t="e">
        <f ca="1"/>
        <v>#N/A</v>
      </c>
      <c r="S207" t="e">
        <f ca="1"/>
        <v>#N/A</v>
      </c>
      <c r="T207" t="e">
        <f ca="1"/>
        <v>#N/A</v>
      </c>
      <c r="U207" t="e">
        <f ca="1"/>
        <v>#N/A</v>
      </c>
      <c r="V207" t="e">
        <f ca="1"/>
        <v>#N/A</v>
      </c>
      <c r="W207" t="e">
        <f ca="1"/>
        <v>#N/A</v>
      </c>
      <c r="X207" t="e">
        <f ca="1"/>
        <v>#N/A</v>
      </c>
      <c r="Y207" t="e">
        <f ca="1"/>
        <v>#N/A</v>
      </c>
      <c r="Z207" t="e">
        <f ca="1"/>
        <v>#N/A</v>
      </c>
      <c r="AA207" t="e">
        <f ca="1"/>
        <v>#N/A</v>
      </c>
      <c r="AB207" t="e">
        <f ca="1"/>
        <v>#N/A</v>
      </c>
      <c r="AD207" s="2">
        <f t="shared" ca="1" si="32"/>
        <v>0</v>
      </c>
      <c r="AE207" s="46">
        <f t="shared" ca="1" si="33"/>
        <v>0</v>
      </c>
      <c r="AG207" s="72" t="e">
        <f t="shared" ca="1" si="37"/>
        <v>#N/A</v>
      </c>
      <c r="AH207" s="72" t="e">
        <f t="shared" ca="1" si="38"/>
        <v>#N/A</v>
      </c>
      <c r="AI207" s="3" t="e">
        <f t="shared" ca="1" si="39"/>
        <v>#N/A</v>
      </c>
    </row>
    <row r="208" spans="7:35" x14ac:dyDescent="0.25">
      <c r="G208" s="3">
        <f t="shared" ca="1" si="34"/>
        <v>208</v>
      </c>
      <c r="H208" s="104">
        <f t="shared" ca="1" si="36"/>
        <v>45133</v>
      </c>
      <c r="I208" s="131" t="e">
        <f>HLOOKUP($H$4,'Met Data'!$A$2:$F$368,G208,FALSE)</f>
        <v>#N/A</v>
      </c>
      <c r="J208" s="131" t="e">
        <f ca="1">HLOOKUP($H$4,'Met Data'!$H$2:$M$368,G208,FALSE)*L208</f>
        <v>#N/A</v>
      </c>
      <c r="K208" s="105" t="e">
        <f>HLOOKUP($H$4,'Met Data'!$O$2:$T$368,G208,FALSE)</f>
        <v>#N/A</v>
      </c>
      <c r="L208">
        <f t="shared" ca="1" si="30"/>
        <v>1</v>
      </c>
      <c r="N208" t="e">
        <f t="shared" ca="1" si="35"/>
        <v>#N/A</v>
      </c>
      <c r="O208" t="e">
        <f t="shared" ca="1" si="31"/>
        <v>#N/A</v>
      </c>
      <c r="P208" s="2" t="e">
        <f ca="1"/>
        <v>#N/A</v>
      </c>
      <c r="Q208" t="e">
        <f ca="1"/>
        <v>#N/A</v>
      </c>
      <c r="R208" t="e">
        <f ca="1"/>
        <v>#N/A</v>
      </c>
      <c r="S208" t="e">
        <f ca="1"/>
        <v>#N/A</v>
      </c>
      <c r="T208" t="e">
        <f ca="1"/>
        <v>#N/A</v>
      </c>
      <c r="U208" t="e">
        <f ca="1"/>
        <v>#N/A</v>
      </c>
      <c r="V208" t="e">
        <f ca="1"/>
        <v>#N/A</v>
      </c>
      <c r="W208" t="e">
        <f ca="1"/>
        <v>#N/A</v>
      </c>
      <c r="X208" t="e">
        <f ca="1"/>
        <v>#N/A</v>
      </c>
      <c r="Y208" t="e">
        <f ca="1"/>
        <v>#N/A</v>
      </c>
      <c r="Z208" t="e">
        <f ca="1"/>
        <v>#N/A</v>
      </c>
      <c r="AA208" t="e">
        <f ca="1"/>
        <v>#N/A</v>
      </c>
      <c r="AB208" t="e">
        <f ca="1"/>
        <v>#N/A</v>
      </c>
      <c r="AD208" s="2">
        <f t="shared" ca="1" si="32"/>
        <v>0</v>
      </c>
      <c r="AE208" s="46">
        <f t="shared" ca="1" si="33"/>
        <v>0</v>
      </c>
      <c r="AG208" s="72" t="e">
        <f t="shared" ca="1" si="37"/>
        <v>#N/A</v>
      </c>
      <c r="AH208" s="72" t="e">
        <f t="shared" ca="1" si="38"/>
        <v>#N/A</v>
      </c>
      <c r="AI208" s="3" t="e">
        <f t="shared" ca="1" si="39"/>
        <v>#N/A</v>
      </c>
    </row>
    <row r="209" spans="7:35" x14ac:dyDescent="0.25">
      <c r="G209" s="3">
        <f t="shared" ca="1" si="34"/>
        <v>209</v>
      </c>
      <c r="H209" s="104">
        <f t="shared" ca="1" si="36"/>
        <v>45134</v>
      </c>
      <c r="I209" s="131" t="e">
        <f>HLOOKUP($H$4,'Met Data'!$A$2:$F$368,G209,FALSE)</f>
        <v>#N/A</v>
      </c>
      <c r="J209" s="131" t="e">
        <f ca="1">HLOOKUP($H$4,'Met Data'!$H$2:$M$368,G209,FALSE)*L209</f>
        <v>#N/A</v>
      </c>
      <c r="K209" s="105" t="e">
        <f>HLOOKUP($H$4,'Met Data'!$O$2:$T$368,G209,FALSE)</f>
        <v>#N/A</v>
      </c>
      <c r="L209">
        <f t="shared" ca="1" si="30"/>
        <v>1</v>
      </c>
      <c r="N209" t="e">
        <f t="shared" ca="1" si="35"/>
        <v>#N/A</v>
      </c>
      <c r="O209" t="e">
        <f t="shared" ca="1" si="31"/>
        <v>#N/A</v>
      </c>
      <c r="P209" s="2" t="e">
        <f ca="1"/>
        <v>#N/A</v>
      </c>
      <c r="Q209" t="e">
        <f ca="1"/>
        <v>#N/A</v>
      </c>
      <c r="R209" t="e">
        <f ca="1"/>
        <v>#N/A</v>
      </c>
      <c r="S209" t="e">
        <f ca="1"/>
        <v>#N/A</v>
      </c>
      <c r="T209" t="e">
        <f ca="1"/>
        <v>#N/A</v>
      </c>
      <c r="U209" t="e">
        <f ca="1"/>
        <v>#N/A</v>
      </c>
      <c r="V209" t="e">
        <f ca="1"/>
        <v>#N/A</v>
      </c>
      <c r="W209" t="e">
        <f ca="1"/>
        <v>#N/A</v>
      </c>
      <c r="X209" t="e">
        <f ca="1"/>
        <v>#N/A</v>
      </c>
      <c r="Y209" t="e">
        <f ca="1"/>
        <v>#N/A</v>
      </c>
      <c r="Z209" t="e">
        <f ca="1"/>
        <v>#N/A</v>
      </c>
      <c r="AA209" t="e">
        <f ca="1"/>
        <v>#N/A</v>
      </c>
      <c r="AB209" t="e">
        <f ca="1"/>
        <v>#N/A</v>
      </c>
      <c r="AD209" s="2">
        <f t="shared" ca="1" si="32"/>
        <v>0</v>
      </c>
      <c r="AE209" s="46">
        <f t="shared" ca="1" si="33"/>
        <v>0</v>
      </c>
      <c r="AG209" s="72" t="e">
        <f t="shared" ca="1" si="37"/>
        <v>#N/A</v>
      </c>
      <c r="AH209" s="72" t="e">
        <f t="shared" ca="1" si="38"/>
        <v>#N/A</v>
      </c>
      <c r="AI209" s="3" t="e">
        <f t="shared" ca="1" si="39"/>
        <v>#N/A</v>
      </c>
    </row>
    <row r="210" spans="7:35" x14ac:dyDescent="0.25">
      <c r="G210" s="3">
        <f t="shared" ca="1" si="34"/>
        <v>210</v>
      </c>
      <c r="H210" s="104">
        <f t="shared" ca="1" si="36"/>
        <v>45135</v>
      </c>
      <c r="I210" s="131" t="e">
        <f>HLOOKUP($H$4,'Met Data'!$A$2:$F$368,G210,FALSE)</f>
        <v>#N/A</v>
      </c>
      <c r="J210" s="131" t="e">
        <f ca="1">HLOOKUP($H$4,'Met Data'!$H$2:$M$368,G210,FALSE)*L210</f>
        <v>#N/A</v>
      </c>
      <c r="K210" s="105" t="e">
        <f>HLOOKUP($H$4,'Met Data'!$O$2:$T$368,G210,FALSE)</f>
        <v>#N/A</v>
      </c>
      <c r="L210">
        <f t="shared" ca="1" si="30"/>
        <v>1</v>
      </c>
      <c r="N210" t="e">
        <f t="shared" ca="1" si="35"/>
        <v>#N/A</v>
      </c>
      <c r="O210" t="e">
        <f t="shared" ca="1" si="31"/>
        <v>#N/A</v>
      </c>
      <c r="P210" s="2" t="e">
        <f ca="1"/>
        <v>#N/A</v>
      </c>
      <c r="Q210" t="e">
        <f ca="1"/>
        <v>#N/A</v>
      </c>
      <c r="R210" t="e">
        <f ca="1"/>
        <v>#N/A</v>
      </c>
      <c r="S210" t="e">
        <f ca="1"/>
        <v>#N/A</v>
      </c>
      <c r="T210" t="e">
        <f ca="1"/>
        <v>#N/A</v>
      </c>
      <c r="U210" t="e">
        <f ca="1"/>
        <v>#N/A</v>
      </c>
      <c r="V210" t="e">
        <f ca="1"/>
        <v>#N/A</v>
      </c>
      <c r="W210" t="e">
        <f ca="1"/>
        <v>#N/A</v>
      </c>
      <c r="X210" t="e">
        <f ca="1"/>
        <v>#N/A</v>
      </c>
      <c r="Y210" t="e">
        <f ca="1"/>
        <v>#N/A</v>
      </c>
      <c r="Z210" t="e">
        <f ca="1"/>
        <v>#N/A</v>
      </c>
      <c r="AA210" t="e">
        <f ca="1"/>
        <v>#N/A</v>
      </c>
      <c r="AB210" t="e">
        <f ca="1"/>
        <v>#N/A</v>
      </c>
      <c r="AD210" s="2">
        <f t="shared" ca="1" si="32"/>
        <v>0</v>
      </c>
      <c r="AE210" s="46">
        <f t="shared" ca="1" si="33"/>
        <v>0</v>
      </c>
      <c r="AG210" s="72" t="e">
        <f t="shared" ca="1" si="37"/>
        <v>#N/A</v>
      </c>
      <c r="AH210" s="72" t="e">
        <f t="shared" ca="1" si="38"/>
        <v>#N/A</v>
      </c>
      <c r="AI210" s="3" t="e">
        <f t="shared" ca="1" si="39"/>
        <v>#N/A</v>
      </c>
    </row>
    <row r="211" spans="7:35" x14ac:dyDescent="0.25">
      <c r="G211" s="3">
        <f t="shared" ca="1" si="34"/>
        <v>211</v>
      </c>
      <c r="H211" s="104">
        <f t="shared" ca="1" si="36"/>
        <v>45136</v>
      </c>
      <c r="I211" s="131" t="e">
        <f>HLOOKUP($H$4,'Met Data'!$A$2:$F$368,G211,FALSE)</f>
        <v>#N/A</v>
      </c>
      <c r="J211" s="131" t="e">
        <f ca="1">HLOOKUP($H$4,'Met Data'!$H$2:$M$368,G211,FALSE)*L211</f>
        <v>#N/A</v>
      </c>
      <c r="K211" s="105" t="e">
        <f>HLOOKUP($H$4,'Met Data'!$O$2:$T$368,G211,FALSE)</f>
        <v>#N/A</v>
      </c>
      <c r="L211">
        <f t="shared" ca="1" si="30"/>
        <v>1</v>
      </c>
      <c r="N211" t="e">
        <f t="shared" ca="1" si="35"/>
        <v>#N/A</v>
      </c>
      <c r="O211" t="e">
        <f t="shared" ca="1" si="31"/>
        <v>#N/A</v>
      </c>
      <c r="P211" s="2" t="e">
        <f ca="1"/>
        <v>#N/A</v>
      </c>
      <c r="Q211" t="e">
        <f ca="1"/>
        <v>#N/A</v>
      </c>
      <c r="R211" t="e">
        <f ca="1"/>
        <v>#N/A</v>
      </c>
      <c r="S211" t="e">
        <f ca="1"/>
        <v>#N/A</v>
      </c>
      <c r="T211" t="e">
        <f ca="1"/>
        <v>#N/A</v>
      </c>
      <c r="U211" t="e">
        <f ca="1"/>
        <v>#N/A</v>
      </c>
      <c r="V211" t="e">
        <f ca="1"/>
        <v>#N/A</v>
      </c>
      <c r="W211" t="e">
        <f ca="1"/>
        <v>#N/A</v>
      </c>
      <c r="X211" t="e">
        <f ca="1"/>
        <v>#N/A</v>
      </c>
      <c r="Y211" t="e">
        <f ca="1"/>
        <v>#N/A</v>
      </c>
      <c r="Z211" t="e">
        <f ca="1"/>
        <v>#N/A</v>
      </c>
      <c r="AA211" t="e">
        <f ca="1"/>
        <v>#N/A</v>
      </c>
      <c r="AB211" t="e">
        <f ca="1"/>
        <v>#N/A</v>
      </c>
      <c r="AD211" s="2">
        <f t="shared" ca="1" si="32"/>
        <v>0</v>
      </c>
      <c r="AE211" s="46">
        <f t="shared" ca="1" si="33"/>
        <v>0</v>
      </c>
      <c r="AG211" s="72" t="e">
        <f t="shared" ca="1" si="37"/>
        <v>#N/A</v>
      </c>
      <c r="AH211" s="72" t="e">
        <f t="shared" ca="1" si="38"/>
        <v>#N/A</v>
      </c>
      <c r="AI211" s="3" t="e">
        <f t="shared" ca="1" si="39"/>
        <v>#N/A</v>
      </c>
    </row>
    <row r="212" spans="7:35" x14ac:dyDescent="0.25">
      <c r="G212" s="3">
        <f t="shared" ca="1" si="34"/>
        <v>212</v>
      </c>
      <c r="H212" s="104">
        <f t="shared" ca="1" si="36"/>
        <v>45137</v>
      </c>
      <c r="I212" s="131" t="e">
        <f>HLOOKUP($H$4,'Met Data'!$A$2:$F$368,G212,FALSE)</f>
        <v>#N/A</v>
      </c>
      <c r="J212" s="131" t="e">
        <f ca="1">HLOOKUP($H$4,'Met Data'!$H$2:$M$368,G212,FALSE)*L212</f>
        <v>#N/A</v>
      </c>
      <c r="K212" s="105" t="e">
        <f>HLOOKUP($H$4,'Met Data'!$O$2:$T$368,G212,FALSE)</f>
        <v>#N/A</v>
      </c>
      <c r="L212">
        <f t="shared" ca="1" si="30"/>
        <v>1</v>
      </c>
      <c r="N212" t="e">
        <f t="shared" ca="1" si="35"/>
        <v>#N/A</v>
      </c>
      <c r="O212" t="e">
        <f t="shared" ca="1" si="31"/>
        <v>#N/A</v>
      </c>
      <c r="P212" s="2" t="e">
        <f ca="1"/>
        <v>#N/A</v>
      </c>
      <c r="Q212" t="e">
        <f ca="1"/>
        <v>#N/A</v>
      </c>
      <c r="R212" t="e">
        <f ca="1"/>
        <v>#N/A</v>
      </c>
      <c r="S212" t="e">
        <f ca="1"/>
        <v>#N/A</v>
      </c>
      <c r="T212" t="e">
        <f ca="1"/>
        <v>#N/A</v>
      </c>
      <c r="U212" t="e">
        <f ca="1"/>
        <v>#N/A</v>
      </c>
      <c r="V212" t="e">
        <f ca="1"/>
        <v>#N/A</v>
      </c>
      <c r="W212" t="e">
        <f ca="1"/>
        <v>#N/A</v>
      </c>
      <c r="X212" t="e">
        <f ca="1"/>
        <v>#N/A</v>
      </c>
      <c r="Y212" t="e">
        <f ca="1"/>
        <v>#N/A</v>
      </c>
      <c r="Z212" t="e">
        <f ca="1"/>
        <v>#N/A</v>
      </c>
      <c r="AA212" t="e">
        <f ca="1"/>
        <v>#N/A</v>
      </c>
      <c r="AB212" t="e">
        <f ca="1"/>
        <v>#N/A</v>
      </c>
      <c r="AD212" s="2">
        <f t="shared" ca="1" si="32"/>
        <v>0</v>
      </c>
      <c r="AE212" s="46">
        <f t="shared" ca="1" si="33"/>
        <v>0</v>
      </c>
      <c r="AG212" s="72" t="e">
        <f t="shared" ca="1" si="37"/>
        <v>#N/A</v>
      </c>
      <c r="AH212" s="72" t="e">
        <f t="shared" ca="1" si="38"/>
        <v>#N/A</v>
      </c>
      <c r="AI212" s="3" t="e">
        <f t="shared" ca="1" si="39"/>
        <v>#N/A</v>
      </c>
    </row>
    <row r="213" spans="7:35" x14ac:dyDescent="0.25">
      <c r="G213" s="3">
        <f t="shared" ca="1" si="34"/>
        <v>213</v>
      </c>
      <c r="H213" s="104">
        <f t="shared" ca="1" si="36"/>
        <v>45138</v>
      </c>
      <c r="I213" s="131" t="e">
        <f>HLOOKUP($H$4,'Met Data'!$A$2:$F$368,G213,FALSE)</f>
        <v>#N/A</v>
      </c>
      <c r="J213" s="131" t="e">
        <f ca="1">HLOOKUP($H$4,'Met Data'!$H$2:$M$368,G213,FALSE)*L213</f>
        <v>#N/A</v>
      </c>
      <c r="K213" s="105" t="e">
        <f>HLOOKUP($H$4,'Met Data'!$O$2:$T$368,G213,FALSE)</f>
        <v>#N/A</v>
      </c>
      <c r="L213">
        <f t="shared" ca="1" si="30"/>
        <v>1</v>
      </c>
      <c r="N213" t="e">
        <f t="shared" ca="1" si="35"/>
        <v>#N/A</v>
      </c>
      <c r="O213" t="e">
        <f t="shared" ca="1" si="31"/>
        <v>#N/A</v>
      </c>
      <c r="P213" s="2" t="e">
        <f ca="1"/>
        <v>#N/A</v>
      </c>
      <c r="Q213" t="e">
        <f ca="1"/>
        <v>#N/A</v>
      </c>
      <c r="R213" t="e">
        <f ca="1"/>
        <v>#N/A</v>
      </c>
      <c r="S213" t="e">
        <f ca="1"/>
        <v>#N/A</v>
      </c>
      <c r="T213" t="e">
        <f ca="1"/>
        <v>#N/A</v>
      </c>
      <c r="U213" t="e">
        <f ca="1"/>
        <v>#N/A</v>
      </c>
      <c r="V213" t="e">
        <f ca="1"/>
        <v>#N/A</v>
      </c>
      <c r="W213" t="e">
        <f ca="1"/>
        <v>#N/A</v>
      </c>
      <c r="X213" t="e">
        <f ca="1"/>
        <v>#N/A</v>
      </c>
      <c r="Y213" t="e">
        <f ca="1"/>
        <v>#N/A</v>
      </c>
      <c r="Z213" t="e">
        <f ca="1"/>
        <v>#N/A</v>
      </c>
      <c r="AA213" t="e">
        <f ca="1"/>
        <v>#N/A</v>
      </c>
      <c r="AB213" t="e">
        <f ca="1"/>
        <v>#N/A</v>
      </c>
      <c r="AD213" s="2">
        <f t="shared" ca="1" si="32"/>
        <v>0</v>
      </c>
      <c r="AE213" s="46">
        <f t="shared" ca="1" si="33"/>
        <v>0</v>
      </c>
      <c r="AG213" s="72" t="e">
        <f t="shared" ca="1" si="37"/>
        <v>#N/A</v>
      </c>
      <c r="AH213" s="72" t="e">
        <f t="shared" ca="1" si="38"/>
        <v>#N/A</v>
      </c>
      <c r="AI213" s="3" t="e">
        <f t="shared" ca="1" si="39"/>
        <v>#N/A</v>
      </c>
    </row>
    <row r="214" spans="7:35" x14ac:dyDescent="0.25">
      <c r="G214" s="3">
        <f t="shared" ca="1" si="34"/>
        <v>214</v>
      </c>
      <c r="H214" s="104">
        <f t="shared" ca="1" si="36"/>
        <v>45139</v>
      </c>
      <c r="I214" s="131" t="e">
        <f>HLOOKUP($H$4,'Met Data'!$A$2:$F$368,G214,FALSE)</f>
        <v>#N/A</v>
      </c>
      <c r="J214" s="131" t="e">
        <f ca="1">HLOOKUP($H$4,'Met Data'!$H$2:$M$368,G214,FALSE)*L214</f>
        <v>#N/A</v>
      </c>
      <c r="K214" s="105" t="e">
        <f>HLOOKUP($H$4,'Met Data'!$O$2:$T$368,G214,FALSE)</f>
        <v>#N/A</v>
      </c>
      <c r="L214">
        <f t="shared" ca="1" si="30"/>
        <v>1</v>
      </c>
      <c r="N214" t="e">
        <f t="shared" ca="1" si="35"/>
        <v>#N/A</v>
      </c>
      <c r="O214" t="e">
        <f t="shared" ca="1" si="31"/>
        <v>#N/A</v>
      </c>
      <c r="P214" s="2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W214" t="e">
        <f ca="1"/>
        <v>#N/A</v>
      </c>
      <c r="X214" t="e">
        <f ca="1"/>
        <v>#N/A</v>
      </c>
      <c r="Y214" t="e">
        <f ca="1"/>
        <v>#N/A</v>
      </c>
      <c r="Z214" t="e">
        <f ca="1"/>
        <v>#N/A</v>
      </c>
      <c r="AA214" t="e">
        <f ca="1"/>
        <v>#N/A</v>
      </c>
      <c r="AB214" t="e">
        <f ca="1"/>
        <v>#N/A</v>
      </c>
      <c r="AD214" s="2">
        <f t="shared" ca="1" si="32"/>
        <v>0</v>
      </c>
      <c r="AE214" s="46">
        <f t="shared" ca="1" si="33"/>
        <v>0</v>
      </c>
      <c r="AG214" s="72" t="e">
        <f t="shared" ca="1" si="37"/>
        <v>#N/A</v>
      </c>
      <c r="AH214" s="72" t="e">
        <f t="shared" ca="1" si="38"/>
        <v>#N/A</v>
      </c>
      <c r="AI214" s="3" t="e">
        <f t="shared" ca="1" si="39"/>
        <v>#N/A</v>
      </c>
    </row>
    <row r="215" spans="7:35" x14ac:dyDescent="0.25">
      <c r="G215" s="3">
        <f t="shared" ca="1" si="34"/>
        <v>215</v>
      </c>
      <c r="H215" s="104">
        <f t="shared" ca="1" si="36"/>
        <v>45140</v>
      </c>
      <c r="I215" s="131" t="e">
        <f>HLOOKUP($H$4,'Met Data'!$A$2:$F$368,G215,FALSE)</f>
        <v>#N/A</v>
      </c>
      <c r="J215" s="131" t="e">
        <f ca="1">HLOOKUP($H$4,'Met Data'!$H$2:$M$368,G215,FALSE)*L215</f>
        <v>#N/A</v>
      </c>
      <c r="K215" s="105" t="e">
        <f>HLOOKUP($H$4,'Met Data'!$O$2:$T$368,G215,FALSE)</f>
        <v>#N/A</v>
      </c>
      <c r="L215">
        <f t="shared" ca="1" si="30"/>
        <v>1</v>
      </c>
      <c r="N215" t="e">
        <f t="shared" ca="1" si="35"/>
        <v>#N/A</v>
      </c>
      <c r="O215" t="e">
        <f t="shared" ca="1" si="31"/>
        <v>#N/A</v>
      </c>
      <c r="P215" s="2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W215" t="e">
        <f ca="1"/>
        <v>#N/A</v>
      </c>
      <c r="X215" t="e">
        <f ca="1"/>
        <v>#N/A</v>
      </c>
      <c r="Y215" t="e">
        <f ca="1"/>
        <v>#N/A</v>
      </c>
      <c r="Z215" t="e">
        <f ca="1"/>
        <v>#N/A</v>
      </c>
      <c r="AA215" t="e">
        <f ca="1"/>
        <v>#N/A</v>
      </c>
      <c r="AB215" t="e">
        <f ca="1"/>
        <v>#N/A</v>
      </c>
      <c r="AD215" s="2">
        <f t="shared" ca="1" si="32"/>
        <v>0</v>
      </c>
      <c r="AE215" s="46">
        <f t="shared" ca="1" si="33"/>
        <v>0</v>
      </c>
      <c r="AG215" s="72" t="e">
        <f t="shared" ca="1" si="37"/>
        <v>#N/A</v>
      </c>
      <c r="AH215" s="72" t="e">
        <f t="shared" ca="1" si="38"/>
        <v>#N/A</v>
      </c>
      <c r="AI215" s="3" t="e">
        <f t="shared" ca="1" si="39"/>
        <v>#N/A</v>
      </c>
    </row>
    <row r="216" spans="7:35" x14ac:dyDescent="0.25">
      <c r="G216" s="3">
        <f t="shared" ca="1" si="34"/>
        <v>216</v>
      </c>
      <c r="H216" s="104">
        <f t="shared" ca="1" si="36"/>
        <v>45141</v>
      </c>
      <c r="I216" s="131" t="e">
        <f>HLOOKUP($H$4,'Met Data'!$A$2:$F$368,G216,FALSE)</f>
        <v>#N/A</v>
      </c>
      <c r="J216" s="131" t="e">
        <f ca="1">HLOOKUP($H$4,'Met Data'!$H$2:$M$368,G216,FALSE)*L216</f>
        <v>#N/A</v>
      </c>
      <c r="K216" s="105" t="e">
        <f>HLOOKUP($H$4,'Met Data'!$O$2:$T$368,G216,FALSE)</f>
        <v>#N/A</v>
      </c>
      <c r="L216">
        <f t="shared" ca="1" si="30"/>
        <v>1</v>
      </c>
      <c r="N216" t="e">
        <f t="shared" ca="1" si="35"/>
        <v>#N/A</v>
      </c>
      <c r="O216" t="e">
        <f t="shared" ca="1" si="31"/>
        <v>#N/A</v>
      </c>
      <c r="P216" s="2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W216" t="e">
        <f ca="1"/>
        <v>#N/A</v>
      </c>
      <c r="X216" t="e">
        <f ca="1"/>
        <v>#N/A</v>
      </c>
      <c r="Y216" t="e">
        <f ca="1"/>
        <v>#N/A</v>
      </c>
      <c r="Z216" t="e">
        <f ca="1"/>
        <v>#N/A</v>
      </c>
      <c r="AA216" t="e">
        <f ca="1"/>
        <v>#N/A</v>
      </c>
      <c r="AB216" t="e">
        <f ca="1"/>
        <v>#N/A</v>
      </c>
      <c r="AD216" s="2">
        <f t="shared" ca="1" si="32"/>
        <v>0</v>
      </c>
      <c r="AE216" s="46">
        <f t="shared" ca="1" si="33"/>
        <v>0</v>
      </c>
      <c r="AG216" s="72" t="e">
        <f t="shared" ca="1" si="37"/>
        <v>#N/A</v>
      </c>
      <c r="AH216" s="72" t="e">
        <f t="shared" ca="1" si="38"/>
        <v>#N/A</v>
      </c>
      <c r="AI216" s="3" t="e">
        <f t="shared" ca="1" si="39"/>
        <v>#N/A</v>
      </c>
    </row>
    <row r="217" spans="7:35" x14ac:dyDescent="0.25">
      <c r="G217" s="3">
        <f t="shared" ca="1" si="34"/>
        <v>217</v>
      </c>
      <c r="H217" s="104">
        <f t="shared" ca="1" si="36"/>
        <v>45142</v>
      </c>
      <c r="I217" s="131" t="e">
        <f>HLOOKUP($H$4,'Met Data'!$A$2:$F$368,G217,FALSE)</f>
        <v>#N/A</v>
      </c>
      <c r="J217" s="131" t="e">
        <f ca="1">HLOOKUP($H$4,'Met Data'!$H$2:$M$368,G217,FALSE)*L217</f>
        <v>#N/A</v>
      </c>
      <c r="K217" s="105" t="e">
        <f>HLOOKUP($H$4,'Met Data'!$O$2:$T$368,G217,FALSE)</f>
        <v>#N/A</v>
      </c>
      <c r="L217">
        <f t="shared" ca="1" si="30"/>
        <v>1</v>
      </c>
      <c r="N217" t="e">
        <f t="shared" ca="1" si="35"/>
        <v>#N/A</v>
      </c>
      <c r="O217" t="e">
        <f t="shared" ca="1" si="31"/>
        <v>#N/A</v>
      </c>
      <c r="P217" s="2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W217" t="e">
        <f ca="1"/>
        <v>#N/A</v>
      </c>
      <c r="X217" t="e">
        <f ca="1"/>
        <v>#N/A</v>
      </c>
      <c r="Y217" t="e">
        <f ca="1"/>
        <v>#N/A</v>
      </c>
      <c r="Z217" t="e">
        <f ca="1"/>
        <v>#N/A</v>
      </c>
      <c r="AA217" t="e">
        <f ca="1"/>
        <v>#N/A</v>
      </c>
      <c r="AB217" t="e">
        <f ca="1"/>
        <v>#N/A</v>
      </c>
      <c r="AD217" s="2">
        <f t="shared" ca="1" si="32"/>
        <v>0</v>
      </c>
      <c r="AE217" s="46">
        <f t="shared" ca="1" si="33"/>
        <v>0</v>
      </c>
      <c r="AG217" s="72" t="e">
        <f t="shared" ca="1" si="37"/>
        <v>#N/A</v>
      </c>
      <c r="AH217" s="72" t="e">
        <f t="shared" ca="1" si="38"/>
        <v>#N/A</v>
      </c>
      <c r="AI217" s="3" t="e">
        <f t="shared" ca="1" si="39"/>
        <v>#N/A</v>
      </c>
    </row>
    <row r="218" spans="7:35" x14ac:dyDescent="0.25">
      <c r="G218" s="3">
        <f t="shared" ca="1" si="34"/>
        <v>218</v>
      </c>
      <c r="H218" s="104">
        <f t="shared" ca="1" si="36"/>
        <v>45143</v>
      </c>
      <c r="I218" s="131" t="e">
        <f>HLOOKUP($H$4,'Met Data'!$A$2:$F$368,G218,FALSE)</f>
        <v>#N/A</v>
      </c>
      <c r="J218" s="131" t="e">
        <f ca="1">HLOOKUP($H$4,'Met Data'!$H$2:$M$368,G218,FALSE)*L218</f>
        <v>#N/A</v>
      </c>
      <c r="K218" s="105" t="e">
        <f>HLOOKUP($H$4,'Met Data'!$O$2:$T$368,G218,FALSE)</f>
        <v>#N/A</v>
      </c>
      <c r="L218">
        <f t="shared" ca="1" si="30"/>
        <v>1</v>
      </c>
      <c r="N218" t="e">
        <f t="shared" ca="1" si="35"/>
        <v>#N/A</v>
      </c>
      <c r="O218" t="e">
        <f t="shared" ca="1" si="31"/>
        <v>#N/A</v>
      </c>
      <c r="P218" s="2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W218" t="e">
        <f ca="1"/>
        <v>#N/A</v>
      </c>
      <c r="X218" t="e">
        <f ca="1"/>
        <v>#N/A</v>
      </c>
      <c r="Y218" t="e">
        <f ca="1"/>
        <v>#N/A</v>
      </c>
      <c r="Z218" t="e">
        <f ca="1"/>
        <v>#N/A</v>
      </c>
      <c r="AA218" t="e">
        <f ca="1"/>
        <v>#N/A</v>
      </c>
      <c r="AB218" t="e">
        <f ca="1"/>
        <v>#N/A</v>
      </c>
      <c r="AD218" s="2">
        <f t="shared" ca="1" si="32"/>
        <v>0</v>
      </c>
      <c r="AE218" s="46">
        <f t="shared" ca="1" si="33"/>
        <v>0</v>
      </c>
      <c r="AG218" s="72" t="e">
        <f t="shared" ca="1" si="37"/>
        <v>#N/A</v>
      </c>
      <c r="AH218" s="72" t="e">
        <f t="shared" ca="1" si="38"/>
        <v>#N/A</v>
      </c>
      <c r="AI218" s="3" t="e">
        <f t="shared" ca="1" si="39"/>
        <v>#N/A</v>
      </c>
    </row>
    <row r="219" spans="7:35" x14ac:dyDescent="0.25">
      <c r="G219" s="3">
        <f t="shared" ca="1" si="34"/>
        <v>219</v>
      </c>
      <c r="H219" s="104">
        <f t="shared" ca="1" si="36"/>
        <v>45144</v>
      </c>
      <c r="I219" s="131" t="e">
        <f>HLOOKUP($H$4,'Met Data'!$A$2:$F$368,G219,FALSE)</f>
        <v>#N/A</v>
      </c>
      <c r="J219" s="131" t="e">
        <f ca="1">HLOOKUP($H$4,'Met Data'!$H$2:$M$368,G219,FALSE)*L219</f>
        <v>#N/A</v>
      </c>
      <c r="K219" s="105" t="e">
        <f>HLOOKUP($H$4,'Met Data'!$O$2:$T$368,G219,FALSE)</f>
        <v>#N/A</v>
      </c>
      <c r="L219">
        <f t="shared" ca="1" si="30"/>
        <v>1</v>
      </c>
      <c r="N219" t="e">
        <f t="shared" ca="1" si="35"/>
        <v>#N/A</v>
      </c>
      <c r="O219" t="e">
        <f t="shared" ca="1" si="31"/>
        <v>#N/A</v>
      </c>
      <c r="P219" s="2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W219" t="e">
        <f ca="1"/>
        <v>#N/A</v>
      </c>
      <c r="X219" t="e">
        <f ca="1"/>
        <v>#N/A</v>
      </c>
      <c r="Y219" t="e">
        <f ca="1"/>
        <v>#N/A</v>
      </c>
      <c r="Z219" t="e">
        <f ca="1"/>
        <v>#N/A</v>
      </c>
      <c r="AA219" t="e">
        <f ca="1"/>
        <v>#N/A</v>
      </c>
      <c r="AB219" t="e">
        <f ca="1"/>
        <v>#N/A</v>
      </c>
      <c r="AD219" s="2">
        <f t="shared" ca="1" si="32"/>
        <v>0</v>
      </c>
      <c r="AE219" s="46">
        <f t="shared" ca="1" si="33"/>
        <v>0</v>
      </c>
      <c r="AG219" s="72" t="e">
        <f t="shared" ca="1" si="37"/>
        <v>#N/A</v>
      </c>
      <c r="AH219" s="72" t="e">
        <f t="shared" ca="1" si="38"/>
        <v>#N/A</v>
      </c>
      <c r="AI219" s="3" t="e">
        <f t="shared" ca="1" si="39"/>
        <v>#N/A</v>
      </c>
    </row>
    <row r="220" spans="7:35" x14ac:dyDescent="0.25">
      <c r="G220" s="3">
        <f t="shared" ca="1" si="34"/>
        <v>220</v>
      </c>
      <c r="H220" s="104">
        <f t="shared" ca="1" si="36"/>
        <v>45145</v>
      </c>
      <c r="I220" s="131" t="e">
        <f>HLOOKUP($H$4,'Met Data'!$A$2:$F$368,G220,FALSE)</f>
        <v>#N/A</v>
      </c>
      <c r="J220" s="131" t="e">
        <f ca="1">HLOOKUP($H$4,'Met Data'!$H$2:$M$368,G220,FALSE)*L220</f>
        <v>#N/A</v>
      </c>
      <c r="K220" s="105" t="e">
        <f>HLOOKUP($H$4,'Met Data'!$O$2:$T$368,G220,FALSE)</f>
        <v>#N/A</v>
      </c>
      <c r="L220">
        <f t="shared" ca="1" si="30"/>
        <v>1</v>
      </c>
      <c r="N220" t="e">
        <f t="shared" ca="1" si="35"/>
        <v>#N/A</v>
      </c>
      <c r="O220" t="e">
        <f t="shared" ca="1" si="31"/>
        <v>#N/A</v>
      </c>
      <c r="P220" s="2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W220" t="e">
        <f ca="1"/>
        <v>#N/A</v>
      </c>
      <c r="X220" t="e">
        <f ca="1"/>
        <v>#N/A</v>
      </c>
      <c r="Y220" t="e">
        <f ca="1"/>
        <v>#N/A</v>
      </c>
      <c r="Z220" t="e">
        <f ca="1"/>
        <v>#N/A</v>
      </c>
      <c r="AA220" t="e">
        <f ca="1"/>
        <v>#N/A</v>
      </c>
      <c r="AB220" t="e">
        <f ca="1"/>
        <v>#N/A</v>
      </c>
      <c r="AD220" s="2">
        <f t="shared" ca="1" si="32"/>
        <v>0</v>
      </c>
      <c r="AE220" s="46">
        <f t="shared" ca="1" si="33"/>
        <v>0</v>
      </c>
      <c r="AG220" s="72" t="e">
        <f t="shared" ca="1" si="37"/>
        <v>#N/A</v>
      </c>
      <c r="AH220" s="72" t="e">
        <f t="shared" ca="1" si="38"/>
        <v>#N/A</v>
      </c>
      <c r="AI220" s="3" t="e">
        <f t="shared" ca="1" si="39"/>
        <v>#N/A</v>
      </c>
    </row>
    <row r="221" spans="7:35" x14ac:dyDescent="0.25">
      <c r="G221" s="3">
        <f t="shared" ca="1" si="34"/>
        <v>221</v>
      </c>
      <c r="H221" s="104">
        <f t="shared" ca="1" si="36"/>
        <v>45146</v>
      </c>
      <c r="I221" s="131" t="e">
        <f>HLOOKUP($H$4,'Met Data'!$A$2:$F$368,G221,FALSE)</f>
        <v>#N/A</v>
      </c>
      <c r="J221" s="131" t="e">
        <f ca="1">HLOOKUP($H$4,'Met Data'!$H$2:$M$368,G221,FALSE)*L221</f>
        <v>#N/A</v>
      </c>
      <c r="K221" s="105" t="e">
        <f>HLOOKUP($H$4,'Met Data'!$O$2:$T$368,G221,FALSE)</f>
        <v>#N/A</v>
      </c>
      <c r="L221">
        <f t="shared" ca="1" si="30"/>
        <v>1</v>
      </c>
      <c r="N221" t="e">
        <f t="shared" ca="1" si="35"/>
        <v>#N/A</v>
      </c>
      <c r="O221" t="e">
        <f t="shared" ca="1" si="31"/>
        <v>#N/A</v>
      </c>
      <c r="P221" s="2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W221" t="e">
        <f ca="1"/>
        <v>#N/A</v>
      </c>
      <c r="X221" t="e">
        <f ca="1"/>
        <v>#N/A</v>
      </c>
      <c r="Y221" t="e">
        <f ca="1"/>
        <v>#N/A</v>
      </c>
      <c r="Z221" t="e">
        <f ca="1"/>
        <v>#N/A</v>
      </c>
      <c r="AA221" t="e">
        <f ca="1"/>
        <v>#N/A</v>
      </c>
      <c r="AB221" t="e">
        <f ca="1"/>
        <v>#N/A</v>
      </c>
      <c r="AD221" s="2">
        <f t="shared" ca="1" si="32"/>
        <v>0</v>
      </c>
      <c r="AE221" s="46">
        <f t="shared" ca="1" si="33"/>
        <v>0</v>
      </c>
      <c r="AG221" s="72" t="e">
        <f t="shared" ca="1" si="37"/>
        <v>#N/A</v>
      </c>
      <c r="AH221" s="72" t="e">
        <f t="shared" ca="1" si="38"/>
        <v>#N/A</v>
      </c>
      <c r="AI221" s="3" t="e">
        <f t="shared" ca="1" si="39"/>
        <v>#N/A</v>
      </c>
    </row>
    <row r="222" spans="7:35" x14ac:dyDescent="0.25">
      <c r="G222" s="3">
        <f t="shared" ca="1" si="34"/>
        <v>222</v>
      </c>
      <c r="H222" s="104">
        <f t="shared" ca="1" si="36"/>
        <v>45147</v>
      </c>
      <c r="I222" s="131" t="e">
        <f>HLOOKUP($H$4,'Met Data'!$A$2:$F$368,G222,FALSE)</f>
        <v>#N/A</v>
      </c>
      <c r="J222" s="131" t="e">
        <f ca="1">HLOOKUP($H$4,'Met Data'!$H$2:$M$368,G222,FALSE)*L222</f>
        <v>#N/A</v>
      </c>
      <c r="K222" s="105" t="e">
        <f>HLOOKUP($H$4,'Met Data'!$O$2:$T$368,G222,FALSE)</f>
        <v>#N/A</v>
      </c>
      <c r="L222">
        <f t="shared" ca="1" si="30"/>
        <v>1</v>
      </c>
      <c r="N222" t="e">
        <f t="shared" ca="1" si="35"/>
        <v>#N/A</v>
      </c>
      <c r="O222" t="e">
        <f t="shared" ca="1" si="31"/>
        <v>#N/A</v>
      </c>
      <c r="P222" s="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W222" t="e">
        <f ca="1"/>
        <v>#N/A</v>
      </c>
      <c r="X222" t="e">
        <f ca="1"/>
        <v>#N/A</v>
      </c>
      <c r="Y222" t="e">
        <f ca="1"/>
        <v>#N/A</v>
      </c>
      <c r="Z222" t="e">
        <f ca="1"/>
        <v>#N/A</v>
      </c>
      <c r="AA222" t="e">
        <f ca="1"/>
        <v>#N/A</v>
      </c>
      <c r="AB222" t="e">
        <f ca="1"/>
        <v>#N/A</v>
      </c>
      <c r="AD222" s="2">
        <f t="shared" ca="1" si="32"/>
        <v>0</v>
      </c>
      <c r="AE222" s="46">
        <f t="shared" ca="1" si="33"/>
        <v>0</v>
      </c>
      <c r="AG222" s="72" t="e">
        <f t="shared" ca="1" si="37"/>
        <v>#N/A</v>
      </c>
      <c r="AH222" s="72" t="e">
        <f t="shared" ca="1" si="38"/>
        <v>#N/A</v>
      </c>
      <c r="AI222" s="3" t="e">
        <f t="shared" ca="1" si="39"/>
        <v>#N/A</v>
      </c>
    </row>
    <row r="223" spans="7:35" x14ac:dyDescent="0.25">
      <c r="G223" s="3">
        <f t="shared" ca="1" si="34"/>
        <v>223</v>
      </c>
      <c r="H223" s="104">
        <f t="shared" ca="1" si="36"/>
        <v>45148</v>
      </c>
      <c r="I223" s="131" t="e">
        <f>HLOOKUP($H$4,'Met Data'!$A$2:$F$368,G223,FALSE)</f>
        <v>#N/A</v>
      </c>
      <c r="J223" s="131" t="e">
        <f ca="1">HLOOKUP($H$4,'Met Data'!$H$2:$M$368,G223,FALSE)*L223</f>
        <v>#N/A</v>
      </c>
      <c r="K223" s="105" t="e">
        <f>HLOOKUP($H$4,'Met Data'!$O$2:$T$368,G223,FALSE)</f>
        <v>#N/A</v>
      </c>
      <c r="L223">
        <f t="shared" ca="1" si="30"/>
        <v>1</v>
      </c>
      <c r="N223" t="e">
        <f t="shared" ca="1" si="35"/>
        <v>#N/A</v>
      </c>
      <c r="O223" t="e">
        <f t="shared" ca="1" si="31"/>
        <v>#N/A</v>
      </c>
      <c r="P223" s="2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W223" t="e">
        <f ca="1"/>
        <v>#N/A</v>
      </c>
      <c r="X223" t="e">
        <f ca="1"/>
        <v>#N/A</v>
      </c>
      <c r="Y223" t="e">
        <f ca="1"/>
        <v>#N/A</v>
      </c>
      <c r="Z223" t="e">
        <f ca="1"/>
        <v>#N/A</v>
      </c>
      <c r="AA223" t="e">
        <f ca="1"/>
        <v>#N/A</v>
      </c>
      <c r="AB223" t="e">
        <f ca="1"/>
        <v>#N/A</v>
      </c>
      <c r="AD223" s="2">
        <f t="shared" ca="1" si="32"/>
        <v>0</v>
      </c>
      <c r="AE223" s="46">
        <f t="shared" ca="1" si="33"/>
        <v>0</v>
      </c>
      <c r="AG223" s="72" t="e">
        <f t="shared" ca="1" si="37"/>
        <v>#N/A</v>
      </c>
      <c r="AH223" s="72" t="e">
        <f t="shared" ca="1" si="38"/>
        <v>#N/A</v>
      </c>
      <c r="AI223" s="3" t="e">
        <f t="shared" ca="1" si="39"/>
        <v>#N/A</v>
      </c>
    </row>
    <row r="224" spans="7:35" x14ac:dyDescent="0.25">
      <c r="G224" s="3">
        <f t="shared" ca="1" si="34"/>
        <v>224</v>
      </c>
      <c r="H224" s="104">
        <f t="shared" ca="1" si="36"/>
        <v>45149</v>
      </c>
      <c r="I224" s="131" t="e">
        <f>HLOOKUP($H$4,'Met Data'!$A$2:$F$368,G224,FALSE)</f>
        <v>#N/A</v>
      </c>
      <c r="J224" s="131" t="e">
        <f ca="1">HLOOKUP($H$4,'Met Data'!$H$2:$M$368,G224,FALSE)*L224</f>
        <v>#N/A</v>
      </c>
      <c r="K224" s="105" t="e">
        <f>HLOOKUP($H$4,'Met Data'!$O$2:$T$368,G224,FALSE)</f>
        <v>#N/A</v>
      </c>
      <c r="L224">
        <f t="shared" ca="1" si="30"/>
        <v>1</v>
      </c>
      <c r="N224" t="e">
        <f t="shared" ca="1" si="35"/>
        <v>#N/A</v>
      </c>
      <c r="O224" t="e">
        <f t="shared" ca="1" si="31"/>
        <v>#N/A</v>
      </c>
      <c r="P224" s="2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W224" t="e">
        <f ca="1"/>
        <v>#N/A</v>
      </c>
      <c r="X224" t="e">
        <f ca="1"/>
        <v>#N/A</v>
      </c>
      <c r="Y224" t="e">
        <f ca="1"/>
        <v>#N/A</v>
      </c>
      <c r="Z224" t="e">
        <f ca="1"/>
        <v>#N/A</v>
      </c>
      <c r="AA224" t="e">
        <f ca="1"/>
        <v>#N/A</v>
      </c>
      <c r="AB224" t="e">
        <f ca="1"/>
        <v>#N/A</v>
      </c>
      <c r="AD224" s="2">
        <f t="shared" ca="1" si="32"/>
        <v>0</v>
      </c>
      <c r="AE224" s="46">
        <f t="shared" ca="1" si="33"/>
        <v>0</v>
      </c>
      <c r="AG224" s="72" t="e">
        <f t="shared" ca="1" si="37"/>
        <v>#N/A</v>
      </c>
      <c r="AH224" s="72" t="e">
        <f t="shared" ca="1" si="38"/>
        <v>#N/A</v>
      </c>
      <c r="AI224" s="3" t="e">
        <f t="shared" ca="1" si="39"/>
        <v>#N/A</v>
      </c>
    </row>
    <row r="225" spans="7:35" x14ac:dyDescent="0.25">
      <c r="G225" s="3">
        <f t="shared" ca="1" si="34"/>
        <v>225</v>
      </c>
      <c r="H225" s="104">
        <f t="shared" ca="1" si="36"/>
        <v>45150</v>
      </c>
      <c r="I225" s="131" t="e">
        <f>HLOOKUP($H$4,'Met Data'!$A$2:$F$368,G225,FALSE)</f>
        <v>#N/A</v>
      </c>
      <c r="J225" s="131" t="e">
        <f ca="1">HLOOKUP($H$4,'Met Data'!$H$2:$M$368,G225,FALSE)*L225</f>
        <v>#N/A</v>
      </c>
      <c r="K225" s="105" t="e">
        <f>HLOOKUP($H$4,'Met Data'!$O$2:$T$368,G225,FALSE)</f>
        <v>#N/A</v>
      </c>
      <c r="L225">
        <f t="shared" ca="1" si="30"/>
        <v>1</v>
      </c>
      <c r="N225" t="e">
        <f t="shared" ca="1" si="35"/>
        <v>#N/A</v>
      </c>
      <c r="O225" t="e">
        <f t="shared" ca="1" si="31"/>
        <v>#N/A</v>
      </c>
      <c r="P225" s="2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W225" t="e">
        <f ca="1"/>
        <v>#N/A</v>
      </c>
      <c r="X225" t="e">
        <f ca="1"/>
        <v>#N/A</v>
      </c>
      <c r="Y225" t="e">
        <f ca="1"/>
        <v>#N/A</v>
      </c>
      <c r="Z225" t="e">
        <f ca="1"/>
        <v>#N/A</v>
      </c>
      <c r="AA225" t="e">
        <f ca="1"/>
        <v>#N/A</v>
      </c>
      <c r="AB225" t="e">
        <f ca="1"/>
        <v>#N/A</v>
      </c>
      <c r="AD225" s="2">
        <f t="shared" ca="1" si="32"/>
        <v>0</v>
      </c>
      <c r="AE225" s="46">
        <f t="shared" ca="1" si="33"/>
        <v>0</v>
      </c>
      <c r="AG225" s="72" t="e">
        <f t="shared" ca="1" si="37"/>
        <v>#N/A</v>
      </c>
      <c r="AH225" s="72" t="e">
        <f t="shared" ca="1" si="38"/>
        <v>#N/A</v>
      </c>
      <c r="AI225" s="3" t="e">
        <f t="shared" ca="1" si="39"/>
        <v>#N/A</v>
      </c>
    </row>
    <row r="226" spans="7:35" x14ac:dyDescent="0.25">
      <c r="G226" s="3">
        <f t="shared" ca="1" si="34"/>
        <v>226</v>
      </c>
      <c r="H226" s="104">
        <f t="shared" ca="1" si="36"/>
        <v>45151</v>
      </c>
      <c r="I226" s="131" t="e">
        <f>HLOOKUP($H$4,'Met Data'!$A$2:$F$368,G226,FALSE)</f>
        <v>#N/A</v>
      </c>
      <c r="J226" s="131" t="e">
        <f ca="1">HLOOKUP($H$4,'Met Data'!$H$2:$M$368,G226,FALSE)*L226</f>
        <v>#N/A</v>
      </c>
      <c r="K226" s="105" t="e">
        <f>HLOOKUP($H$4,'Met Data'!$O$2:$T$368,G226,FALSE)</f>
        <v>#N/A</v>
      </c>
      <c r="L226">
        <f t="shared" ca="1" si="30"/>
        <v>1</v>
      </c>
      <c r="N226" t="e">
        <f t="shared" ca="1" si="35"/>
        <v>#N/A</v>
      </c>
      <c r="O226" t="e">
        <f t="shared" ca="1" si="31"/>
        <v>#N/A</v>
      </c>
      <c r="P226" s="2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W226" t="e">
        <f ca="1"/>
        <v>#N/A</v>
      </c>
      <c r="X226" t="e">
        <f ca="1"/>
        <v>#N/A</v>
      </c>
      <c r="Y226" t="e">
        <f ca="1"/>
        <v>#N/A</v>
      </c>
      <c r="Z226" t="e">
        <f ca="1"/>
        <v>#N/A</v>
      </c>
      <c r="AA226" t="e">
        <f ca="1"/>
        <v>#N/A</v>
      </c>
      <c r="AB226" t="e">
        <f ca="1"/>
        <v>#N/A</v>
      </c>
      <c r="AD226" s="2">
        <f t="shared" ca="1" si="32"/>
        <v>0</v>
      </c>
      <c r="AE226" s="46">
        <f t="shared" ca="1" si="33"/>
        <v>0</v>
      </c>
      <c r="AG226" s="72" t="e">
        <f t="shared" ca="1" si="37"/>
        <v>#N/A</v>
      </c>
      <c r="AH226" s="72" t="e">
        <f t="shared" ca="1" si="38"/>
        <v>#N/A</v>
      </c>
      <c r="AI226" s="3" t="e">
        <f t="shared" ca="1" si="39"/>
        <v>#N/A</v>
      </c>
    </row>
    <row r="227" spans="7:35" x14ac:dyDescent="0.25">
      <c r="G227" s="3">
        <f t="shared" ca="1" si="34"/>
        <v>227</v>
      </c>
      <c r="H227" s="104">
        <f t="shared" ca="1" si="36"/>
        <v>45152</v>
      </c>
      <c r="I227" s="131" t="e">
        <f>HLOOKUP($H$4,'Met Data'!$A$2:$F$368,G227,FALSE)</f>
        <v>#N/A</v>
      </c>
      <c r="J227" s="131" t="e">
        <f ca="1">HLOOKUP($H$4,'Met Data'!$H$2:$M$368,G227,FALSE)*L227</f>
        <v>#N/A</v>
      </c>
      <c r="K227" s="105" t="e">
        <f>HLOOKUP($H$4,'Met Data'!$O$2:$T$368,G227,FALSE)</f>
        <v>#N/A</v>
      </c>
      <c r="L227">
        <f t="shared" ca="1" si="30"/>
        <v>1</v>
      </c>
      <c r="N227" t="e">
        <f t="shared" ca="1" si="35"/>
        <v>#N/A</v>
      </c>
      <c r="O227" t="e">
        <f t="shared" ca="1" si="31"/>
        <v>#N/A</v>
      </c>
      <c r="P227" s="2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W227" t="e">
        <f ca="1"/>
        <v>#N/A</v>
      </c>
      <c r="X227" t="e">
        <f ca="1"/>
        <v>#N/A</v>
      </c>
      <c r="Y227" t="e">
        <f ca="1"/>
        <v>#N/A</v>
      </c>
      <c r="Z227" t="e">
        <f ca="1"/>
        <v>#N/A</v>
      </c>
      <c r="AA227" t="e">
        <f ca="1"/>
        <v>#N/A</v>
      </c>
      <c r="AB227" t="e">
        <f ca="1"/>
        <v>#N/A</v>
      </c>
      <c r="AD227" s="2">
        <f t="shared" ca="1" si="32"/>
        <v>0</v>
      </c>
      <c r="AE227" s="46">
        <f t="shared" ca="1" si="33"/>
        <v>0</v>
      </c>
      <c r="AG227" s="72" t="e">
        <f t="shared" ca="1" si="37"/>
        <v>#N/A</v>
      </c>
      <c r="AH227" s="72" t="e">
        <f t="shared" ca="1" si="38"/>
        <v>#N/A</v>
      </c>
      <c r="AI227" s="3" t="e">
        <f t="shared" ca="1" si="39"/>
        <v>#N/A</v>
      </c>
    </row>
    <row r="228" spans="7:35" x14ac:dyDescent="0.25">
      <c r="G228" s="3">
        <f t="shared" ca="1" si="34"/>
        <v>228</v>
      </c>
      <c r="H228" s="104">
        <f t="shared" ca="1" si="36"/>
        <v>45153</v>
      </c>
      <c r="I228" s="131" t="e">
        <f>HLOOKUP($H$4,'Met Data'!$A$2:$F$368,G228,FALSE)</f>
        <v>#N/A</v>
      </c>
      <c r="J228" s="131" t="e">
        <f ca="1">HLOOKUP($H$4,'Met Data'!$H$2:$M$368,G228,FALSE)*L228</f>
        <v>#N/A</v>
      </c>
      <c r="K228" s="105" t="e">
        <f>HLOOKUP($H$4,'Met Data'!$O$2:$T$368,G228,FALSE)</f>
        <v>#N/A</v>
      </c>
      <c r="L228">
        <f t="shared" ca="1" si="30"/>
        <v>1</v>
      </c>
      <c r="N228" t="e">
        <f t="shared" ca="1" si="35"/>
        <v>#N/A</v>
      </c>
      <c r="O228" t="e">
        <f t="shared" ca="1" si="31"/>
        <v>#N/A</v>
      </c>
      <c r="P228" s="2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W228" t="e">
        <f ca="1"/>
        <v>#N/A</v>
      </c>
      <c r="X228" t="e">
        <f ca="1"/>
        <v>#N/A</v>
      </c>
      <c r="Y228" t="e">
        <f ca="1"/>
        <v>#N/A</v>
      </c>
      <c r="Z228" t="e">
        <f ca="1"/>
        <v>#N/A</v>
      </c>
      <c r="AA228" t="e">
        <f ca="1"/>
        <v>#N/A</v>
      </c>
      <c r="AB228" t="e">
        <f ca="1"/>
        <v>#N/A</v>
      </c>
      <c r="AD228" s="2">
        <f t="shared" ca="1" si="32"/>
        <v>0</v>
      </c>
      <c r="AE228" s="46">
        <f t="shared" ca="1" si="33"/>
        <v>0</v>
      </c>
      <c r="AG228" s="72" t="e">
        <f t="shared" ca="1" si="37"/>
        <v>#N/A</v>
      </c>
      <c r="AH228" s="72" t="e">
        <f t="shared" ca="1" si="38"/>
        <v>#N/A</v>
      </c>
      <c r="AI228" s="3" t="e">
        <f t="shared" ca="1" si="39"/>
        <v>#N/A</v>
      </c>
    </row>
    <row r="229" spans="7:35" x14ac:dyDescent="0.25">
      <c r="G229" s="3">
        <f t="shared" ca="1" si="34"/>
        <v>229</v>
      </c>
      <c r="H229" s="104">
        <f t="shared" ca="1" si="36"/>
        <v>45154</v>
      </c>
      <c r="I229" s="131" t="e">
        <f>HLOOKUP($H$4,'Met Data'!$A$2:$F$368,G229,FALSE)</f>
        <v>#N/A</v>
      </c>
      <c r="J229" s="131" t="e">
        <f ca="1">HLOOKUP($H$4,'Met Data'!$H$2:$M$368,G229,FALSE)*L229</f>
        <v>#N/A</v>
      </c>
      <c r="K229" s="105" t="e">
        <f>HLOOKUP($H$4,'Met Data'!$O$2:$T$368,G229,FALSE)</f>
        <v>#N/A</v>
      </c>
      <c r="L229">
        <f t="shared" ca="1" si="30"/>
        <v>1</v>
      </c>
      <c r="N229" t="e">
        <f t="shared" ca="1" si="35"/>
        <v>#N/A</v>
      </c>
      <c r="O229" t="e">
        <f t="shared" ca="1" si="31"/>
        <v>#N/A</v>
      </c>
      <c r="P229" s="2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W229" t="e">
        <f ca="1"/>
        <v>#N/A</v>
      </c>
      <c r="X229" t="e">
        <f ca="1"/>
        <v>#N/A</v>
      </c>
      <c r="Y229" t="e">
        <f ca="1"/>
        <v>#N/A</v>
      </c>
      <c r="Z229" t="e">
        <f ca="1"/>
        <v>#N/A</v>
      </c>
      <c r="AA229" t="e">
        <f ca="1"/>
        <v>#N/A</v>
      </c>
      <c r="AB229" t="e">
        <f ca="1"/>
        <v>#N/A</v>
      </c>
      <c r="AD229" s="2">
        <f t="shared" ca="1" si="32"/>
        <v>0</v>
      </c>
      <c r="AE229" s="46">
        <f t="shared" ca="1" si="33"/>
        <v>0</v>
      </c>
      <c r="AG229" s="72" t="e">
        <f t="shared" ca="1" si="37"/>
        <v>#N/A</v>
      </c>
      <c r="AH229" s="72" t="e">
        <f t="shared" ca="1" si="38"/>
        <v>#N/A</v>
      </c>
      <c r="AI229" s="3" t="e">
        <f t="shared" ca="1" si="39"/>
        <v>#N/A</v>
      </c>
    </row>
    <row r="230" spans="7:35" x14ac:dyDescent="0.25">
      <c r="G230" s="3">
        <f t="shared" ca="1" si="34"/>
        <v>230</v>
      </c>
      <c r="H230" s="104">
        <f t="shared" ca="1" si="36"/>
        <v>45155</v>
      </c>
      <c r="I230" s="131" t="e">
        <f>HLOOKUP($H$4,'Met Data'!$A$2:$F$368,G230,FALSE)</f>
        <v>#N/A</v>
      </c>
      <c r="J230" s="131" t="e">
        <f ca="1">HLOOKUP($H$4,'Met Data'!$H$2:$M$368,G230,FALSE)*L230</f>
        <v>#N/A</v>
      </c>
      <c r="K230" s="105" t="e">
        <f>HLOOKUP($H$4,'Met Data'!$O$2:$T$368,G230,FALSE)</f>
        <v>#N/A</v>
      </c>
      <c r="L230">
        <f t="shared" ca="1" si="30"/>
        <v>1</v>
      </c>
      <c r="N230" t="e">
        <f t="shared" ca="1" si="35"/>
        <v>#N/A</v>
      </c>
      <c r="O230" t="e">
        <f t="shared" ca="1" si="31"/>
        <v>#N/A</v>
      </c>
      <c r="P230" s="2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W230" t="e">
        <f ca="1"/>
        <v>#N/A</v>
      </c>
      <c r="X230" t="e">
        <f ca="1"/>
        <v>#N/A</v>
      </c>
      <c r="Y230" t="e">
        <f ca="1"/>
        <v>#N/A</v>
      </c>
      <c r="Z230" t="e">
        <f ca="1"/>
        <v>#N/A</v>
      </c>
      <c r="AA230" t="e">
        <f ca="1"/>
        <v>#N/A</v>
      </c>
      <c r="AB230" t="e">
        <f ca="1"/>
        <v>#N/A</v>
      </c>
      <c r="AD230" s="2">
        <f t="shared" ca="1" si="32"/>
        <v>0</v>
      </c>
      <c r="AE230" s="46">
        <f t="shared" ca="1" si="33"/>
        <v>0</v>
      </c>
      <c r="AG230" s="72" t="e">
        <f t="shared" ca="1" si="37"/>
        <v>#N/A</v>
      </c>
      <c r="AH230" s="72" t="e">
        <f t="shared" ca="1" si="38"/>
        <v>#N/A</v>
      </c>
      <c r="AI230" s="3" t="e">
        <f t="shared" ca="1" si="39"/>
        <v>#N/A</v>
      </c>
    </row>
    <row r="231" spans="7:35" x14ac:dyDescent="0.25">
      <c r="G231" s="3">
        <f t="shared" ca="1" si="34"/>
        <v>231</v>
      </c>
      <c r="H231" s="104">
        <f t="shared" ca="1" si="36"/>
        <v>45156</v>
      </c>
      <c r="I231" s="131" t="e">
        <f>HLOOKUP($H$4,'Met Data'!$A$2:$F$368,G231,FALSE)</f>
        <v>#N/A</v>
      </c>
      <c r="J231" s="131" t="e">
        <f ca="1">HLOOKUP($H$4,'Met Data'!$H$2:$M$368,G231,FALSE)*L231</f>
        <v>#N/A</v>
      </c>
      <c r="K231" s="105" t="e">
        <f>HLOOKUP($H$4,'Met Data'!$O$2:$T$368,G231,FALSE)</f>
        <v>#N/A</v>
      </c>
      <c r="L231">
        <f t="shared" ca="1" si="30"/>
        <v>1</v>
      </c>
      <c r="N231" t="e">
        <f t="shared" ca="1" si="35"/>
        <v>#N/A</v>
      </c>
      <c r="O231" t="e">
        <f t="shared" ca="1" si="31"/>
        <v>#N/A</v>
      </c>
      <c r="P231" s="2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W231" t="e">
        <f ca="1"/>
        <v>#N/A</v>
      </c>
      <c r="X231" t="e">
        <f ca="1"/>
        <v>#N/A</v>
      </c>
      <c r="Y231" t="e">
        <f ca="1"/>
        <v>#N/A</v>
      </c>
      <c r="Z231" t="e">
        <f ca="1"/>
        <v>#N/A</v>
      </c>
      <c r="AA231" t="e">
        <f ca="1"/>
        <v>#N/A</v>
      </c>
      <c r="AB231" t="e">
        <f ca="1"/>
        <v>#N/A</v>
      </c>
      <c r="AD231" s="2">
        <f t="shared" ca="1" si="32"/>
        <v>0</v>
      </c>
      <c r="AE231" s="46">
        <f t="shared" ca="1" si="33"/>
        <v>0</v>
      </c>
      <c r="AG231" s="72" t="e">
        <f t="shared" ca="1" si="37"/>
        <v>#N/A</v>
      </c>
      <c r="AH231" s="72" t="e">
        <f t="shared" ca="1" si="38"/>
        <v>#N/A</v>
      </c>
      <c r="AI231" s="3" t="e">
        <f t="shared" ca="1" si="39"/>
        <v>#N/A</v>
      </c>
    </row>
    <row r="232" spans="7:35" x14ac:dyDescent="0.25">
      <c r="G232" s="3">
        <f t="shared" ca="1" si="34"/>
        <v>232</v>
      </c>
      <c r="H232" s="104">
        <f t="shared" ca="1" si="36"/>
        <v>45157</v>
      </c>
      <c r="I232" s="131" t="e">
        <f>HLOOKUP($H$4,'Met Data'!$A$2:$F$368,G232,FALSE)</f>
        <v>#N/A</v>
      </c>
      <c r="J232" s="131" t="e">
        <f ca="1">HLOOKUP($H$4,'Met Data'!$H$2:$M$368,G232,FALSE)*L232</f>
        <v>#N/A</v>
      </c>
      <c r="K232" s="105" t="e">
        <f>HLOOKUP($H$4,'Met Data'!$O$2:$T$368,G232,FALSE)</f>
        <v>#N/A</v>
      </c>
      <c r="L232">
        <f t="shared" ca="1" si="30"/>
        <v>1</v>
      </c>
      <c r="N232" t="e">
        <f t="shared" ca="1" si="35"/>
        <v>#N/A</v>
      </c>
      <c r="O232" t="e">
        <f t="shared" ca="1" si="31"/>
        <v>#N/A</v>
      </c>
      <c r="P232" s="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W232" t="e">
        <f ca="1"/>
        <v>#N/A</v>
      </c>
      <c r="X232" t="e">
        <f ca="1"/>
        <v>#N/A</v>
      </c>
      <c r="Y232" t="e">
        <f ca="1"/>
        <v>#N/A</v>
      </c>
      <c r="Z232" t="e">
        <f ca="1"/>
        <v>#N/A</v>
      </c>
      <c r="AA232" t="e">
        <f ca="1"/>
        <v>#N/A</v>
      </c>
      <c r="AB232" t="e">
        <f ca="1"/>
        <v>#N/A</v>
      </c>
      <c r="AD232" s="2">
        <f t="shared" ca="1" si="32"/>
        <v>0</v>
      </c>
      <c r="AE232" s="46">
        <f t="shared" ca="1" si="33"/>
        <v>0</v>
      </c>
      <c r="AG232" s="72" t="e">
        <f t="shared" ca="1" si="37"/>
        <v>#N/A</v>
      </c>
      <c r="AH232" s="72" t="e">
        <f t="shared" ca="1" si="38"/>
        <v>#N/A</v>
      </c>
      <c r="AI232" s="3" t="e">
        <f t="shared" ca="1" si="39"/>
        <v>#N/A</v>
      </c>
    </row>
    <row r="233" spans="7:35" x14ac:dyDescent="0.25">
      <c r="G233" s="3">
        <f t="shared" ca="1" si="34"/>
        <v>233</v>
      </c>
      <c r="H233" s="104">
        <f t="shared" ca="1" si="36"/>
        <v>45158</v>
      </c>
      <c r="I233" s="131" t="e">
        <f>HLOOKUP($H$4,'Met Data'!$A$2:$F$368,G233,FALSE)</f>
        <v>#N/A</v>
      </c>
      <c r="J233" s="131" t="e">
        <f ca="1">HLOOKUP($H$4,'Met Data'!$H$2:$M$368,G233,FALSE)*L233</f>
        <v>#N/A</v>
      </c>
      <c r="K233" s="105" t="e">
        <f>HLOOKUP($H$4,'Met Data'!$O$2:$T$368,G233,FALSE)</f>
        <v>#N/A</v>
      </c>
      <c r="L233">
        <f t="shared" ca="1" si="30"/>
        <v>1</v>
      </c>
      <c r="N233" t="e">
        <f t="shared" ca="1" si="35"/>
        <v>#N/A</v>
      </c>
      <c r="O233" t="e">
        <f t="shared" ca="1" si="31"/>
        <v>#N/A</v>
      </c>
      <c r="P233" s="2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W233" t="e">
        <f ca="1"/>
        <v>#N/A</v>
      </c>
      <c r="X233" t="e">
        <f ca="1"/>
        <v>#N/A</v>
      </c>
      <c r="Y233" t="e">
        <f ca="1"/>
        <v>#N/A</v>
      </c>
      <c r="Z233" t="e">
        <f ca="1"/>
        <v>#N/A</v>
      </c>
      <c r="AA233" t="e">
        <f ca="1"/>
        <v>#N/A</v>
      </c>
      <c r="AB233" t="e">
        <f ca="1"/>
        <v>#N/A</v>
      </c>
      <c r="AD233" s="2">
        <f t="shared" ca="1" si="32"/>
        <v>0</v>
      </c>
      <c r="AE233" s="46">
        <f t="shared" ca="1" si="33"/>
        <v>0</v>
      </c>
      <c r="AG233" s="72" t="e">
        <f t="shared" ca="1" si="37"/>
        <v>#N/A</v>
      </c>
      <c r="AH233" s="72" t="e">
        <f t="shared" ca="1" si="38"/>
        <v>#N/A</v>
      </c>
      <c r="AI233" s="3" t="e">
        <f t="shared" ca="1" si="39"/>
        <v>#N/A</v>
      </c>
    </row>
    <row r="234" spans="7:35" x14ac:dyDescent="0.25">
      <c r="G234" s="3">
        <f t="shared" ca="1" si="34"/>
        <v>234</v>
      </c>
      <c r="H234" s="104">
        <f t="shared" ca="1" si="36"/>
        <v>45159</v>
      </c>
      <c r="I234" s="131" t="e">
        <f>HLOOKUP($H$4,'Met Data'!$A$2:$F$368,G234,FALSE)</f>
        <v>#N/A</v>
      </c>
      <c r="J234" s="131" t="e">
        <f ca="1">HLOOKUP($H$4,'Met Data'!$H$2:$M$368,G234,FALSE)*L234</f>
        <v>#N/A</v>
      </c>
      <c r="K234" s="105" t="e">
        <f>HLOOKUP($H$4,'Met Data'!$O$2:$T$368,G234,FALSE)</f>
        <v>#N/A</v>
      </c>
      <c r="L234">
        <f t="shared" ca="1" si="30"/>
        <v>1</v>
      </c>
      <c r="N234" t="e">
        <f t="shared" ca="1" si="35"/>
        <v>#N/A</v>
      </c>
      <c r="O234" t="e">
        <f t="shared" ca="1" si="31"/>
        <v>#N/A</v>
      </c>
      <c r="P234" s="2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W234" t="e">
        <f ca="1"/>
        <v>#N/A</v>
      </c>
      <c r="X234" t="e">
        <f ca="1"/>
        <v>#N/A</v>
      </c>
      <c r="Y234" t="e">
        <f ca="1"/>
        <v>#N/A</v>
      </c>
      <c r="Z234" t="e">
        <f ca="1"/>
        <v>#N/A</v>
      </c>
      <c r="AA234" t="e">
        <f ca="1"/>
        <v>#N/A</v>
      </c>
      <c r="AB234" t="e">
        <f ca="1"/>
        <v>#N/A</v>
      </c>
      <c r="AD234" s="2">
        <f t="shared" ca="1" si="32"/>
        <v>0</v>
      </c>
      <c r="AE234" s="46">
        <f t="shared" ca="1" si="33"/>
        <v>0</v>
      </c>
      <c r="AG234" s="72" t="e">
        <f t="shared" ca="1" si="37"/>
        <v>#N/A</v>
      </c>
      <c r="AH234" s="72" t="e">
        <f t="shared" ca="1" si="38"/>
        <v>#N/A</v>
      </c>
      <c r="AI234" s="3" t="e">
        <f t="shared" ca="1" si="39"/>
        <v>#N/A</v>
      </c>
    </row>
    <row r="235" spans="7:35" x14ac:dyDescent="0.25">
      <c r="G235" s="3">
        <f t="shared" ca="1" si="34"/>
        <v>235</v>
      </c>
      <c r="H235" s="104">
        <f t="shared" ca="1" si="36"/>
        <v>45160</v>
      </c>
      <c r="I235" s="131" t="e">
        <f>HLOOKUP($H$4,'Met Data'!$A$2:$F$368,G235,FALSE)</f>
        <v>#N/A</v>
      </c>
      <c r="J235" s="131" t="e">
        <f ca="1">HLOOKUP($H$4,'Met Data'!$H$2:$M$368,G235,FALSE)*L235</f>
        <v>#N/A</v>
      </c>
      <c r="K235" s="105" t="e">
        <f>HLOOKUP($H$4,'Met Data'!$O$2:$T$368,G235,FALSE)</f>
        <v>#N/A</v>
      </c>
      <c r="L235">
        <f t="shared" ca="1" si="30"/>
        <v>1</v>
      </c>
      <c r="N235" t="e">
        <f t="shared" ca="1" si="35"/>
        <v>#N/A</v>
      </c>
      <c r="O235" t="e">
        <f t="shared" ca="1" si="31"/>
        <v>#N/A</v>
      </c>
      <c r="P235" s="2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W235" t="e">
        <f ca="1"/>
        <v>#N/A</v>
      </c>
      <c r="X235" t="e">
        <f ca="1"/>
        <v>#N/A</v>
      </c>
      <c r="Y235" t="e">
        <f ca="1"/>
        <v>#N/A</v>
      </c>
      <c r="Z235" t="e">
        <f ca="1"/>
        <v>#N/A</v>
      </c>
      <c r="AA235" t="e">
        <f ca="1"/>
        <v>#N/A</v>
      </c>
      <c r="AB235" t="e">
        <f ca="1"/>
        <v>#N/A</v>
      </c>
      <c r="AD235" s="2">
        <f t="shared" ca="1" si="32"/>
        <v>0</v>
      </c>
      <c r="AE235" s="46">
        <f t="shared" ca="1" si="33"/>
        <v>0</v>
      </c>
      <c r="AG235" s="72" t="e">
        <f t="shared" ca="1" si="37"/>
        <v>#N/A</v>
      </c>
      <c r="AH235" s="72" t="e">
        <f t="shared" ca="1" si="38"/>
        <v>#N/A</v>
      </c>
      <c r="AI235" s="3" t="e">
        <f t="shared" ca="1" si="39"/>
        <v>#N/A</v>
      </c>
    </row>
    <row r="236" spans="7:35" x14ac:dyDescent="0.25">
      <c r="G236" s="3">
        <f t="shared" ca="1" si="34"/>
        <v>236</v>
      </c>
      <c r="H236" s="104">
        <f t="shared" ca="1" si="36"/>
        <v>45161</v>
      </c>
      <c r="I236" s="131" t="e">
        <f>HLOOKUP($H$4,'Met Data'!$A$2:$F$368,G236,FALSE)</f>
        <v>#N/A</v>
      </c>
      <c r="J236" s="131" t="e">
        <f ca="1">HLOOKUP($H$4,'Met Data'!$H$2:$M$368,G236,FALSE)*L236</f>
        <v>#N/A</v>
      </c>
      <c r="K236" s="105" t="e">
        <f>HLOOKUP($H$4,'Met Data'!$O$2:$T$368,G236,FALSE)</f>
        <v>#N/A</v>
      </c>
      <c r="L236">
        <f t="shared" ca="1" si="30"/>
        <v>1</v>
      </c>
      <c r="N236" t="e">
        <f t="shared" ca="1" si="35"/>
        <v>#N/A</v>
      </c>
      <c r="O236" t="e">
        <f t="shared" ca="1" si="31"/>
        <v>#N/A</v>
      </c>
      <c r="P236" s="2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W236" t="e">
        <f ca="1"/>
        <v>#N/A</v>
      </c>
      <c r="X236" t="e">
        <f ca="1"/>
        <v>#N/A</v>
      </c>
      <c r="Y236" t="e">
        <f ca="1"/>
        <v>#N/A</v>
      </c>
      <c r="Z236" t="e">
        <f ca="1"/>
        <v>#N/A</v>
      </c>
      <c r="AA236" t="e">
        <f ca="1"/>
        <v>#N/A</v>
      </c>
      <c r="AB236" t="e">
        <f ca="1"/>
        <v>#N/A</v>
      </c>
      <c r="AD236" s="2">
        <f t="shared" ca="1" si="32"/>
        <v>0</v>
      </c>
      <c r="AE236" s="46">
        <f t="shared" ca="1" si="33"/>
        <v>0</v>
      </c>
      <c r="AG236" s="72" t="e">
        <f t="shared" ca="1" si="37"/>
        <v>#N/A</v>
      </c>
      <c r="AH236" s="72" t="e">
        <f t="shared" ca="1" si="38"/>
        <v>#N/A</v>
      </c>
      <c r="AI236" s="3" t="e">
        <f t="shared" ca="1" si="39"/>
        <v>#N/A</v>
      </c>
    </row>
    <row r="237" spans="7:35" x14ac:dyDescent="0.25">
      <c r="G237" s="3">
        <f t="shared" ca="1" si="34"/>
        <v>237</v>
      </c>
      <c r="H237" s="104">
        <f t="shared" ca="1" si="36"/>
        <v>45162</v>
      </c>
      <c r="I237" s="131" t="e">
        <f>HLOOKUP($H$4,'Met Data'!$A$2:$F$368,G237,FALSE)</f>
        <v>#N/A</v>
      </c>
      <c r="J237" s="131" t="e">
        <f ca="1">HLOOKUP($H$4,'Met Data'!$H$2:$M$368,G237,FALSE)*L237</f>
        <v>#N/A</v>
      </c>
      <c r="K237" s="105" t="e">
        <f>HLOOKUP($H$4,'Met Data'!$O$2:$T$368,G237,FALSE)</f>
        <v>#N/A</v>
      </c>
      <c r="L237">
        <f t="shared" ca="1" si="30"/>
        <v>1</v>
      </c>
      <c r="N237" t="e">
        <f t="shared" ca="1" si="35"/>
        <v>#N/A</v>
      </c>
      <c r="O237" t="e">
        <f t="shared" ca="1" si="31"/>
        <v>#N/A</v>
      </c>
      <c r="P237" s="2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W237" t="e">
        <f ca="1"/>
        <v>#N/A</v>
      </c>
      <c r="X237" t="e">
        <f ca="1"/>
        <v>#N/A</v>
      </c>
      <c r="Y237" t="e">
        <f ca="1"/>
        <v>#N/A</v>
      </c>
      <c r="Z237" t="e">
        <f ca="1"/>
        <v>#N/A</v>
      </c>
      <c r="AA237" t="e">
        <f ca="1"/>
        <v>#N/A</v>
      </c>
      <c r="AB237" t="e">
        <f ca="1"/>
        <v>#N/A</v>
      </c>
      <c r="AD237" s="2">
        <f t="shared" ca="1" si="32"/>
        <v>0</v>
      </c>
      <c r="AE237" s="46">
        <f t="shared" ca="1" si="33"/>
        <v>0</v>
      </c>
      <c r="AG237" s="72" t="e">
        <f t="shared" ca="1" si="37"/>
        <v>#N/A</v>
      </c>
      <c r="AH237" s="72" t="e">
        <f t="shared" ca="1" si="38"/>
        <v>#N/A</v>
      </c>
      <c r="AI237" s="3" t="e">
        <f t="shared" ca="1" si="39"/>
        <v>#N/A</v>
      </c>
    </row>
    <row r="238" spans="7:35" x14ac:dyDescent="0.25">
      <c r="G238" s="3">
        <f t="shared" ca="1" si="34"/>
        <v>238</v>
      </c>
      <c r="H238" s="104">
        <f t="shared" ca="1" si="36"/>
        <v>45163</v>
      </c>
      <c r="I238" s="131" t="e">
        <f>HLOOKUP($H$4,'Met Data'!$A$2:$F$368,G238,FALSE)</f>
        <v>#N/A</v>
      </c>
      <c r="J238" s="131" t="e">
        <f ca="1">HLOOKUP($H$4,'Met Data'!$H$2:$M$368,G238,FALSE)*L238</f>
        <v>#N/A</v>
      </c>
      <c r="K238" s="105" t="e">
        <f>HLOOKUP($H$4,'Met Data'!$O$2:$T$368,G238,FALSE)</f>
        <v>#N/A</v>
      </c>
      <c r="L238">
        <f t="shared" ca="1" si="30"/>
        <v>1</v>
      </c>
      <c r="N238" t="e">
        <f t="shared" ca="1" si="35"/>
        <v>#N/A</v>
      </c>
      <c r="O238" t="e">
        <f t="shared" ca="1" si="31"/>
        <v>#N/A</v>
      </c>
      <c r="P238" s="2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W238" t="e">
        <f ca="1"/>
        <v>#N/A</v>
      </c>
      <c r="X238" t="e">
        <f ca="1"/>
        <v>#N/A</v>
      </c>
      <c r="Y238" t="e">
        <f ca="1"/>
        <v>#N/A</v>
      </c>
      <c r="Z238" t="e">
        <f ca="1"/>
        <v>#N/A</v>
      </c>
      <c r="AA238" t="e">
        <f ca="1"/>
        <v>#N/A</v>
      </c>
      <c r="AB238" t="e">
        <f ca="1"/>
        <v>#N/A</v>
      </c>
      <c r="AD238" s="2">
        <f t="shared" ca="1" si="32"/>
        <v>0</v>
      </c>
      <c r="AE238" s="46">
        <f t="shared" ca="1" si="33"/>
        <v>0</v>
      </c>
      <c r="AG238" s="72" t="e">
        <f t="shared" ca="1" si="37"/>
        <v>#N/A</v>
      </c>
      <c r="AH238" s="72" t="e">
        <f t="shared" ca="1" si="38"/>
        <v>#N/A</v>
      </c>
      <c r="AI238" s="3" t="e">
        <f t="shared" ca="1" si="39"/>
        <v>#N/A</v>
      </c>
    </row>
    <row r="239" spans="7:35" x14ac:dyDescent="0.25">
      <c r="G239" s="3">
        <f t="shared" ca="1" si="34"/>
        <v>239</v>
      </c>
      <c r="H239" s="104">
        <f t="shared" ca="1" si="36"/>
        <v>45164</v>
      </c>
      <c r="I239" s="131" t="e">
        <f>HLOOKUP($H$4,'Met Data'!$A$2:$F$368,G239,FALSE)</f>
        <v>#N/A</v>
      </c>
      <c r="J239" s="131" t="e">
        <f ca="1">HLOOKUP($H$4,'Met Data'!$H$2:$M$368,G239,FALSE)*L239</f>
        <v>#N/A</v>
      </c>
      <c r="K239" s="105" t="e">
        <f>HLOOKUP($H$4,'Met Data'!$O$2:$T$368,G239,FALSE)</f>
        <v>#N/A</v>
      </c>
      <c r="L239">
        <f t="shared" ca="1" si="30"/>
        <v>1</v>
      </c>
      <c r="N239" t="e">
        <f t="shared" ca="1" si="35"/>
        <v>#N/A</v>
      </c>
      <c r="O239" t="e">
        <f t="shared" ca="1" si="31"/>
        <v>#N/A</v>
      </c>
      <c r="P239" s="2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W239" t="e">
        <f ca="1"/>
        <v>#N/A</v>
      </c>
      <c r="X239" t="e">
        <f ca="1"/>
        <v>#N/A</v>
      </c>
      <c r="Y239" t="e">
        <f ca="1"/>
        <v>#N/A</v>
      </c>
      <c r="Z239" t="e">
        <f ca="1"/>
        <v>#N/A</v>
      </c>
      <c r="AA239" t="e">
        <f ca="1"/>
        <v>#N/A</v>
      </c>
      <c r="AB239" t="e">
        <f ca="1"/>
        <v>#N/A</v>
      </c>
      <c r="AD239" s="2">
        <f t="shared" ca="1" si="32"/>
        <v>0</v>
      </c>
      <c r="AE239" s="46">
        <f t="shared" ca="1" si="33"/>
        <v>0</v>
      </c>
      <c r="AG239" s="72" t="e">
        <f t="shared" ca="1" si="37"/>
        <v>#N/A</v>
      </c>
      <c r="AH239" s="72" t="e">
        <f t="shared" ca="1" si="38"/>
        <v>#N/A</v>
      </c>
      <c r="AI239" s="3" t="e">
        <f t="shared" ca="1" si="39"/>
        <v>#N/A</v>
      </c>
    </row>
    <row r="240" spans="7:35" x14ac:dyDescent="0.25">
      <c r="G240" s="3">
        <f t="shared" ca="1" si="34"/>
        <v>240</v>
      </c>
      <c r="H240" s="104">
        <f t="shared" ca="1" si="36"/>
        <v>45165</v>
      </c>
      <c r="I240" s="131" t="e">
        <f>HLOOKUP($H$4,'Met Data'!$A$2:$F$368,G240,FALSE)</f>
        <v>#N/A</v>
      </c>
      <c r="J240" s="131" t="e">
        <f ca="1">HLOOKUP($H$4,'Met Data'!$H$2:$M$368,G240,FALSE)*L240</f>
        <v>#N/A</v>
      </c>
      <c r="K240" s="105" t="e">
        <f>HLOOKUP($H$4,'Met Data'!$O$2:$T$368,G240,FALSE)</f>
        <v>#N/A</v>
      </c>
      <c r="L240">
        <f t="shared" ca="1" si="30"/>
        <v>1</v>
      </c>
      <c r="N240" t="e">
        <f t="shared" ca="1" si="35"/>
        <v>#N/A</v>
      </c>
      <c r="O240" t="e">
        <f t="shared" ca="1" si="31"/>
        <v>#N/A</v>
      </c>
      <c r="P240" s="2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W240" t="e">
        <f ca="1"/>
        <v>#N/A</v>
      </c>
      <c r="X240" t="e">
        <f ca="1"/>
        <v>#N/A</v>
      </c>
      <c r="Y240" t="e">
        <f ca="1"/>
        <v>#N/A</v>
      </c>
      <c r="Z240" t="e">
        <f ca="1"/>
        <v>#N/A</v>
      </c>
      <c r="AA240" t="e">
        <f ca="1"/>
        <v>#N/A</v>
      </c>
      <c r="AB240" t="e">
        <f ca="1"/>
        <v>#N/A</v>
      </c>
      <c r="AD240" s="2">
        <f t="shared" ca="1" si="32"/>
        <v>0</v>
      </c>
      <c r="AE240" s="46">
        <f t="shared" ca="1" si="33"/>
        <v>0</v>
      </c>
      <c r="AG240" s="72" t="e">
        <f t="shared" ca="1" si="37"/>
        <v>#N/A</v>
      </c>
      <c r="AH240" s="72" t="e">
        <f t="shared" ca="1" si="38"/>
        <v>#N/A</v>
      </c>
      <c r="AI240" s="3" t="e">
        <f t="shared" ca="1" si="39"/>
        <v>#N/A</v>
      </c>
    </row>
    <row r="241" spans="7:35" x14ac:dyDescent="0.25">
      <c r="G241" s="3">
        <f t="shared" ca="1" si="34"/>
        <v>241</v>
      </c>
      <c r="H241" s="104">
        <f t="shared" ca="1" si="36"/>
        <v>45166</v>
      </c>
      <c r="I241" s="131" t="e">
        <f>HLOOKUP($H$4,'Met Data'!$A$2:$F$368,G241,FALSE)</f>
        <v>#N/A</v>
      </c>
      <c r="J241" s="131" t="e">
        <f ca="1">HLOOKUP($H$4,'Met Data'!$H$2:$M$368,G241,FALSE)*L241</f>
        <v>#N/A</v>
      </c>
      <c r="K241" s="105" t="e">
        <f>HLOOKUP($H$4,'Met Data'!$O$2:$T$368,G241,FALSE)</f>
        <v>#N/A</v>
      </c>
      <c r="L241">
        <f t="shared" ca="1" si="30"/>
        <v>1</v>
      </c>
      <c r="N241" t="e">
        <f t="shared" ca="1" si="35"/>
        <v>#N/A</v>
      </c>
      <c r="O241" t="e">
        <f t="shared" ca="1" si="31"/>
        <v>#N/A</v>
      </c>
      <c r="P241" s="2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W241" t="e">
        <f ca="1"/>
        <v>#N/A</v>
      </c>
      <c r="X241" t="e">
        <f ca="1"/>
        <v>#N/A</v>
      </c>
      <c r="Y241" t="e">
        <f ca="1"/>
        <v>#N/A</v>
      </c>
      <c r="Z241" t="e">
        <f ca="1"/>
        <v>#N/A</v>
      </c>
      <c r="AA241" t="e">
        <f ca="1"/>
        <v>#N/A</v>
      </c>
      <c r="AB241" t="e">
        <f ca="1"/>
        <v>#N/A</v>
      </c>
      <c r="AD241" s="2">
        <f t="shared" ca="1" si="32"/>
        <v>0</v>
      </c>
      <c r="AE241" s="46">
        <f t="shared" ca="1" si="33"/>
        <v>0</v>
      </c>
      <c r="AG241" s="72" t="e">
        <f t="shared" ca="1" si="37"/>
        <v>#N/A</v>
      </c>
      <c r="AH241" s="72" t="e">
        <f t="shared" ca="1" si="38"/>
        <v>#N/A</v>
      </c>
      <c r="AI241" s="3" t="e">
        <f t="shared" ca="1" si="39"/>
        <v>#N/A</v>
      </c>
    </row>
    <row r="242" spans="7:35" x14ac:dyDescent="0.25">
      <c r="G242" s="3">
        <f t="shared" ca="1" si="34"/>
        <v>242</v>
      </c>
      <c r="H242" s="104">
        <f t="shared" ca="1" si="36"/>
        <v>45167</v>
      </c>
      <c r="I242" s="131" t="e">
        <f>HLOOKUP($H$4,'Met Data'!$A$2:$F$368,G242,FALSE)</f>
        <v>#N/A</v>
      </c>
      <c r="J242" s="131" t="e">
        <f ca="1">HLOOKUP($H$4,'Met Data'!$H$2:$M$368,G242,FALSE)*L242</f>
        <v>#N/A</v>
      </c>
      <c r="K242" s="105" t="e">
        <f>HLOOKUP($H$4,'Met Data'!$O$2:$T$368,G242,FALSE)</f>
        <v>#N/A</v>
      </c>
      <c r="L242">
        <f t="shared" ca="1" si="30"/>
        <v>1</v>
      </c>
      <c r="N242" t="e">
        <f t="shared" ca="1" si="35"/>
        <v>#N/A</v>
      </c>
      <c r="O242" t="e">
        <f t="shared" ca="1" si="31"/>
        <v>#N/A</v>
      </c>
      <c r="P242" s="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W242" t="e">
        <f ca="1"/>
        <v>#N/A</v>
      </c>
      <c r="X242" t="e">
        <f ca="1"/>
        <v>#N/A</v>
      </c>
      <c r="Y242" t="e">
        <f ca="1"/>
        <v>#N/A</v>
      </c>
      <c r="Z242" t="e">
        <f ca="1"/>
        <v>#N/A</v>
      </c>
      <c r="AA242" t="e">
        <f ca="1"/>
        <v>#N/A</v>
      </c>
      <c r="AB242" t="e">
        <f ca="1"/>
        <v>#N/A</v>
      </c>
      <c r="AD242" s="2">
        <f t="shared" ca="1" si="32"/>
        <v>0</v>
      </c>
      <c r="AE242" s="46">
        <f t="shared" ca="1" si="33"/>
        <v>0</v>
      </c>
      <c r="AG242" s="72" t="e">
        <f t="shared" ca="1" si="37"/>
        <v>#N/A</v>
      </c>
      <c r="AH242" s="72" t="e">
        <f t="shared" ca="1" si="38"/>
        <v>#N/A</v>
      </c>
      <c r="AI242" s="3" t="e">
        <f t="shared" ca="1" si="39"/>
        <v>#N/A</v>
      </c>
    </row>
    <row r="243" spans="7:35" x14ac:dyDescent="0.25">
      <c r="G243" s="3">
        <f t="shared" ca="1" si="34"/>
        <v>243</v>
      </c>
      <c r="H243" s="104">
        <f t="shared" ca="1" si="36"/>
        <v>45168</v>
      </c>
      <c r="I243" s="131" t="e">
        <f>HLOOKUP($H$4,'Met Data'!$A$2:$F$368,G243,FALSE)</f>
        <v>#N/A</v>
      </c>
      <c r="J243" s="131" t="e">
        <f ca="1">HLOOKUP($H$4,'Met Data'!$H$2:$M$368,G243,FALSE)*L243</f>
        <v>#N/A</v>
      </c>
      <c r="K243" s="105" t="e">
        <f>HLOOKUP($H$4,'Met Data'!$O$2:$T$368,G243,FALSE)</f>
        <v>#N/A</v>
      </c>
      <c r="L243">
        <f t="shared" ca="1" si="30"/>
        <v>1</v>
      </c>
      <c r="N243" t="e">
        <f t="shared" ca="1" si="35"/>
        <v>#N/A</v>
      </c>
      <c r="O243" t="e">
        <f t="shared" ca="1" si="31"/>
        <v>#N/A</v>
      </c>
      <c r="P243" s="2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W243" t="e">
        <f ca="1"/>
        <v>#N/A</v>
      </c>
      <c r="X243" t="e">
        <f ca="1"/>
        <v>#N/A</v>
      </c>
      <c r="Y243" t="e">
        <f ca="1"/>
        <v>#N/A</v>
      </c>
      <c r="Z243" t="e">
        <f ca="1"/>
        <v>#N/A</v>
      </c>
      <c r="AA243" t="e">
        <f ca="1"/>
        <v>#N/A</v>
      </c>
      <c r="AB243" t="e">
        <f ca="1"/>
        <v>#N/A</v>
      </c>
      <c r="AD243" s="2">
        <f t="shared" ca="1" si="32"/>
        <v>0</v>
      </c>
      <c r="AE243" s="46">
        <f t="shared" ca="1" si="33"/>
        <v>0</v>
      </c>
      <c r="AG243" s="72" t="e">
        <f t="shared" ca="1" si="37"/>
        <v>#N/A</v>
      </c>
      <c r="AH243" s="72" t="e">
        <f t="shared" ca="1" si="38"/>
        <v>#N/A</v>
      </c>
      <c r="AI243" s="3" t="e">
        <f t="shared" ca="1" si="39"/>
        <v>#N/A</v>
      </c>
    </row>
    <row r="244" spans="7:35" x14ac:dyDescent="0.25">
      <c r="G244" s="3">
        <f t="shared" ca="1" si="34"/>
        <v>244</v>
      </c>
      <c r="H244" s="104">
        <f t="shared" ca="1" si="36"/>
        <v>45169</v>
      </c>
      <c r="I244" s="131" t="e">
        <f>HLOOKUP($H$4,'Met Data'!$A$2:$F$368,G244,FALSE)</f>
        <v>#N/A</v>
      </c>
      <c r="J244" s="131" t="e">
        <f ca="1">HLOOKUP($H$4,'Met Data'!$H$2:$M$368,G244,FALSE)*L244</f>
        <v>#N/A</v>
      </c>
      <c r="K244" s="105" t="e">
        <f>HLOOKUP($H$4,'Met Data'!$O$2:$T$368,G244,FALSE)</f>
        <v>#N/A</v>
      </c>
      <c r="L244">
        <f t="shared" ca="1" si="30"/>
        <v>1</v>
      </c>
      <c r="N244" t="e">
        <f t="shared" ca="1" si="35"/>
        <v>#N/A</v>
      </c>
      <c r="O244" t="e">
        <f t="shared" ca="1" si="31"/>
        <v>#N/A</v>
      </c>
      <c r="P244" s="2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W244" t="e">
        <f ca="1"/>
        <v>#N/A</v>
      </c>
      <c r="X244" t="e">
        <f ca="1"/>
        <v>#N/A</v>
      </c>
      <c r="Y244" t="e">
        <f ca="1"/>
        <v>#N/A</v>
      </c>
      <c r="Z244" t="e">
        <f ca="1"/>
        <v>#N/A</v>
      </c>
      <c r="AA244" t="e">
        <f ca="1"/>
        <v>#N/A</v>
      </c>
      <c r="AB244" t="e">
        <f ca="1"/>
        <v>#N/A</v>
      </c>
      <c r="AD244" s="2">
        <f t="shared" ca="1" si="32"/>
        <v>0</v>
      </c>
      <c r="AE244" s="46">
        <f t="shared" ca="1" si="33"/>
        <v>0</v>
      </c>
      <c r="AG244" s="72" t="e">
        <f t="shared" ca="1" si="37"/>
        <v>#N/A</v>
      </c>
      <c r="AH244" s="72" t="e">
        <f t="shared" ca="1" si="38"/>
        <v>#N/A</v>
      </c>
      <c r="AI244" s="3" t="e">
        <f t="shared" ca="1" si="39"/>
        <v>#N/A</v>
      </c>
    </row>
    <row r="245" spans="7:35" x14ac:dyDescent="0.25">
      <c r="G245" s="3">
        <f t="shared" ca="1" si="34"/>
        <v>245</v>
      </c>
      <c r="H245" s="104">
        <f t="shared" ca="1" si="36"/>
        <v>45170</v>
      </c>
      <c r="I245" s="131" t="e">
        <f>HLOOKUP($H$4,'Met Data'!$A$2:$F$368,G245,FALSE)</f>
        <v>#N/A</v>
      </c>
      <c r="J245" s="131" t="e">
        <f ca="1">HLOOKUP($H$4,'Met Data'!$H$2:$M$368,G245,FALSE)*L245</f>
        <v>#N/A</v>
      </c>
      <c r="K245" s="105" t="e">
        <f>HLOOKUP($H$4,'Met Data'!$O$2:$T$368,G245,FALSE)</f>
        <v>#N/A</v>
      </c>
      <c r="L245">
        <f t="shared" ca="1" si="30"/>
        <v>1</v>
      </c>
      <c r="N245" t="e">
        <f t="shared" ca="1" si="35"/>
        <v>#N/A</v>
      </c>
      <c r="O245" t="e">
        <f t="shared" ca="1" si="31"/>
        <v>#N/A</v>
      </c>
      <c r="P245" s="2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W245" t="e">
        <f ca="1"/>
        <v>#N/A</v>
      </c>
      <c r="X245" t="e">
        <f ca="1"/>
        <v>#N/A</v>
      </c>
      <c r="Y245" t="e">
        <f ca="1"/>
        <v>#N/A</v>
      </c>
      <c r="Z245" t="e">
        <f ca="1"/>
        <v>#N/A</v>
      </c>
      <c r="AA245" t="e">
        <f ca="1"/>
        <v>#N/A</v>
      </c>
      <c r="AB245" t="e">
        <f ca="1"/>
        <v>#N/A</v>
      </c>
      <c r="AD245" s="2">
        <f t="shared" ca="1" si="32"/>
        <v>0</v>
      </c>
      <c r="AE245" s="46">
        <f t="shared" ca="1" si="33"/>
        <v>0</v>
      </c>
      <c r="AG245" s="72" t="e">
        <f t="shared" ca="1" si="37"/>
        <v>#N/A</v>
      </c>
      <c r="AH245" s="72" t="e">
        <f t="shared" ca="1" si="38"/>
        <v>#N/A</v>
      </c>
      <c r="AI245" s="3" t="e">
        <f t="shared" ca="1" si="39"/>
        <v>#N/A</v>
      </c>
    </row>
    <row r="246" spans="7:35" x14ac:dyDescent="0.25">
      <c r="G246" s="3">
        <f t="shared" ca="1" si="34"/>
        <v>246</v>
      </c>
      <c r="H246" s="104">
        <f t="shared" ca="1" si="36"/>
        <v>45171</v>
      </c>
      <c r="I246" s="131" t="e">
        <f>HLOOKUP($H$4,'Met Data'!$A$2:$F$368,G246,FALSE)</f>
        <v>#N/A</v>
      </c>
      <c r="J246" s="131" t="e">
        <f ca="1">HLOOKUP($H$4,'Met Data'!$H$2:$M$368,G246,FALSE)*L246</f>
        <v>#N/A</v>
      </c>
      <c r="K246" s="105" t="e">
        <f>HLOOKUP($H$4,'Met Data'!$O$2:$T$368,G246,FALSE)</f>
        <v>#N/A</v>
      </c>
      <c r="L246">
        <f t="shared" ca="1" si="30"/>
        <v>1</v>
      </c>
      <c r="N246" t="e">
        <f t="shared" ca="1" si="35"/>
        <v>#N/A</v>
      </c>
      <c r="O246" t="e">
        <f t="shared" ca="1" si="31"/>
        <v>#N/A</v>
      </c>
      <c r="P246" s="2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W246" t="e">
        <f ca="1"/>
        <v>#N/A</v>
      </c>
      <c r="X246" t="e">
        <f ca="1"/>
        <v>#N/A</v>
      </c>
      <c r="Y246" t="e">
        <f ca="1"/>
        <v>#N/A</v>
      </c>
      <c r="Z246" t="e">
        <f ca="1"/>
        <v>#N/A</v>
      </c>
      <c r="AA246" t="e">
        <f ca="1"/>
        <v>#N/A</v>
      </c>
      <c r="AB246" t="e">
        <f ca="1"/>
        <v>#N/A</v>
      </c>
      <c r="AD246" s="2">
        <f t="shared" ca="1" si="32"/>
        <v>0</v>
      </c>
      <c r="AE246" s="46">
        <f t="shared" ca="1" si="33"/>
        <v>0</v>
      </c>
      <c r="AG246" s="72" t="e">
        <f t="shared" ca="1" si="37"/>
        <v>#N/A</v>
      </c>
      <c r="AH246" s="72" t="e">
        <f t="shared" ca="1" si="38"/>
        <v>#N/A</v>
      </c>
      <c r="AI246" s="3" t="e">
        <f t="shared" ca="1" si="39"/>
        <v>#N/A</v>
      </c>
    </row>
    <row r="247" spans="7:35" x14ac:dyDescent="0.25">
      <c r="G247" s="3">
        <f t="shared" ca="1" si="34"/>
        <v>247</v>
      </c>
      <c r="H247" s="104">
        <f t="shared" ca="1" si="36"/>
        <v>45172</v>
      </c>
      <c r="I247" s="131" t="e">
        <f>HLOOKUP($H$4,'Met Data'!$A$2:$F$368,G247,FALSE)</f>
        <v>#N/A</v>
      </c>
      <c r="J247" s="131" t="e">
        <f ca="1">HLOOKUP($H$4,'Met Data'!$H$2:$M$368,G247,FALSE)*L247</f>
        <v>#N/A</v>
      </c>
      <c r="K247" s="105" t="e">
        <f>HLOOKUP($H$4,'Met Data'!$O$2:$T$368,G247,FALSE)</f>
        <v>#N/A</v>
      </c>
      <c r="L247">
        <f t="shared" ca="1" si="30"/>
        <v>1</v>
      </c>
      <c r="N247" t="e">
        <f t="shared" ca="1" si="35"/>
        <v>#N/A</v>
      </c>
      <c r="O247" t="e">
        <f t="shared" ca="1" si="31"/>
        <v>#N/A</v>
      </c>
      <c r="P247" s="2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W247" t="e">
        <f ca="1"/>
        <v>#N/A</v>
      </c>
      <c r="X247" t="e">
        <f ca="1"/>
        <v>#N/A</v>
      </c>
      <c r="Y247" t="e">
        <f ca="1"/>
        <v>#N/A</v>
      </c>
      <c r="Z247" t="e">
        <f ca="1"/>
        <v>#N/A</v>
      </c>
      <c r="AA247" t="e">
        <f ca="1"/>
        <v>#N/A</v>
      </c>
      <c r="AB247" t="e">
        <f ca="1"/>
        <v>#N/A</v>
      </c>
      <c r="AD247" s="2">
        <f t="shared" ca="1" si="32"/>
        <v>0</v>
      </c>
      <c r="AE247" s="46">
        <f t="shared" ca="1" si="33"/>
        <v>0</v>
      </c>
      <c r="AG247" s="72" t="e">
        <f t="shared" ca="1" si="37"/>
        <v>#N/A</v>
      </c>
      <c r="AH247" s="72" t="e">
        <f t="shared" ca="1" si="38"/>
        <v>#N/A</v>
      </c>
      <c r="AI247" s="3" t="e">
        <f t="shared" ca="1" si="39"/>
        <v>#N/A</v>
      </c>
    </row>
    <row r="248" spans="7:35" x14ac:dyDescent="0.25">
      <c r="G248" s="3">
        <f t="shared" ca="1" si="34"/>
        <v>248</v>
      </c>
      <c r="H248" s="104">
        <f t="shared" ca="1" si="36"/>
        <v>45173</v>
      </c>
      <c r="I248" s="131" t="e">
        <f>HLOOKUP($H$4,'Met Data'!$A$2:$F$368,G248,FALSE)</f>
        <v>#N/A</v>
      </c>
      <c r="J248" s="131" t="e">
        <f ca="1">HLOOKUP($H$4,'Met Data'!$H$2:$M$368,G248,FALSE)*L248</f>
        <v>#N/A</v>
      </c>
      <c r="K248" s="105" t="e">
        <f>HLOOKUP($H$4,'Met Data'!$O$2:$T$368,G248,FALSE)</f>
        <v>#N/A</v>
      </c>
      <c r="L248">
        <f t="shared" ca="1" si="30"/>
        <v>1</v>
      </c>
      <c r="N248" t="e">
        <f t="shared" ca="1" si="35"/>
        <v>#N/A</v>
      </c>
      <c r="O248" t="e">
        <f t="shared" ca="1" si="31"/>
        <v>#N/A</v>
      </c>
      <c r="P248" s="2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W248" t="e">
        <f ca="1"/>
        <v>#N/A</v>
      </c>
      <c r="X248" t="e">
        <f ca="1"/>
        <v>#N/A</v>
      </c>
      <c r="Y248" t="e">
        <f ca="1"/>
        <v>#N/A</v>
      </c>
      <c r="Z248" t="e">
        <f ca="1"/>
        <v>#N/A</v>
      </c>
      <c r="AA248" t="e">
        <f ca="1"/>
        <v>#N/A</v>
      </c>
      <c r="AB248" t="e">
        <f ca="1"/>
        <v>#N/A</v>
      </c>
      <c r="AD248" s="2">
        <f t="shared" ca="1" si="32"/>
        <v>0</v>
      </c>
      <c r="AE248" s="46">
        <f t="shared" ca="1" si="33"/>
        <v>0</v>
      </c>
      <c r="AG248" s="72" t="e">
        <f t="shared" ca="1" si="37"/>
        <v>#N/A</v>
      </c>
      <c r="AH248" s="72" t="e">
        <f t="shared" ca="1" si="38"/>
        <v>#N/A</v>
      </c>
      <c r="AI248" s="3" t="e">
        <f t="shared" ca="1" si="39"/>
        <v>#N/A</v>
      </c>
    </row>
    <row r="249" spans="7:35" x14ac:dyDescent="0.25">
      <c r="G249" s="3">
        <f t="shared" ca="1" si="34"/>
        <v>249</v>
      </c>
      <c r="H249" s="104">
        <f t="shared" ca="1" si="36"/>
        <v>45174</v>
      </c>
      <c r="I249" s="131" t="e">
        <f>HLOOKUP($H$4,'Met Data'!$A$2:$F$368,G249,FALSE)</f>
        <v>#N/A</v>
      </c>
      <c r="J249" s="131" t="e">
        <f ca="1">HLOOKUP($H$4,'Met Data'!$H$2:$M$368,G249,FALSE)*L249</f>
        <v>#N/A</v>
      </c>
      <c r="K249" s="105" t="e">
        <f>HLOOKUP($H$4,'Met Data'!$O$2:$T$368,G249,FALSE)</f>
        <v>#N/A</v>
      </c>
      <c r="L249">
        <f t="shared" ca="1" si="30"/>
        <v>1</v>
      </c>
      <c r="N249" t="e">
        <f t="shared" ca="1" si="35"/>
        <v>#N/A</v>
      </c>
      <c r="O249" t="e">
        <f t="shared" ca="1" si="31"/>
        <v>#N/A</v>
      </c>
      <c r="P249" s="2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W249" t="e">
        <f ca="1"/>
        <v>#N/A</v>
      </c>
      <c r="X249" t="e">
        <f ca="1"/>
        <v>#N/A</v>
      </c>
      <c r="Y249" t="e">
        <f ca="1"/>
        <v>#N/A</v>
      </c>
      <c r="Z249" t="e">
        <f ca="1"/>
        <v>#N/A</v>
      </c>
      <c r="AA249" t="e">
        <f ca="1"/>
        <v>#N/A</v>
      </c>
      <c r="AB249" t="e">
        <f ca="1"/>
        <v>#N/A</v>
      </c>
      <c r="AD249" s="2">
        <f t="shared" ca="1" si="32"/>
        <v>0</v>
      </c>
      <c r="AE249" s="46">
        <f t="shared" ca="1" si="33"/>
        <v>0</v>
      </c>
      <c r="AG249" s="72" t="e">
        <f t="shared" ca="1" si="37"/>
        <v>#N/A</v>
      </c>
      <c r="AH249" s="72" t="e">
        <f t="shared" ca="1" si="38"/>
        <v>#N/A</v>
      </c>
      <c r="AI249" s="3" t="e">
        <f t="shared" ca="1" si="39"/>
        <v>#N/A</v>
      </c>
    </row>
    <row r="250" spans="7:35" x14ac:dyDescent="0.25">
      <c r="G250" s="3">
        <f t="shared" ca="1" si="34"/>
        <v>250</v>
      </c>
      <c r="H250" s="104">
        <f t="shared" ca="1" si="36"/>
        <v>45175</v>
      </c>
      <c r="I250" s="131" t="e">
        <f>HLOOKUP($H$4,'Met Data'!$A$2:$F$368,G250,FALSE)</f>
        <v>#N/A</v>
      </c>
      <c r="J250" s="131" t="e">
        <f ca="1">HLOOKUP($H$4,'Met Data'!$H$2:$M$368,G250,FALSE)*L250</f>
        <v>#N/A</v>
      </c>
      <c r="K250" s="105" t="e">
        <f>HLOOKUP($H$4,'Met Data'!$O$2:$T$368,G250,FALSE)</f>
        <v>#N/A</v>
      </c>
      <c r="L250">
        <f t="shared" ca="1" si="30"/>
        <v>1</v>
      </c>
      <c r="N250" t="e">
        <f t="shared" ca="1" si="35"/>
        <v>#N/A</v>
      </c>
      <c r="O250" t="e">
        <f t="shared" ca="1" si="31"/>
        <v>#N/A</v>
      </c>
      <c r="P250" s="2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W250" t="e">
        <f ca="1"/>
        <v>#N/A</v>
      </c>
      <c r="X250" t="e">
        <f ca="1"/>
        <v>#N/A</v>
      </c>
      <c r="Y250" t="e">
        <f ca="1"/>
        <v>#N/A</v>
      </c>
      <c r="Z250" t="e">
        <f ca="1"/>
        <v>#N/A</v>
      </c>
      <c r="AA250" t="e">
        <f ca="1"/>
        <v>#N/A</v>
      </c>
      <c r="AB250" t="e">
        <f ca="1"/>
        <v>#N/A</v>
      </c>
      <c r="AD250" s="2">
        <f t="shared" ca="1" si="32"/>
        <v>0</v>
      </c>
      <c r="AE250" s="46">
        <f t="shared" ca="1" si="33"/>
        <v>0</v>
      </c>
      <c r="AG250" s="72" t="e">
        <f t="shared" ca="1" si="37"/>
        <v>#N/A</v>
      </c>
      <c r="AH250" s="72" t="e">
        <f t="shared" ca="1" si="38"/>
        <v>#N/A</v>
      </c>
      <c r="AI250" s="3" t="e">
        <f t="shared" ca="1" si="39"/>
        <v>#N/A</v>
      </c>
    </row>
    <row r="251" spans="7:35" x14ac:dyDescent="0.25">
      <c r="G251" s="3">
        <f t="shared" ca="1" si="34"/>
        <v>251</v>
      </c>
      <c r="H251" s="104">
        <f t="shared" ca="1" si="36"/>
        <v>45176</v>
      </c>
      <c r="I251" s="131" t="e">
        <f>HLOOKUP($H$4,'Met Data'!$A$2:$F$368,G251,FALSE)</f>
        <v>#N/A</v>
      </c>
      <c r="J251" s="131" t="e">
        <f ca="1">HLOOKUP($H$4,'Met Data'!$H$2:$M$368,G251,FALSE)*L251</f>
        <v>#N/A</v>
      </c>
      <c r="K251" s="105" t="e">
        <f>HLOOKUP($H$4,'Met Data'!$O$2:$T$368,G251,FALSE)</f>
        <v>#N/A</v>
      </c>
      <c r="L251">
        <f t="shared" ca="1" si="30"/>
        <v>1</v>
      </c>
      <c r="N251" t="e">
        <f t="shared" ca="1" si="35"/>
        <v>#N/A</v>
      </c>
      <c r="O251" t="e">
        <f t="shared" ca="1" si="31"/>
        <v>#N/A</v>
      </c>
      <c r="P251" s="2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W251" t="e">
        <f ca="1"/>
        <v>#N/A</v>
      </c>
      <c r="X251" t="e">
        <f ca="1"/>
        <v>#N/A</v>
      </c>
      <c r="Y251" t="e">
        <f ca="1"/>
        <v>#N/A</v>
      </c>
      <c r="Z251" t="e">
        <f ca="1"/>
        <v>#N/A</v>
      </c>
      <c r="AA251" t="e">
        <f ca="1"/>
        <v>#N/A</v>
      </c>
      <c r="AB251" t="e">
        <f ca="1"/>
        <v>#N/A</v>
      </c>
      <c r="AD251" s="2">
        <f t="shared" ca="1" si="32"/>
        <v>0</v>
      </c>
      <c r="AE251" s="46">
        <f t="shared" ca="1" si="33"/>
        <v>0</v>
      </c>
      <c r="AG251" s="72" t="e">
        <f t="shared" ca="1" si="37"/>
        <v>#N/A</v>
      </c>
      <c r="AH251" s="72" t="e">
        <f t="shared" ca="1" si="38"/>
        <v>#N/A</v>
      </c>
      <c r="AI251" s="3" t="e">
        <f t="shared" ca="1" si="39"/>
        <v>#N/A</v>
      </c>
    </row>
    <row r="252" spans="7:35" x14ac:dyDescent="0.25">
      <c r="G252" s="3">
        <f t="shared" ca="1" si="34"/>
        <v>252</v>
      </c>
      <c r="H252" s="104">
        <f t="shared" ca="1" si="36"/>
        <v>45177</v>
      </c>
      <c r="I252" s="131" t="e">
        <f>HLOOKUP($H$4,'Met Data'!$A$2:$F$368,G252,FALSE)</f>
        <v>#N/A</v>
      </c>
      <c r="J252" s="131" t="e">
        <f ca="1">HLOOKUP($H$4,'Met Data'!$H$2:$M$368,G252,FALSE)*L252</f>
        <v>#N/A</v>
      </c>
      <c r="K252" s="105" t="e">
        <f>HLOOKUP($H$4,'Met Data'!$O$2:$T$368,G252,FALSE)</f>
        <v>#N/A</v>
      </c>
      <c r="L252">
        <f t="shared" ca="1" si="30"/>
        <v>1</v>
      </c>
      <c r="N252" t="e">
        <f t="shared" ca="1" si="35"/>
        <v>#N/A</v>
      </c>
      <c r="O252" t="e">
        <f t="shared" ca="1" si="31"/>
        <v>#N/A</v>
      </c>
      <c r="P252" s="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W252" t="e">
        <f ca="1"/>
        <v>#N/A</v>
      </c>
      <c r="X252" t="e">
        <f ca="1"/>
        <v>#N/A</v>
      </c>
      <c r="Y252" t="e">
        <f ca="1"/>
        <v>#N/A</v>
      </c>
      <c r="Z252" t="e">
        <f ca="1"/>
        <v>#N/A</v>
      </c>
      <c r="AA252" t="e">
        <f ca="1"/>
        <v>#N/A</v>
      </c>
      <c r="AB252" t="e">
        <f ca="1"/>
        <v>#N/A</v>
      </c>
      <c r="AD252" s="2">
        <f t="shared" ca="1" si="32"/>
        <v>0</v>
      </c>
      <c r="AE252" s="46">
        <f t="shared" ca="1" si="33"/>
        <v>0</v>
      </c>
      <c r="AG252" s="72" t="e">
        <f t="shared" ca="1" si="37"/>
        <v>#N/A</v>
      </c>
      <c r="AH252" s="72" t="e">
        <f t="shared" ca="1" si="38"/>
        <v>#N/A</v>
      </c>
      <c r="AI252" s="3" t="e">
        <f t="shared" ca="1" si="39"/>
        <v>#N/A</v>
      </c>
    </row>
    <row r="253" spans="7:35" x14ac:dyDescent="0.25">
      <c r="G253" s="3">
        <f t="shared" ca="1" si="34"/>
        <v>253</v>
      </c>
      <c r="H253" s="104">
        <f t="shared" ca="1" si="36"/>
        <v>45178</v>
      </c>
      <c r="I253" s="131" t="e">
        <f>HLOOKUP($H$4,'Met Data'!$A$2:$F$368,G253,FALSE)</f>
        <v>#N/A</v>
      </c>
      <c r="J253" s="131" t="e">
        <f ca="1">HLOOKUP($H$4,'Met Data'!$H$2:$M$368,G253,FALSE)*L253</f>
        <v>#N/A</v>
      </c>
      <c r="K253" s="105" t="e">
        <f>HLOOKUP($H$4,'Met Data'!$O$2:$T$368,G253,FALSE)</f>
        <v>#N/A</v>
      </c>
      <c r="L253">
        <f t="shared" ca="1" si="30"/>
        <v>1</v>
      </c>
      <c r="N253" t="e">
        <f t="shared" ca="1" si="35"/>
        <v>#N/A</v>
      </c>
      <c r="O253" t="e">
        <f t="shared" ca="1" si="31"/>
        <v>#N/A</v>
      </c>
      <c r="P253" s="2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W253" t="e">
        <f ca="1"/>
        <v>#N/A</v>
      </c>
      <c r="X253" t="e">
        <f ca="1"/>
        <v>#N/A</v>
      </c>
      <c r="Y253" t="e">
        <f ca="1"/>
        <v>#N/A</v>
      </c>
      <c r="Z253" t="e">
        <f ca="1"/>
        <v>#N/A</v>
      </c>
      <c r="AA253" t="e">
        <f ca="1"/>
        <v>#N/A</v>
      </c>
      <c r="AB253" t="e">
        <f ca="1"/>
        <v>#N/A</v>
      </c>
      <c r="AD253" s="2">
        <f t="shared" ca="1" si="32"/>
        <v>0</v>
      </c>
      <c r="AE253" s="46">
        <f t="shared" ca="1" si="33"/>
        <v>0</v>
      </c>
      <c r="AG253" s="72" t="e">
        <f t="shared" ca="1" si="37"/>
        <v>#N/A</v>
      </c>
      <c r="AH253" s="72" t="e">
        <f t="shared" ca="1" si="38"/>
        <v>#N/A</v>
      </c>
      <c r="AI253" s="3" t="e">
        <f t="shared" ca="1" si="39"/>
        <v>#N/A</v>
      </c>
    </row>
    <row r="254" spans="7:35" x14ac:dyDescent="0.25">
      <c r="G254" s="3">
        <f t="shared" ca="1" si="34"/>
        <v>254</v>
      </c>
      <c r="H254" s="104">
        <f t="shared" ca="1" si="36"/>
        <v>45179</v>
      </c>
      <c r="I254" s="131" t="e">
        <f>HLOOKUP($H$4,'Met Data'!$A$2:$F$368,G254,FALSE)</f>
        <v>#N/A</v>
      </c>
      <c r="J254" s="131" t="e">
        <f ca="1">HLOOKUP($H$4,'Met Data'!$H$2:$M$368,G254,FALSE)*L254</f>
        <v>#N/A</v>
      </c>
      <c r="K254" s="105" t="e">
        <f>HLOOKUP($H$4,'Met Data'!$O$2:$T$368,G254,FALSE)</f>
        <v>#N/A</v>
      </c>
      <c r="L254">
        <f t="shared" ca="1" si="30"/>
        <v>1</v>
      </c>
      <c r="N254" t="e">
        <f t="shared" ca="1" si="35"/>
        <v>#N/A</v>
      </c>
      <c r="O254" t="e">
        <f t="shared" ca="1" si="31"/>
        <v>#N/A</v>
      </c>
      <c r="P254" s="2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W254" t="e">
        <f ca="1"/>
        <v>#N/A</v>
      </c>
      <c r="X254" t="e">
        <f ca="1"/>
        <v>#N/A</v>
      </c>
      <c r="Y254" t="e">
        <f ca="1"/>
        <v>#N/A</v>
      </c>
      <c r="Z254" t="e">
        <f ca="1"/>
        <v>#N/A</v>
      </c>
      <c r="AA254" t="e">
        <f ca="1"/>
        <v>#N/A</v>
      </c>
      <c r="AB254" t="e">
        <f ca="1"/>
        <v>#N/A</v>
      </c>
      <c r="AD254" s="2">
        <f t="shared" ca="1" si="32"/>
        <v>0</v>
      </c>
      <c r="AE254" s="46">
        <f t="shared" ca="1" si="33"/>
        <v>0</v>
      </c>
      <c r="AG254" s="72" t="e">
        <f t="shared" ca="1" si="37"/>
        <v>#N/A</v>
      </c>
      <c r="AH254" s="72" t="e">
        <f t="shared" ca="1" si="38"/>
        <v>#N/A</v>
      </c>
      <c r="AI254" s="3" t="e">
        <f t="shared" ca="1" si="39"/>
        <v>#N/A</v>
      </c>
    </row>
    <row r="255" spans="7:35" x14ac:dyDescent="0.25">
      <c r="G255" s="3">
        <f t="shared" ca="1" si="34"/>
        <v>255</v>
      </c>
      <c r="H255" s="104">
        <f t="shared" ca="1" si="36"/>
        <v>45180</v>
      </c>
      <c r="I255" s="131" t="e">
        <f>HLOOKUP($H$4,'Met Data'!$A$2:$F$368,G255,FALSE)</f>
        <v>#N/A</v>
      </c>
      <c r="J255" s="131" t="e">
        <f ca="1">HLOOKUP($H$4,'Met Data'!$H$2:$M$368,G255,FALSE)*L255</f>
        <v>#N/A</v>
      </c>
      <c r="K255" s="105" t="e">
        <f>HLOOKUP($H$4,'Met Data'!$O$2:$T$368,G255,FALSE)</f>
        <v>#N/A</v>
      </c>
      <c r="L255">
        <f t="shared" ca="1" si="30"/>
        <v>1</v>
      </c>
      <c r="N255" t="e">
        <f t="shared" ca="1" si="35"/>
        <v>#N/A</v>
      </c>
      <c r="O255" t="e">
        <f t="shared" ca="1" si="31"/>
        <v>#N/A</v>
      </c>
      <c r="P255" s="2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W255" t="e">
        <f ca="1"/>
        <v>#N/A</v>
      </c>
      <c r="X255" t="e">
        <f ca="1"/>
        <v>#N/A</v>
      </c>
      <c r="Y255" t="e">
        <f ca="1"/>
        <v>#N/A</v>
      </c>
      <c r="Z255" t="e">
        <f ca="1"/>
        <v>#N/A</v>
      </c>
      <c r="AA255" t="e">
        <f ca="1"/>
        <v>#N/A</v>
      </c>
      <c r="AB255" t="e">
        <f ca="1"/>
        <v>#N/A</v>
      </c>
      <c r="AD255" s="2">
        <f t="shared" ca="1" si="32"/>
        <v>0</v>
      </c>
      <c r="AE255" s="46">
        <f t="shared" ca="1" si="33"/>
        <v>0</v>
      </c>
      <c r="AG255" s="72" t="e">
        <f t="shared" ca="1" si="37"/>
        <v>#N/A</v>
      </c>
      <c r="AH255" s="72" t="e">
        <f t="shared" ca="1" si="38"/>
        <v>#N/A</v>
      </c>
      <c r="AI255" s="3" t="e">
        <f t="shared" ca="1" si="39"/>
        <v>#N/A</v>
      </c>
    </row>
    <row r="256" spans="7:35" x14ac:dyDescent="0.25">
      <c r="G256" s="3">
        <f t="shared" ca="1" si="34"/>
        <v>256</v>
      </c>
      <c r="H256" s="104">
        <f t="shared" ca="1" si="36"/>
        <v>45181</v>
      </c>
      <c r="I256" s="131" t="e">
        <f>HLOOKUP($H$4,'Met Data'!$A$2:$F$368,G256,FALSE)</f>
        <v>#N/A</v>
      </c>
      <c r="J256" s="131" t="e">
        <f ca="1">HLOOKUP($H$4,'Met Data'!$H$2:$M$368,G256,FALSE)*L256</f>
        <v>#N/A</v>
      </c>
      <c r="K256" s="105" t="e">
        <f>HLOOKUP($H$4,'Met Data'!$O$2:$T$368,G256,FALSE)</f>
        <v>#N/A</v>
      </c>
      <c r="L256">
        <f t="shared" ca="1" si="30"/>
        <v>1</v>
      </c>
      <c r="N256" t="e">
        <f t="shared" ca="1" si="35"/>
        <v>#N/A</v>
      </c>
      <c r="O256" t="e">
        <f t="shared" ca="1" si="31"/>
        <v>#N/A</v>
      </c>
      <c r="P256" s="2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W256" t="e">
        <f ca="1"/>
        <v>#N/A</v>
      </c>
      <c r="X256" t="e">
        <f ca="1"/>
        <v>#N/A</v>
      </c>
      <c r="Y256" t="e">
        <f ca="1"/>
        <v>#N/A</v>
      </c>
      <c r="Z256" t="e">
        <f ca="1"/>
        <v>#N/A</v>
      </c>
      <c r="AA256" t="e">
        <f ca="1"/>
        <v>#N/A</v>
      </c>
      <c r="AB256" t="e">
        <f ca="1"/>
        <v>#N/A</v>
      </c>
      <c r="AD256" s="2">
        <f t="shared" ca="1" si="32"/>
        <v>0</v>
      </c>
      <c r="AE256" s="46">
        <f t="shared" ca="1" si="33"/>
        <v>0</v>
      </c>
      <c r="AG256" s="72" t="e">
        <f t="shared" ca="1" si="37"/>
        <v>#N/A</v>
      </c>
      <c r="AH256" s="72" t="e">
        <f t="shared" ca="1" si="38"/>
        <v>#N/A</v>
      </c>
      <c r="AI256" s="3" t="e">
        <f t="shared" ca="1" si="39"/>
        <v>#N/A</v>
      </c>
    </row>
    <row r="257" spans="7:35" x14ac:dyDescent="0.25">
      <c r="G257" s="3">
        <f t="shared" ca="1" si="34"/>
        <v>257</v>
      </c>
      <c r="H257" s="104">
        <f t="shared" ca="1" si="36"/>
        <v>45182</v>
      </c>
      <c r="I257" s="131" t="e">
        <f>HLOOKUP($H$4,'Met Data'!$A$2:$F$368,G257,FALSE)</f>
        <v>#N/A</v>
      </c>
      <c r="J257" s="131" t="e">
        <f ca="1">HLOOKUP($H$4,'Met Data'!$H$2:$M$368,G257,FALSE)*L257</f>
        <v>#N/A</v>
      </c>
      <c r="K257" s="105" t="e">
        <f>HLOOKUP($H$4,'Met Data'!$O$2:$T$368,G257,FALSE)</f>
        <v>#N/A</v>
      </c>
      <c r="L257">
        <f t="shared" ca="1" si="30"/>
        <v>1</v>
      </c>
      <c r="N257" t="e">
        <f t="shared" ca="1" si="35"/>
        <v>#N/A</v>
      </c>
      <c r="O257" t="e">
        <f t="shared" ca="1" si="31"/>
        <v>#N/A</v>
      </c>
      <c r="P257" s="2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W257" t="e">
        <f ca="1"/>
        <v>#N/A</v>
      </c>
      <c r="X257" t="e">
        <f ca="1"/>
        <v>#N/A</v>
      </c>
      <c r="Y257" t="e">
        <f ca="1"/>
        <v>#N/A</v>
      </c>
      <c r="Z257" t="e">
        <f ca="1"/>
        <v>#N/A</v>
      </c>
      <c r="AA257" t="e">
        <f ca="1"/>
        <v>#N/A</v>
      </c>
      <c r="AB257" t="e">
        <f ca="1"/>
        <v>#N/A</v>
      </c>
      <c r="AD257" s="2">
        <f t="shared" ca="1" si="32"/>
        <v>0</v>
      </c>
      <c r="AE257" s="46">
        <f t="shared" ca="1" si="33"/>
        <v>0</v>
      </c>
      <c r="AG257" s="72" t="e">
        <f t="shared" ca="1" si="37"/>
        <v>#N/A</v>
      </c>
      <c r="AH257" s="72" t="e">
        <f t="shared" ca="1" si="38"/>
        <v>#N/A</v>
      </c>
      <c r="AI257" s="3" t="e">
        <f t="shared" ca="1" si="39"/>
        <v>#N/A</v>
      </c>
    </row>
    <row r="258" spans="7:35" x14ac:dyDescent="0.25">
      <c r="G258" s="3">
        <f t="shared" ca="1" si="34"/>
        <v>258</v>
      </c>
      <c r="H258" s="104">
        <f t="shared" ca="1" si="36"/>
        <v>45183</v>
      </c>
      <c r="I258" s="131" t="e">
        <f>HLOOKUP($H$4,'Met Data'!$A$2:$F$368,G258,FALSE)</f>
        <v>#N/A</v>
      </c>
      <c r="J258" s="131" t="e">
        <f ca="1">HLOOKUP($H$4,'Met Data'!$H$2:$M$368,G258,FALSE)*L258</f>
        <v>#N/A</v>
      </c>
      <c r="K258" s="105" t="e">
        <f>HLOOKUP($H$4,'Met Data'!$O$2:$T$368,G258,FALSE)</f>
        <v>#N/A</v>
      </c>
      <c r="L258">
        <f t="shared" ca="1" si="30"/>
        <v>1</v>
      </c>
      <c r="N258" t="e">
        <f t="shared" ca="1" si="35"/>
        <v>#N/A</v>
      </c>
      <c r="O258" t="e">
        <f t="shared" ca="1" si="31"/>
        <v>#N/A</v>
      </c>
      <c r="P258" s="2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W258" t="e">
        <f ca="1"/>
        <v>#N/A</v>
      </c>
      <c r="X258" t="e">
        <f ca="1"/>
        <v>#N/A</v>
      </c>
      <c r="Y258" t="e">
        <f ca="1"/>
        <v>#N/A</v>
      </c>
      <c r="Z258" t="e">
        <f ca="1"/>
        <v>#N/A</v>
      </c>
      <c r="AA258" t="e">
        <f ca="1"/>
        <v>#N/A</v>
      </c>
      <c r="AB258" t="e">
        <f ca="1"/>
        <v>#N/A</v>
      </c>
      <c r="AD258" s="2">
        <f t="shared" ca="1" si="32"/>
        <v>0</v>
      </c>
      <c r="AE258" s="46">
        <f t="shared" ca="1" si="33"/>
        <v>0</v>
      </c>
      <c r="AG258" s="72" t="e">
        <f t="shared" ca="1" si="37"/>
        <v>#N/A</v>
      </c>
      <c r="AH258" s="72" t="e">
        <f t="shared" ca="1" si="38"/>
        <v>#N/A</v>
      </c>
      <c r="AI258" s="3" t="e">
        <f t="shared" ca="1" si="39"/>
        <v>#N/A</v>
      </c>
    </row>
    <row r="259" spans="7:35" x14ac:dyDescent="0.25">
      <c r="G259" s="3">
        <f t="shared" ca="1" si="34"/>
        <v>259</v>
      </c>
      <c r="H259" s="104">
        <f t="shared" ca="1" si="36"/>
        <v>45184</v>
      </c>
      <c r="I259" s="131" t="e">
        <f>HLOOKUP($H$4,'Met Data'!$A$2:$F$368,G259,FALSE)</f>
        <v>#N/A</v>
      </c>
      <c r="J259" s="131" t="e">
        <f ca="1">HLOOKUP($H$4,'Met Data'!$H$2:$M$368,G259,FALSE)*L259</f>
        <v>#N/A</v>
      </c>
      <c r="K259" s="105" t="e">
        <f>HLOOKUP($H$4,'Met Data'!$O$2:$T$368,G259,FALSE)</f>
        <v>#N/A</v>
      </c>
      <c r="L259">
        <f t="shared" ca="1" si="30"/>
        <v>1</v>
      </c>
      <c r="N259" t="e">
        <f t="shared" ca="1" si="35"/>
        <v>#N/A</v>
      </c>
      <c r="O259" t="e">
        <f t="shared" ca="1" si="31"/>
        <v>#N/A</v>
      </c>
      <c r="P259" s="2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W259" t="e">
        <f ca="1"/>
        <v>#N/A</v>
      </c>
      <c r="X259" t="e">
        <f ca="1"/>
        <v>#N/A</v>
      </c>
      <c r="Y259" t="e">
        <f ca="1"/>
        <v>#N/A</v>
      </c>
      <c r="Z259" t="e">
        <f ca="1"/>
        <v>#N/A</v>
      </c>
      <c r="AA259" t="e">
        <f ca="1"/>
        <v>#N/A</v>
      </c>
      <c r="AB259" t="e">
        <f ca="1"/>
        <v>#N/A</v>
      </c>
      <c r="AD259" s="2">
        <f t="shared" ca="1" si="32"/>
        <v>0</v>
      </c>
      <c r="AE259" s="46">
        <f t="shared" ca="1" si="33"/>
        <v>0</v>
      </c>
      <c r="AG259" s="72" t="e">
        <f t="shared" ca="1" si="37"/>
        <v>#N/A</v>
      </c>
      <c r="AH259" s="72" t="e">
        <f t="shared" ca="1" si="38"/>
        <v>#N/A</v>
      </c>
      <c r="AI259" s="3" t="e">
        <f t="shared" ca="1" si="39"/>
        <v>#N/A</v>
      </c>
    </row>
    <row r="260" spans="7:35" x14ac:dyDescent="0.25">
      <c r="G260" s="3">
        <f t="shared" ca="1" si="34"/>
        <v>260</v>
      </c>
      <c r="H260" s="104">
        <f t="shared" ca="1" si="36"/>
        <v>45185</v>
      </c>
      <c r="I260" s="131" t="e">
        <f>HLOOKUP($H$4,'Met Data'!$A$2:$F$368,G260,FALSE)</f>
        <v>#N/A</v>
      </c>
      <c r="J260" s="131" t="e">
        <f ca="1">HLOOKUP($H$4,'Met Data'!$H$2:$M$368,G260,FALSE)*L260</f>
        <v>#N/A</v>
      </c>
      <c r="K260" s="105" t="e">
        <f>HLOOKUP($H$4,'Met Data'!$O$2:$T$368,G260,FALSE)</f>
        <v>#N/A</v>
      </c>
      <c r="L260">
        <f t="shared" ca="1" si="30"/>
        <v>1</v>
      </c>
      <c r="N260" t="e">
        <f t="shared" ca="1" si="35"/>
        <v>#N/A</v>
      </c>
      <c r="O260" t="e">
        <f t="shared" ca="1" si="31"/>
        <v>#N/A</v>
      </c>
      <c r="P260" s="2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W260" t="e">
        <f ca="1"/>
        <v>#N/A</v>
      </c>
      <c r="X260" t="e">
        <f ca="1"/>
        <v>#N/A</v>
      </c>
      <c r="Y260" t="e">
        <f ca="1"/>
        <v>#N/A</v>
      </c>
      <c r="Z260" t="e">
        <f ca="1"/>
        <v>#N/A</v>
      </c>
      <c r="AA260" t="e">
        <f ca="1"/>
        <v>#N/A</v>
      </c>
      <c r="AB260" t="e">
        <f ca="1"/>
        <v>#N/A</v>
      </c>
      <c r="AD260" s="2">
        <f t="shared" ca="1" si="32"/>
        <v>0</v>
      </c>
      <c r="AE260" s="46">
        <f t="shared" ca="1" si="33"/>
        <v>0</v>
      </c>
      <c r="AG260" s="72" t="e">
        <f t="shared" ca="1" si="37"/>
        <v>#N/A</v>
      </c>
      <c r="AH260" s="72" t="e">
        <f t="shared" ca="1" si="38"/>
        <v>#N/A</v>
      </c>
      <c r="AI260" s="3" t="e">
        <f t="shared" ca="1" si="39"/>
        <v>#N/A</v>
      </c>
    </row>
    <row r="261" spans="7:35" x14ac:dyDescent="0.25">
      <c r="G261" s="3">
        <f t="shared" ca="1" si="34"/>
        <v>261</v>
      </c>
      <c r="H261" s="104">
        <f t="shared" ca="1" si="36"/>
        <v>45186</v>
      </c>
      <c r="I261" s="131" t="e">
        <f>HLOOKUP($H$4,'Met Data'!$A$2:$F$368,G261,FALSE)</f>
        <v>#N/A</v>
      </c>
      <c r="J261" s="131" t="e">
        <f ca="1">HLOOKUP($H$4,'Met Data'!$H$2:$M$368,G261,FALSE)*L261</f>
        <v>#N/A</v>
      </c>
      <c r="K261" s="105" t="e">
        <f>HLOOKUP($H$4,'Met Data'!$O$2:$T$368,G261,FALSE)</f>
        <v>#N/A</v>
      </c>
      <c r="L261">
        <f t="shared" ca="1" si="30"/>
        <v>1</v>
      </c>
      <c r="N261" t="e">
        <f t="shared" ca="1" si="35"/>
        <v>#N/A</v>
      </c>
      <c r="O261" t="e">
        <f t="shared" ca="1" si="31"/>
        <v>#N/A</v>
      </c>
      <c r="P261" s="2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W261" t="e">
        <f ca="1"/>
        <v>#N/A</v>
      </c>
      <c r="X261" t="e">
        <f ca="1"/>
        <v>#N/A</v>
      </c>
      <c r="Y261" t="e">
        <f ca="1"/>
        <v>#N/A</v>
      </c>
      <c r="Z261" t="e">
        <f ca="1"/>
        <v>#N/A</v>
      </c>
      <c r="AA261" t="e">
        <f ca="1"/>
        <v>#N/A</v>
      </c>
      <c r="AB261" t="e">
        <f ca="1"/>
        <v>#N/A</v>
      </c>
      <c r="AD261" s="2">
        <f t="shared" ca="1" si="32"/>
        <v>0</v>
      </c>
      <c r="AE261" s="46">
        <f t="shared" ca="1" si="33"/>
        <v>0</v>
      </c>
      <c r="AG261" s="72" t="e">
        <f t="shared" ca="1" si="37"/>
        <v>#N/A</v>
      </c>
      <c r="AH261" s="72" t="e">
        <f t="shared" ca="1" si="38"/>
        <v>#N/A</v>
      </c>
      <c r="AI261" s="3" t="e">
        <f t="shared" ca="1" si="39"/>
        <v>#N/A</v>
      </c>
    </row>
    <row r="262" spans="7:35" x14ac:dyDescent="0.25">
      <c r="G262" s="3">
        <f t="shared" ca="1" si="34"/>
        <v>262</v>
      </c>
      <c r="H262" s="104">
        <f t="shared" ca="1" si="36"/>
        <v>45187</v>
      </c>
      <c r="I262" s="131" t="e">
        <f>HLOOKUP($H$4,'Met Data'!$A$2:$F$368,G262,FALSE)</f>
        <v>#N/A</v>
      </c>
      <c r="J262" s="131" t="e">
        <f ca="1">HLOOKUP($H$4,'Met Data'!$H$2:$M$368,G262,FALSE)*L262</f>
        <v>#N/A</v>
      </c>
      <c r="K262" s="105" t="e">
        <f>HLOOKUP($H$4,'Met Data'!$O$2:$T$368,G262,FALSE)</f>
        <v>#N/A</v>
      </c>
      <c r="L262">
        <f t="shared" ref="L262:L325" ca="1" si="40">IF(H262&lt;$B$31,$J$3,$J$4)</f>
        <v>1</v>
      </c>
      <c r="N262" t="e">
        <f t="shared" ca="1" si="35"/>
        <v>#N/A</v>
      </c>
      <c r="O262" t="e">
        <f t="shared" ref="O262:O325" ca="1" si="41">AND(IF(P262&gt;($P$2-1),TRUE,FALSE),IF(P262&lt;($P$3+1),TRUE,FALSE))</f>
        <v>#N/A</v>
      </c>
      <c r="P262" s="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W262" t="e">
        <f ca="1"/>
        <v>#N/A</v>
      </c>
      <c r="X262" t="e">
        <f ca="1"/>
        <v>#N/A</v>
      </c>
      <c r="Y262" t="e">
        <f ca="1"/>
        <v>#N/A</v>
      </c>
      <c r="Z262" t="e">
        <f ca="1"/>
        <v>#N/A</v>
      </c>
      <c r="AA262" t="e">
        <f ca="1"/>
        <v>#N/A</v>
      </c>
      <c r="AB262" t="e">
        <f ca="1"/>
        <v>#N/A</v>
      </c>
      <c r="AD262" s="2">
        <f t="shared" ref="AD262:AD325" ca="1" si="42">IFERROR(P262,$AD$4)</f>
        <v>0</v>
      </c>
      <c r="AE262" s="46">
        <f t="shared" ref="AE262:AE325" ca="1" si="43">IFERROR(U262,0)</f>
        <v>0</v>
      </c>
      <c r="AG262" s="72" t="e">
        <f t="shared" ca="1" si="37"/>
        <v>#N/A</v>
      </c>
      <c r="AH262" s="72" t="e">
        <f t="shared" ca="1" si="38"/>
        <v>#N/A</v>
      </c>
      <c r="AI262" s="3" t="e">
        <f t="shared" ca="1" si="39"/>
        <v>#N/A</v>
      </c>
    </row>
    <row r="263" spans="7:35" x14ac:dyDescent="0.25">
      <c r="G263" s="3">
        <f t="shared" ref="G263:G326" ca="1" si="44">H263-DATE(YEAR(H263),1,0)+1</f>
        <v>263</v>
      </c>
      <c r="H263" s="104">
        <f t="shared" ca="1" si="36"/>
        <v>45188</v>
      </c>
      <c r="I263" s="131" t="e">
        <f>HLOOKUP($H$4,'Met Data'!$A$2:$F$368,G263,FALSE)</f>
        <v>#N/A</v>
      </c>
      <c r="J263" s="131" t="e">
        <f ca="1">HLOOKUP($H$4,'Met Data'!$H$2:$M$368,G263,FALSE)*L263</f>
        <v>#N/A</v>
      </c>
      <c r="K263" s="105" t="e">
        <f>HLOOKUP($H$4,'Met Data'!$O$2:$T$368,G263,FALSE)</f>
        <v>#N/A</v>
      </c>
      <c r="L263">
        <f t="shared" ca="1" si="40"/>
        <v>1</v>
      </c>
      <c r="N263" t="e">
        <f t="shared" ref="N263:N326" ca="1" si="45">IF(P263&lt;$P$3,TRUE,FALSE)</f>
        <v>#N/A</v>
      </c>
      <c r="O263" t="e">
        <f t="shared" ca="1" si="41"/>
        <v>#N/A</v>
      </c>
      <c r="P263" s="2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W263" t="e">
        <f ca="1"/>
        <v>#N/A</v>
      </c>
      <c r="X263" t="e">
        <f ca="1"/>
        <v>#N/A</v>
      </c>
      <c r="Y263" t="e">
        <f ca="1"/>
        <v>#N/A</v>
      </c>
      <c r="Z263" t="e">
        <f ca="1"/>
        <v>#N/A</v>
      </c>
      <c r="AA263" t="e">
        <f ca="1"/>
        <v>#N/A</v>
      </c>
      <c r="AB263" t="e">
        <f ca="1"/>
        <v>#N/A</v>
      </c>
      <c r="AD263" s="2">
        <f t="shared" ca="1" si="42"/>
        <v>0</v>
      </c>
      <c r="AE263" s="46">
        <f t="shared" ca="1" si="43"/>
        <v>0</v>
      </c>
      <c r="AG263" s="72" t="e">
        <f t="shared" ca="1" si="37"/>
        <v>#N/A</v>
      </c>
      <c r="AH263" s="72" t="e">
        <f t="shared" ca="1" si="38"/>
        <v>#N/A</v>
      </c>
      <c r="AI263" s="3" t="e">
        <f t="shared" ca="1" si="39"/>
        <v>#N/A</v>
      </c>
    </row>
    <row r="264" spans="7:35" x14ac:dyDescent="0.25">
      <c r="G264" s="3">
        <f t="shared" ca="1" si="44"/>
        <v>264</v>
      </c>
      <c r="H264" s="104">
        <f t="shared" ref="H264:H327" ca="1" si="46">H263+1</f>
        <v>45189</v>
      </c>
      <c r="I264" s="131" t="e">
        <f>HLOOKUP($H$4,'Met Data'!$A$2:$F$368,G264,FALSE)</f>
        <v>#N/A</v>
      </c>
      <c r="J264" s="131" t="e">
        <f ca="1">HLOOKUP($H$4,'Met Data'!$H$2:$M$368,G264,FALSE)*L264</f>
        <v>#N/A</v>
      </c>
      <c r="K264" s="105" t="e">
        <f>HLOOKUP($H$4,'Met Data'!$O$2:$T$368,G264,FALSE)</f>
        <v>#N/A</v>
      </c>
      <c r="L264">
        <f t="shared" ca="1" si="40"/>
        <v>1</v>
      </c>
      <c r="N264" t="e">
        <f t="shared" ca="1" si="45"/>
        <v>#N/A</v>
      </c>
      <c r="O264" t="e">
        <f t="shared" ca="1" si="41"/>
        <v>#N/A</v>
      </c>
      <c r="P264" s="2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W264" t="e">
        <f ca="1"/>
        <v>#N/A</v>
      </c>
      <c r="X264" t="e">
        <f ca="1"/>
        <v>#N/A</v>
      </c>
      <c r="Y264" t="e">
        <f ca="1"/>
        <v>#N/A</v>
      </c>
      <c r="Z264" t="e">
        <f ca="1"/>
        <v>#N/A</v>
      </c>
      <c r="AA264" t="e">
        <f ca="1"/>
        <v>#N/A</v>
      </c>
      <c r="AB264" t="e">
        <f ca="1"/>
        <v>#N/A</v>
      </c>
      <c r="AD264" s="2">
        <f t="shared" ca="1" si="42"/>
        <v>0</v>
      </c>
      <c r="AE264" s="46">
        <f t="shared" ca="1" si="43"/>
        <v>0</v>
      </c>
      <c r="AG264" s="72" t="e">
        <f t="shared" ca="1" si="37"/>
        <v>#N/A</v>
      </c>
      <c r="AH264" s="72" t="e">
        <f t="shared" ca="1" si="38"/>
        <v>#N/A</v>
      </c>
      <c r="AI264" s="3" t="e">
        <f t="shared" ca="1" si="39"/>
        <v>#N/A</v>
      </c>
    </row>
    <row r="265" spans="7:35" x14ac:dyDescent="0.25">
      <c r="G265" s="3">
        <f t="shared" ca="1" si="44"/>
        <v>265</v>
      </c>
      <c r="H265" s="104">
        <f t="shared" ca="1" si="46"/>
        <v>45190</v>
      </c>
      <c r="I265" s="131" t="e">
        <f>HLOOKUP($H$4,'Met Data'!$A$2:$F$368,G265,FALSE)</f>
        <v>#N/A</v>
      </c>
      <c r="J265" s="131" t="e">
        <f ca="1">HLOOKUP($H$4,'Met Data'!$H$2:$M$368,G265,FALSE)*L265</f>
        <v>#N/A</v>
      </c>
      <c r="K265" s="105" t="e">
        <f>HLOOKUP($H$4,'Met Data'!$O$2:$T$368,G265,FALSE)</f>
        <v>#N/A</v>
      </c>
      <c r="L265">
        <f t="shared" ca="1" si="40"/>
        <v>1</v>
      </c>
      <c r="N265" t="e">
        <f t="shared" ca="1" si="45"/>
        <v>#N/A</v>
      </c>
      <c r="O265" t="e">
        <f t="shared" ca="1" si="41"/>
        <v>#N/A</v>
      </c>
      <c r="P265" s="2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W265" t="e">
        <f ca="1"/>
        <v>#N/A</v>
      </c>
      <c r="X265" t="e">
        <f ca="1"/>
        <v>#N/A</v>
      </c>
      <c r="Y265" t="e">
        <f ca="1"/>
        <v>#N/A</v>
      </c>
      <c r="Z265" t="e">
        <f ca="1"/>
        <v>#N/A</v>
      </c>
      <c r="AA265" t="e">
        <f ca="1"/>
        <v>#N/A</v>
      </c>
      <c r="AB265" t="e">
        <f ca="1"/>
        <v>#N/A</v>
      </c>
      <c r="AD265" s="2">
        <f t="shared" ca="1" si="42"/>
        <v>0</v>
      </c>
      <c r="AE265" s="46">
        <f t="shared" ca="1" si="43"/>
        <v>0</v>
      </c>
      <c r="AG265" s="72" t="e">
        <f t="shared" ca="1" si="37"/>
        <v>#N/A</v>
      </c>
      <c r="AH265" s="72" t="e">
        <f t="shared" ca="1" si="38"/>
        <v>#N/A</v>
      </c>
      <c r="AI265" s="3" t="e">
        <f t="shared" ca="1" si="39"/>
        <v>#N/A</v>
      </c>
    </row>
    <row r="266" spans="7:35" x14ac:dyDescent="0.25">
      <c r="G266" s="3">
        <f t="shared" ca="1" si="44"/>
        <v>266</v>
      </c>
      <c r="H266" s="104">
        <f t="shared" ca="1" si="46"/>
        <v>45191</v>
      </c>
      <c r="I266" s="131" t="e">
        <f>HLOOKUP($H$4,'Met Data'!$A$2:$F$368,G266,FALSE)</f>
        <v>#N/A</v>
      </c>
      <c r="J266" s="131" t="e">
        <f ca="1">HLOOKUP($H$4,'Met Data'!$H$2:$M$368,G266,FALSE)*L266</f>
        <v>#N/A</v>
      </c>
      <c r="K266" s="105" t="e">
        <f>HLOOKUP($H$4,'Met Data'!$O$2:$T$368,G266,FALSE)</f>
        <v>#N/A</v>
      </c>
      <c r="L266">
        <f t="shared" ca="1" si="40"/>
        <v>1</v>
      </c>
      <c r="N266" t="e">
        <f t="shared" ca="1" si="45"/>
        <v>#N/A</v>
      </c>
      <c r="O266" t="e">
        <f t="shared" ca="1" si="41"/>
        <v>#N/A</v>
      </c>
      <c r="P266" s="2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W266" t="e">
        <f ca="1"/>
        <v>#N/A</v>
      </c>
      <c r="X266" t="e">
        <f ca="1"/>
        <v>#N/A</v>
      </c>
      <c r="Y266" t="e">
        <f ca="1"/>
        <v>#N/A</v>
      </c>
      <c r="Z266" t="e">
        <f ca="1"/>
        <v>#N/A</v>
      </c>
      <c r="AA266" t="e">
        <f ca="1"/>
        <v>#N/A</v>
      </c>
      <c r="AB266" t="e">
        <f ca="1"/>
        <v>#N/A</v>
      </c>
      <c r="AD266" s="2">
        <f t="shared" ca="1" si="42"/>
        <v>0</v>
      </c>
      <c r="AE266" s="46">
        <f t="shared" ca="1" si="43"/>
        <v>0</v>
      </c>
      <c r="AG266" s="72" t="e">
        <f t="shared" ca="1" si="37"/>
        <v>#N/A</v>
      </c>
      <c r="AH266" s="72" t="e">
        <f t="shared" ca="1" si="38"/>
        <v>#N/A</v>
      </c>
      <c r="AI266" s="3" t="e">
        <f t="shared" ca="1" si="39"/>
        <v>#N/A</v>
      </c>
    </row>
    <row r="267" spans="7:35" x14ac:dyDescent="0.25">
      <c r="G267" s="3">
        <f t="shared" ca="1" si="44"/>
        <v>267</v>
      </c>
      <c r="H267" s="104">
        <f t="shared" ca="1" si="46"/>
        <v>45192</v>
      </c>
      <c r="I267" s="131" t="e">
        <f>HLOOKUP($H$4,'Met Data'!$A$2:$F$368,G267,FALSE)</f>
        <v>#N/A</v>
      </c>
      <c r="J267" s="131" t="e">
        <f ca="1">HLOOKUP($H$4,'Met Data'!$H$2:$M$368,G267,FALSE)*L267</f>
        <v>#N/A</v>
      </c>
      <c r="K267" s="105" t="e">
        <f>HLOOKUP($H$4,'Met Data'!$O$2:$T$368,G267,FALSE)</f>
        <v>#N/A</v>
      </c>
      <c r="L267">
        <f t="shared" ca="1" si="40"/>
        <v>1</v>
      </c>
      <c r="N267" t="e">
        <f t="shared" ca="1" si="45"/>
        <v>#N/A</v>
      </c>
      <c r="O267" t="e">
        <f t="shared" ca="1" si="41"/>
        <v>#N/A</v>
      </c>
      <c r="P267" s="2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W267" t="e">
        <f ca="1"/>
        <v>#N/A</v>
      </c>
      <c r="X267" t="e">
        <f ca="1"/>
        <v>#N/A</v>
      </c>
      <c r="Y267" t="e">
        <f ca="1"/>
        <v>#N/A</v>
      </c>
      <c r="Z267" t="e">
        <f ca="1"/>
        <v>#N/A</v>
      </c>
      <c r="AA267" t="e">
        <f ca="1"/>
        <v>#N/A</v>
      </c>
      <c r="AB267" t="e">
        <f ca="1"/>
        <v>#N/A</v>
      </c>
      <c r="AD267" s="2">
        <f t="shared" ca="1" si="42"/>
        <v>0</v>
      </c>
      <c r="AE267" s="46">
        <f t="shared" ca="1" si="43"/>
        <v>0</v>
      </c>
      <c r="AG267" s="72" t="e">
        <f t="shared" ref="AG267:AG330" ca="1" si="47">Q266+S267+T267+U267</f>
        <v>#N/A</v>
      </c>
      <c r="AH267" s="72" t="e">
        <f t="shared" ref="AH267:AH330" ca="1" si="48">Q267+R267+X267</f>
        <v>#N/A</v>
      </c>
      <c r="AI267" s="3" t="e">
        <f t="shared" ref="AI267:AI330" ca="1" si="49">AH267-AG267</f>
        <v>#N/A</v>
      </c>
    </row>
    <row r="268" spans="7:35" x14ac:dyDescent="0.25">
      <c r="G268" s="3">
        <f t="shared" ca="1" si="44"/>
        <v>268</v>
      </c>
      <c r="H268" s="104">
        <f t="shared" ca="1" si="46"/>
        <v>45193</v>
      </c>
      <c r="I268" s="131" t="e">
        <f>HLOOKUP($H$4,'Met Data'!$A$2:$F$368,G268,FALSE)</f>
        <v>#N/A</v>
      </c>
      <c r="J268" s="131" t="e">
        <f ca="1">HLOOKUP($H$4,'Met Data'!$H$2:$M$368,G268,FALSE)*L268</f>
        <v>#N/A</v>
      </c>
      <c r="K268" s="105" t="e">
        <f>HLOOKUP($H$4,'Met Data'!$O$2:$T$368,G268,FALSE)</f>
        <v>#N/A</v>
      </c>
      <c r="L268">
        <f t="shared" ca="1" si="40"/>
        <v>1</v>
      </c>
      <c r="N268" t="e">
        <f t="shared" ca="1" si="45"/>
        <v>#N/A</v>
      </c>
      <c r="O268" t="e">
        <f t="shared" ca="1" si="41"/>
        <v>#N/A</v>
      </c>
      <c r="P268" s="2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W268" t="e">
        <f ca="1"/>
        <v>#N/A</v>
      </c>
      <c r="X268" t="e">
        <f ca="1"/>
        <v>#N/A</v>
      </c>
      <c r="Y268" t="e">
        <f ca="1"/>
        <v>#N/A</v>
      </c>
      <c r="Z268" t="e">
        <f ca="1"/>
        <v>#N/A</v>
      </c>
      <c r="AA268" t="e">
        <f ca="1"/>
        <v>#N/A</v>
      </c>
      <c r="AB268" t="e">
        <f ca="1"/>
        <v>#N/A</v>
      </c>
      <c r="AD268" s="2">
        <f t="shared" ca="1" si="42"/>
        <v>0</v>
      </c>
      <c r="AE268" s="46">
        <f t="shared" ca="1" si="43"/>
        <v>0</v>
      </c>
      <c r="AG268" s="72" t="e">
        <f t="shared" ca="1" si="47"/>
        <v>#N/A</v>
      </c>
      <c r="AH268" s="72" t="e">
        <f t="shared" ca="1" si="48"/>
        <v>#N/A</v>
      </c>
      <c r="AI268" s="3" t="e">
        <f t="shared" ca="1" si="49"/>
        <v>#N/A</v>
      </c>
    </row>
    <row r="269" spans="7:35" x14ac:dyDescent="0.25">
      <c r="G269" s="3">
        <f t="shared" ca="1" si="44"/>
        <v>269</v>
      </c>
      <c r="H269" s="104">
        <f t="shared" ca="1" si="46"/>
        <v>45194</v>
      </c>
      <c r="I269" s="131" t="e">
        <f>HLOOKUP($H$4,'Met Data'!$A$2:$F$368,G269,FALSE)</f>
        <v>#N/A</v>
      </c>
      <c r="J269" s="131" t="e">
        <f ca="1">HLOOKUP($H$4,'Met Data'!$H$2:$M$368,G269,FALSE)*L269</f>
        <v>#N/A</v>
      </c>
      <c r="K269" s="105" t="e">
        <f>HLOOKUP($H$4,'Met Data'!$O$2:$T$368,G269,FALSE)</f>
        <v>#N/A</v>
      </c>
      <c r="L269">
        <f t="shared" ca="1" si="40"/>
        <v>1</v>
      </c>
      <c r="N269" t="e">
        <f t="shared" ca="1" si="45"/>
        <v>#N/A</v>
      </c>
      <c r="O269" t="e">
        <f t="shared" ca="1" si="41"/>
        <v>#N/A</v>
      </c>
      <c r="P269" s="2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W269" t="e">
        <f ca="1"/>
        <v>#N/A</v>
      </c>
      <c r="X269" t="e">
        <f ca="1"/>
        <v>#N/A</v>
      </c>
      <c r="Y269" t="e">
        <f ca="1"/>
        <v>#N/A</v>
      </c>
      <c r="Z269" t="e">
        <f ca="1"/>
        <v>#N/A</v>
      </c>
      <c r="AA269" t="e">
        <f ca="1"/>
        <v>#N/A</v>
      </c>
      <c r="AB269" t="e">
        <f ca="1"/>
        <v>#N/A</v>
      </c>
      <c r="AD269" s="2">
        <f t="shared" ca="1" si="42"/>
        <v>0</v>
      </c>
      <c r="AE269" s="46">
        <f t="shared" ca="1" si="43"/>
        <v>0</v>
      </c>
      <c r="AG269" s="72" t="e">
        <f t="shared" ca="1" si="47"/>
        <v>#N/A</v>
      </c>
      <c r="AH269" s="72" t="e">
        <f t="shared" ca="1" si="48"/>
        <v>#N/A</v>
      </c>
      <c r="AI269" s="3" t="e">
        <f t="shared" ca="1" si="49"/>
        <v>#N/A</v>
      </c>
    </row>
    <row r="270" spans="7:35" x14ac:dyDescent="0.25">
      <c r="G270" s="3">
        <f t="shared" ca="1" si="44"/>
        <v>270</v>
      </c>
      <c r="H270" s="104">
        <f t="shared" ca="1" si="46"/>
        <v>45195</v>
      </c>
      <c r="I270" s="131" t="e">
        <f>HLOOKUP($H$4,'Met Data'!$A$2:$F$368,G270,FALSE)</f>
        <v>#N/A</v>
      </c>
      <c r="J270" s="131" t="e">
        <f ca="1">HLOOKUP($H$4,'Met Data'!$H$2:$M$368,G270,FALSE)*L270</f>
        <v>#N/A</v>
      </c>
      <c r="K270" s="105" t="e">
        <f>HLOOKUP($H$4,'Met Data'!$O$2:$T$368,G270,FALSE)</f>
        <v>#N/A</v>
      </c>
      <c r="L270">
        <f t="shared" ca="1" si="40"/>
        <v>1</v>
      </c>
      <c r="N270" t="e">
        <f t="shared" ca="1" si="45"/>
        <v>#N/A</v>
      </c>
      <c r="O270" t="e">
        <f t="shared" ca="1" si="41"/>
        <v>#N/A</v>
      </c>
      <c r="P270" s="2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W270" t="e">
        <f ca="1"/>
        <v>#N/A</v>
      </c>
      <c r="X270" t="e">
        <f ca="1"/>
        <v>#N/A</v>
      </c>
      <c r="Y270" t="e">
        <f ca="1"/>
        <v>#N/A</v>
      </c>
      <c r="Z270" t="e">
        <f ca="1"/>
        <v>#N/A</v>
      </c>
      <c r="AA270" t="e">
        <f ca="1"/>
        <v>#N/A</v>
      </c>
      <c r="AB270" t="e">
        <f ca="1"/>
        <v>#N/A</v>
      </c>
      <c r="AD270" s="2">
        <f t="shared" ca="1" si="42"/>
        <v>0</v>
      </c>
      <c r="AE270" s="46">
        <f t="shared" ca="1" si="43"/>
        <v>0</v>
      </c>
      <c r="AG270" s="72" t="e">
        <f t="shared" ca="1" si="47"/>
        <v>#N/A</v>
      </c>
      <c r="AH270" s="72" t="e">
        <f t="shared" ca="1" si="48"/>
        <v>#N/A</v>
      </c>
      <c r="AI270" s="3" t="e">
        <f t="shared" ca="1" si="49"/>
        <v>#N/A</v>
      </c>
    </row>
    <row r="271" spans="7:35" x14ac:dyDescent="0.25">
      <c r="G271" s="3">
        <f t="shared" ca="1" si="44"/>
        <v>271</v>
      </c>
      <c r="H271" s="104">
        <f t="shared" ca="1" si="46"/>
        <v>45196</v>
      </c>
      <c r="I271" s="131" t="e">
        <f>HLOOKUP($H$4,'Met Data'!$A$2:$F$368,G271,FALSE)</f>
        <v>#N/A</v>
      </c>
      <c r="J271" s="131" t="e">
        <f ca="1">HLOOKUP($H$4,'Met Data'!$H$2:$M$368,G271,FALSE)*L271</f>
        <v>#N/A</v>
      </c>
      <c r="K271" s="105" t="e">
        <f>HLOOKUP($H$4,'Met Data'!$O$2:$T$368,G271,FALSE)</f>
        <v>#N/A</v>
      </c>
      <c r="L271">
        <f t="shared" ca="1" si="40"/>
        <v>1</v>
      </c>
      <c r="N271" t="e">
        <f t="shared" ca="1" si="45"/>
        <v>#N/A</v>
      </c>
      <c r="O271" t="e">
        <f t="shared" ca="1" si="41"/>
        <v>#N/A</v>
      </c>
      <c r="P271" s="2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W271" t="e">
        <f ca="1"/>
        <v>#N/A</v>
      </c>
      <c r="X271" t="e">
        <f ca="1"/>
        <v>#N/A</v>
      </c>
      <c r="Y271" t="e">
        <f ca="1"/>
        <v>#N/A</v>
      </c>
      <c r="Z271" t="e">
        <f ca="1"/>
        <v>#N/A</v>
      </c>
      <c r="AA271" t="e">
        <f ca="1"/>
        <v>#N/A</v>
      </c>
      <c r="AB271" t="e">
        <f ca="1"/>
        <v>#N/A</v>
      </c>
      <c r="AD271" s="2">
        <f t="shared" ca="1" si="42"/>
        <v>0</v>
      </c>
      <c r="AE271" s="46">
        <f t="shared" ca="1" si="43"/>
        <v>0</v>
      </c>
      <c r="AG271" s="72" t="e">
        <f t="shared" ca="1" si="47"/>
        <v>#N/A</v>
      </c>
      <c r="AH271" s="72" t="e">
        <f t="shared" ca="1" si="48"/>
        <v>#N/A</v>
      </c>
      <c r="AI271" s="3" t="e">
        <f t="shared" ca="1" si="49"/>
        <v>#N/A</v>
      </c>
    </row>
    <row r="272" spans="7:35" x14ac:dyDescent="0.25">
      <c r="G272" s="3">
        <f t="shared" ca="1" si="44"/>
        <v>272</v>
      </c>
      <c r="H272" s="104">
        <f t="shared" ca="1" si="46"/>
        <v>45197</v>
      </c>
      <c r="I272" s="131" t="e">
        <f>HLOOKUP($H$4,'Met Data'!$A$2:$F$368,G272,FALSE)</f>
        <v>#N/A</v>
      </c>
      <c r="J272" s="131" t="e">
        <f ca="1">HLOOKUP($H$4,'Met Data'!$H$2:$M$368,G272,FALSE)*L272</f>
        <v>#N/A</v>
      </c>
      <c r="K272" s="105" t="e">
        <f>HLOOKUP($H$4,'Met Data'!$O$2:$T$368,G272,FALSE)</f>
        <v>#N/A</v>
      </c>
      <c r="L272">
        <f t="shared" ca="1" si="40"/>
        <v>1</v>
      </c>
      <c r="N272" t="e">
        <f t="shared" ca="1" si="45"/>
        <v>#N/A</v>
      </c>
      <c r="O272" t="e">
        <f t="shared" ca="1" si="41"/>
        <v>#N/A</v>
      </c>
      <c r="P272" s="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W272" t="e">
        <f ca="1"/>
        <v>#N/A</v>
      </c>
      <c r="X272" t="e">
        <f ca="1"/>
        <v>#N/A</v>
      </c>
      <c r="Y272" t="e">
        <f ca="1"/>
        <v>#N/A</v>
      </c>
      <c r="Z272" t="e">
        <f ca="1"/>
        <v>#N/A</v>
      </c>
      <c r="AA272" t="e">
        <f ca="1"/>
        <v>#N/A</v>
      </c>
      <c r="AB272" t="e">
        <f ca="1"/>
        <v>#N/A</v>
      </c>
      <c r="AD272" s="2">
        <f t="shared" ca="1" si="42"/>
        <v>0</v>
      </c>
      <c r="AE272" s="46">
        <f t="shared" ca="1" si="43"/>
        <v>0</v>
      </c>
      <c r="AG272" s="72" t="e">
        <f t="shared" ca="1" si="47"/>
        <v>#N/A</v>
      </c>
      <c r="AH272" s="72" t="e">
        <f t="shared" ca="1" si="48"/>
        <v>#N/A</v>
      </c>
      <c r="AI272" s="3" t="e">
        <f t="shared" ca="1" si="49"/>
        <v>#N/A</v>
      </c>
    </row>
    <row r="273" spans="7:35" x14ac:dyDescent="0.25">
      <c r="G273" s="3">
        <f t="shared" ca="1" si="44"/>
        <v>273</v>
      </c>
      <c r="H273" s="104">
        <f t="shared" ca="1" si="46"/>
        <v>45198</v>
      </c>
      <c r="I273" s="131" t="e">
        <f>HLOOKUP($H$4,'Met Data'!$A$2:$F$368,G273,FALSE)</f>
        <v>#N/A</v>
      </c>
      <c r="J273" s="131" t="e">
        <f ca="1">HLOOKUP($H$4,'Met Data'!$H$2:$M$368,G273,FALSE)*L273</f>
        <v>#N/A</v>
      </c>
      <c r="K273" s="105" t="e">
        <f>HLOOKUP($H$4,'Met Data'!$O$2:$T$368,G273,FALSE)</f>
        <v>#N/A</v>
      </c>
      <c r="L273">
        <f t="shared" ca="1" si="40"/>
        <v>1</v>
      </c>
      <c r="N273" t="e">
        <f t="shared" ca="1" si="45"/>
        <v>#N/A</v>
      </c>
      <c r="O273" t="e">
        <f t="shared" ca="1" si="41"/>
        <v>#N/A</v>
      </c>
      <c r="P273" s="2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W273" t="e">
        <f ca="1"/>
        <v>#N/A</v>
      </c>
      <c r="X273" t="e">
        <f ca="1"/>
        <v>#N/A</v>
      </c>
      <c r="Y273" t="e">
        <f ca="1"/>
        <v>#N/A</v>
      </c>
      <c r="Z273" t="e">
        <f ca="1"/>
        <v>#N/A</v>
      </c>
      <c r="AA273" t="e">
        <f ca="1"/>
        <v>#N/A</v>
      </c>
      <c r="AB273" t="e">
        <f ca="1"/>
        <v>#N/A</v>
      </c>
      <c r="AD273" s="2">
        <f t="shared" ca="1" si="42"/>
        <v>0</v>
      </c>
      <c r="AE273" s="46">
        <f t="shared" ca="1" si="43"/>
        <v>0</v>
      </c>
      <c r="AG273" s="72" t="e">
        <f t="shared" ca="1" si="47"/>
        <v>#N/A</v>
      </c>
      <c r="AH273" s="72" t="e">
        <f t="shared" ca="1" si="48"/>
        <v>#N/A</v>
      </c>
      <c r="AI273" s="3" t="e">
        <f t="shared" ca="1" si="49"/>
        <v>#N/A</v>
      </c>
    </row>
    <row r="274" spans="7:35" x14ac:dyDescent="0.25">
      <c r="G274" s="3">
        <f t="shared" ca="1" si="44"/>
        <v>274</v>
      </c>
      <c r="H274" s="104">
        <f t="shared" ca="1" si="46"/>
        <v>45199</v>
      </c>
      <c r="I274" s="131" t="e">
        <f>HLOOKUP($H$4,'Met Data'!$A$2:$F$368,G274,FALSE)</f>
        <v>#N/A</v>
      </c>
      <c r="J274" s="131" t="e">
        <f ca="1">HLOOKUP($H$4,'Met Data'!$H$2:$M$368,G274,FALSE)*L274</f>
        <v>#N/A</v>
      </c>
      <c r="K274" s="105" t="e">
        <f>HLOOKUP($H$4,'Met Data'!$O$2:$T$368,G274,FALSE)</f>
        <v>#N/A</v>
      </c>
      <c r="L274">
        <f t="shared" ca="1" si="40"/>
        <v>1</v>
      </c>
      <c r="N274" t="e">
        <f t="shared" ca="1" si="45"/>
        <v>#N/A</v>
      </c>
      <c r="O274" t="e">
        <f t="shared" ca="1" si="41"/>
        <v>#N/A</v>
      </c>
      <c r="P274" s="2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W274" t="e">
        <f ca="1"/>
        <v>#N/A</v>
      </c>
      <c r="X274" t="e">
        <f ca="1"/>
        <v>#N/A</v>
      </c>
      <c r="Y274" t="e">
        <f ca="1"/>
        <v>#N/A</v>
      </c>
      <c r="Z274" t="e">
        <f ca="1"/>
        <v>#N/A</v>
      </c>
      <c r="AA274" t="e">
        <f ca="1"/>
        <v>#N/A</v>
      </c>
      <c r="AB274" t="e">
        <f ca="1"/>
        <v>#N/A</v>
      </c>
      <c r="AD274" s="2">
        <f t="shared" ca="1" si="42"/>
        <v>0</v>
      </c>
      <c r="AE274" s="46">
        <f t="shared" ca="1" si="43"/>
        <v>0</v>
      </c>
      <c r="AG274" s="72" t="e">
        <f t="shared" ca="1" si="47"/>
        <v>#N/A</v>
      </c>
      <c r="AH274" s="72" t="e">
        <f t="shared" ca="1" si="48"/>
        <v>#N/A</v>
      </c>
      <c r="AI274" s="3" t="e">
        <f t="shared" ca="1" si="49"/>
        <v>#N/A</v>
      </c>
    </row>
    <row r="275" spans="7:35" x14ac:dyDescent="0.25">
      <c r="G275" s="3">
        <f t="shared" ca="1" si="44"/>
        <v>275</v>
      </c>
      <c r="H275" s="104">
        <f t="shared" ca="1" si="46"/>
        <v>45200</v>
      </c>
      <c r="I275" s="131" t="e">
        <f>HLOOKUP($H$4,'Met Data'!$A$2:$F$368,G275,FALSE)</f>
        <v>#N/A</v>
      </c>
      <c r="J275" s="131" t="e">
        <f ca="1">HLOOKUP($H$4,'Met Data'!$H$2:$M$368,G275,FALSE)*L275</f>
        <v>#N/A</v>
      </c>
      <c r="K275" s="105" t="e">
        <f>HLOOKUP($H$4,'Met Data'!$O$2:$T$368,G275,FALSE)</f>
        <v>#N/A</v>
      </c>
      <c r="L275">
        <f t="shared" ca="1" si="40"/>
        <v>1</v>
      </c>
      <c r="N275" t="e">
        <f t="shared" ca="1" si="45"/>
        <v>#N/A</v>
      </c>
      <c r="O275" t="e">
        <f t="shared" ca="1" si="41"/>
        <v>#N/A</v>
      </c>
      <c r="P275" s="2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W275" t="e">
        <f ca="1"/>
        <v>#N/A</v>
      </c>
      <c r="X275" t="e">
        <f ca="1"/>
        <v>#N/A</v>
      </c>
      <c r="Y275" t="e">
        <f ca="1"/>
        <v>#N/A</v>
      </c>
      <c r="Z275" t="e">
        <f ca="1"/>
        <v>#N/A</v>
      </c>
      <c r="AA275" t="e">
        <f ca="1"/>
        <v>#N/A</v>
      </c>
      <c r="AB275" t="e">
        <f ca="1"/>
        <v>#N/A</v>
      </c>
      <c r="AD275" s="2">
        <f t="shared" ca="1" si="42"/>
        <v>0</v>
      </c>
      <c r="AE275" s="46">
        <f t="shared" ca="1" si="43"/>
        <v>0</v>
      </c>
      <c r="AG275" s="72" t="e">
        <f t="shared" ca="1" si="47"/>
        <v>#N/A</v>
      </c>
      <c r="AH275" s="72" t="e">
        <f t="shared" ca="1" si="48"/>
        <v>#N/A</v>
      </c>
      <c r="AI275" s="3" t="e">
        <f t="shared" ca="1" si="49"/>
        <v>#N/A</v>
      </c>
    </row>
    <row r="276" spans="7:35" x14ac:dyDescent="0.25">
      <c r="G276" s="3">
        <f t="shared" ca="1" si="44"/>
        <v>276</v>
      </c>
      <c r="H276" s="104">
        <f t="shared" ca="1" si="46"/>
        <v>45201</v>
      </c>
      <c r="I276" s="131" t="e">
        <f>HLOOKUP($H$4,'Met Data'!$A$2:$F$368,G276,FALSE)</f>
        <v>#N/A</v>
      </c>
      <c r="J276" s="131" t="e">
        <f ca="1">HLOOKUP($H$4,'Met Data'!$H$2:$M$368,G276,FALSE)*L276</f>
        <v>#N/A</v>
      </c>
      <c r="K276" s="105" t="e">
        <f>HLOOKUP($H$4,'Met Data'!$O$2:$T$368,G276,FALSE)</f>
        <v>#N/A</v>
      </c>
      <c r="L276">
        <f t="shared" ca="1" si="40"/>
        <v>1</v>
      </c>
      <c r="N276" t="e">
        <f t="shared" ca="1" si="45"/>
        <v>#N/A</v>
      </c>
      <c r="O276" t="e">
        <f t="shared" ca="1" si="41"/>
        <v>#N/A</v>
      </c>
      <c r="P276" s="2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W276" t="e">
        <f ca="1"/>
        <v>#N/A</v>
      </c>
      <c r="X276" t="e">
        <f ca="1"/>
        <v>#N/A</v>
      </c>
      <c r="Y276" t="e">
        <f ca="1"/>
        <v>#N/A</v>
      </c>
      <c r="Z276" t="e">
        <f ca="1"/>
        <v>#N/A</v>
      </c>
      <c r="AA276" t="e">
        <f ca="1"/>
        <v>#N/A</v>
      </c>
      <c r="AB276" t="e">
        <f ca="1"/>
        <v>#N/A</v>
      </c>
      <c r="AD276" s="2">
        <f t="shared" ca="1" si="42"/>
        <v>0</v>
      </c>
      <c r="AE276" s="46">
        <f t="shared" ca="1" si="43"/>
        <v>0</v>
      </c>
      <c r="AG276" s="72" t="e">
        <f t="shared" ca="1" si="47"/>
        <v>#N/A</v>
      </c>
      <c r="AH276" s="72" t="e">
        <f t="shared" ca="1" si="48"/>
        <v>#N/A</v>
      </c>
      <c r="AI276" s="3" t="e">
        <f t="shared" ca="1" si="49"/>
        <v>#N/A</v>
      </c>
    </row>
    <row r="277" spans="7:35" x14ac:dyDescent="0.25">
      <c r="G277" s="3">
        <f t="shared" ca="1" si="44"/>
        <v>277</v>
      </c>
      <c r="H277" s="104">
        <f t="shared" ca="1" si="46"/>
        <v>45202</v>
      </c>
      <c r="I277" s="131" t="e">
        <f>HLOOKUP($H$4,'Met Data'!$A$2:$F$368,G277,FALSE)</f>
        <v>#N/A</v>
      </c>
      <c r="J277" s="131" t="e">
        <f ca="1">HLOOKUP($H$4,'Met Data'!$H$2:$M$368,G277,FALSE)*L277</f>
        <v>#N/A</v>
      </c>
      <c r="K277" s="105" t="e">
        <f>HLOOKUP($H$4,'Met Data'!$O$2:$T$368,G277,FALSE)</f>
        <v>#N/A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 s="46">
        <f t="shared" ca="1" si="43"/>
        <v>0</v>
      </c>
      <c r="AG277" s="72" t="e">
        <f t="shared" ca="1" si="47"/>
        <v>#N/A</v>
      </c>
      <c r="AH277" s="72" t="e">
        <f t="shared" ca="1" si="48"/>
        <v>#N/A</v>
      </c>
      <c r="AI277" s="3" t="e">
        <f t="shared" ca="1" si="49"/>
        <v>#N/A</v>
      </c>
    </row>
    <row r="278" spans="7:35" x14ac:dyDescent="0.25">
      <c r="G278" s="3">
        <f t="shared" ca="1" si="44"/>
        <v>278</v>
      </c>
      <c r="H278" s="104">
        <f t="shared" ca="1" si="46"/>
        <v>45203</v>
      </c>
      <c r="I278" s="131" t="e">
        <f>HLOOKUP($H$4,'Met Data'!$A$2:$F$368,G278,FALSE)</f>
        <v>#N/A</v>
      </c>
      <c r="J278" s="131" t="e">
        <f ca="1">HLOOKUP($H$4,'Met Data'!$H$2:$M$368,G278,FALSE)*L278</f>
        <v>#N/A</v>
      </c>
      <c r="K278" s="105" t="e">
        <f>HLOOKUP($H$4,'Met Data'!$O$2:$T$368,G278,FALSE)</f>
        <v>#N/A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 s="46">
        <f t="shared" ca="1" si="43"/>
        <v>0</v>
      </c>
      <c r="AG278" s="72" t="e">
        <f t="shared" ca="1" si="47"/>
        <v>#N/A</v>
      </c>
      <c r="AH278" s="72" t="e">
        <f t="shared" ca="1" si="48"/>
        <v>#N/A</v>
      </c>
      <c r="AI278" s="3" t="e">
        <f t="shared" ca="1" si="49"/>
        <v>#N/A</v>
      </c>
    </row>
    <row r="279" spans="7:35" x14ac:dyDescent="0.25">
      <c r="G279" s="3">
        <f t="shared" ca="1" si="44"/>
        <v>279</v>
      </c>
      <c r="H279" s="104">
        <f t="shared" ca="1" si="46"/>
        <v>45204</v>
      </c>
      <c r="I279" s="131" t="e">
        <f>HLOOKUP($H$4,'Met Data'!$A$2:$F$368,G279,FALSE)</f>
        <v>#N/A</v>
      </c>
      <c r="J279" s="131" t="e">
        <f ca="1">HLOOKUP($H$4,'Met Data'!$H$2:$M$368,G279,FALSE)*L279</f>
        <v>#N/A</v>
      </c>
      <c r="K279" s="105" t="e">
        <f>HLOOKUP($H$4,'Met Data'!$O$2:$T$368,G279,FALSE)</f>
        <v>#N/A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 s="46">
        <f t="shared" ca="1" si="43"/>
        <v>0</v>
      </c>
      <c r="AG279" s="72" t="e">
        <f t="shared" ca="1" si="47"/>
        <v>#N/A</v>
      </c>
      <c r="AH279" s="72" t="e">
        <f t="shared" ca="1" si="48"/>
        <v>#N/A</v>
      </c>
      <c r="AI279" s="3" t="e">
        <f t="shared" ca="1" si="49"/>
        <v>#N/A</v>
      </c>
    </row>
    <row r="280" spans="7:35" x14ac:dyDescent="0.25">
      <c r="G280" s="3">
        <f t="shared" ca="1" si="44"/>
        <v>280</v>
      </c>
      <c r="H280" s="104">
        <f t="shared" ca="1" si="46"/>
        <v>45205</v>
      </c>
      <c r="I280" s="131" t="e">
        <f>HLOOKUP($H$4,'Met Data'!$A$2:$F$368,G280,FALSE)</f>
        <v>#N/A</v>
      </c>
      <c r="J280" s="131" t="e">
        <f ca="1">HLOOKUP($H$4,'Met Data'!$H$2:$M$368,G280,FALSE)*L280</f>
        <v>#N/A</v>
      </c>
      <c r="K280" s="105" t="e">
        <f>HLOOKUP($H$4,'Met Data'!$O$2:$T$368,G280,FALSE)</f>
        <v>#N/A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 s="46">
        <f t="shared" ca="1" si="43"/>
        <v>0</v>
      </c>
      <c r="AG280" s="72" t="e">
        <f t="shared" ca="1" si="47"/>
        <v>#N/A</v>
      </c>
      <c r="AH280" s="72" t="e">
        <f t="shared" ca="1" si="48"/>
        <v>#N/A</v>
      </c>
      <c r="AI280" s="3" t="e">
        <f t="shared" ca="1" si="49"/>
        <v>#N/A</v>
      </c>
    </row>
    <row r="281" spans="7:35" x14ac:dyDescent="0.25">
      <c r="G281" s="3">
        <f t="shared" ca="1" si="44"/>
        <v>281</v>
      </c>
      <c r="H281" s="104">
        <f t="shared" ca="1" si="46"/>
        <v>45206</v>
      </c>
      <c r="I281" s="131" t="e">
        <f>HLOOKUP($H$4,'Met Data'!$A$2:$F$368,G281,FALSE)</f>
        <v>#N/A</v>
      </c>
      <c r="J281" s="131" t="e">
        <f ca="1">HLOOKUP($H$4,'Met Data'!$H$2:$M$368,G281,FALSE)*L281</f>
        <v>#N/A</v>
      </c>
      <c r="K281" s="105" t="e">
        <f>HLOOKUP($H$4,'Met Data'!$O$2:$T$368,G281,FALSE)</f>
        <v>#N/A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 s="46">
        <f t="shared" ca="1" si="43"/>
        <v>0</v>
      </c>
      <c r="AG281" s="72" t="e">
        <f t="shared" ca="1" si="47"/>
        <v>#N/A</v>
      </c>
      <c r="AH281" s="72" t="e">
        <f t="shared" ca="1" si="48"/>
        <v>#N/A</v>
      </c>
      <c r="AI281" s="3" t="e">
        <f t="shared" ca="1" si="49"/>
        <v>#N/A</v>
      </c>
    </row>
    <row r="282" spans="7:35" x14ac:dyDescent="0.25">
      <c r="G282" s="3">
        <f t="shared" ca="1" si="44"/>
        <v>282</v>
      </c>
      <c r="H282" s="104">
        <f t="shared" ca="1" si="46"/>
        <v>45207</v>
      </c>
      <c r="I282" s="131" t="e">
        <f>HLOOKUP($H$4,'Met Data'!$A$2:$F$368,G282,FALSE)</f>
        <v>#N/A</v>
      </c>
      <c r="J282" s="131" t="e">
        <f ca="1">HLOOKUP($H$4,'Met Data'!$H$2:$M$368,G282,FALSE)*L282</f>
        <v>#N/A</v>
      </c>
      <c r="K282" s="105" t="e">
        <f>HLOOKUP($H$4,'Met Data'!$O$2:$T$368,G282,FALSE)</f>
        <v>#N/A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 s="46">
        <f t="shared" ca="1" si="43"/>
        <v>0</v>
      </c>
      <c r="AG282" s="72" t="e">
        <f t="shared" ca="1" si="47"/>
        <v>#N/A</v>
      </c>
      <c r="AH282" s="72" t="e">
        <f t="shared" ca="1" si="48"/>
        <v>#N/A</v>
      </c>
      <c r="AI282" s="3" t="e">
        <f t="shared" ca="1" si="49"/>
        <v>#N/A</v>
      </c>
    </row>
    <row r="283" spans="7:35" x14ac:dyDescent="0.25">
      <c r="G283" s="3">
        <f t="shared" ca="1" si="44"/>
        <v>283</v>
      </c>
      <c r="H283" s="104">
        <f t="shared" ca="1" si="46"/>
        <v>45208</v>
      </c>
      <c r="I283" s="131" t="e">
        <f>HLOOKUP($H$4,'Met Data'!$A$2:$F$368,G283,FALSE)</f>
        <v>#N/A</v>
      </c>
      <c r="J283" s="131" t="e">
        <f ca="1">HLOOKUP($H$4,'Met Data'!$H$2:$M$368,G283,FALSE)*L283</f>
        <v>#N/A</v>
      </c>
      <c r="K283" s="105" t="e">
        <f>HLOOKUP($H$4,'Met Data'!$O$2:$T$368,G283,FALSE)</f>
        <v>#N/A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#N/A</v>
      </c>
      <c r="AH283" s="7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284</v>
      </c>
      <c r="H284" s="104">
        <f t="shared" ca="1" si="46"/>
        <v>45209</v>
      </c>
      <c r="I284" s="131" t="e">
        <f>HLOOKUP($H$4,'Met Data'!$A$2:$F$368,G284,FALSE)</f>
        <v>#N/A</v>
      </c>
      <c r="J284" s="131" t="e">
        <f ca="1">HLOOKUP($H$4,'Met Data'!$H$2:$M$368,G284,FALSE)*L284</f>
        <v>#N/A</v>
      </c>
      <c r="K284" s="105" t="e">
        <f>HLOOKUP($H$4,'Met Data'!$O$2:$T$368,G284,FALSE)</f>
        <v>#N/A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#N/A</v>
      </c>
      <c r="AH284" s="7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285</v>
      </c>
      <c r="H285" s="104">
        <f t="shared" ca="1" si="46"/>
        <v>45210</v>
      </c>
      <c r="I285" s="131" t="e">
        <f>HLOOKUP($H$4,'Met Data'!$A$2:$F$368,G285,FALSE)</f>
        <v>#N/A</v>
      </c>
      <c r="J285" s="131" t="e">
        <f ca="1">HLOOKUP($H$4,'Met Data'!$H$2:$M$368,G285,FALSE)*L285</f>
        <v>#N/A</v>
      </c>
      <c r="K285" s="105" t="e">
        <f>HLOOKUP($H$4,'Met Data'!$O$2:$T$368,G285,FALSE)</f>
        <v>#N/A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286</v>
      </c>
      <c r="H286" s="104">
        <f t="shared" ca="1" si="46"/>
        <v>45211</v>
      </c>
      <c r="I286" s="131" t="e">
        <f>HLOOKUP($H$4,'Met Data'!$A$2:$F$368,G286,FALSE)</f>
        <v>#N/A</v>
      </c>
      <c r="J286" s="131" t="e">
        <f ca="1">HLOOKUP($H$4,'Met Data'!$H$2:$M$368,G286,FALSE)*L286</f>
        <v>#N/A</v>
      </c>
      <c r="K286" s="105" t="e">
        <f>HLOOKUP($H$4,'Met Data'!$O$2:$T$368,G286,FALSE)</f>
        <v>#N/A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287</v>
      </c>
      <c r="H287" s="104">
        <f t="shared" ca="1" si="46"/>
        <v>45212</v>
      </c>
      <c r="I287" s="131" t="e">
        <f>HLOOKUP($H$4,'Met Data'!$A$2:$F$368,G287,FALSE)</f>
        <v>#N/A</v>
      </c>
      <c r="J287" s="131" t="e">
        <f ca="1">HLOOKUP($H$4,'Met Data'!$H$2:$M$368,G287,FALSE)*L287</f>
        <v>#N/A</v>
      </c>
      <c r="K287" s="105" t="e">
        <f>HLOOKUP($H$4,'Met Data'!$O$2:$T$368,G287,FALSE)</f>
        <v>#N/A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288</v>
      </c>
      <c r="H288" s="104">
        <f t="shared" ca="1" si="46"/>
        <v>45213</v>
      </c>
      <c r="I288" s="131" t="e">
        <f>HLOOKUP($H$4,'Met Data'!$A$2:$F$368,G288,FALSE)</f>
        <v>#N/A</v>
      </c>
      <c r="J288" s="131" t="e">
        <f ca="1">HLOOKUP($H$4,'Met Data'!$H$2:$M$368,G288,FALSE)*L288</f>
        <v>#N/A</v>
      </c>
      <c r="K288" s="105" t="e">
        <f>HLOOKUP($H$4,'Met Data'!$O$2:$T$368,G288,FALSE)</f>
        <v>#N/A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289</v>
      </c>
      <c r="H289" s="104">
        <f t="shared" ca="1" si="46"/>
        <v>45214</v>
      </c>
      <c r="I289" s="131" t="e">
        <f>HLOOKUP($H$4,'Met Data'!$A$2:$F$368,G289,FALSE)</f>
        <v>#N/A</v>
      </c>
      <c r="J289" s="131" t="e">
        <f ca="1">HLOOKUP($H$4,'Met Data'!$H$2:$M$368,G289,FALSE)*L289</f>
        <v>#N/A</v>
      </c>
      <c r="K289" s="105" t="e">
        <f>HLOOKUP($H$4,'Met Data'!$O$2:$T$368,G289,FALSE)</f>
        <v>#N/A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290</v>
      </c>
      <c r="H290" s="104">
        <f t="shared" ca="1" si="46"/>
        <v>45215</v>
      </c>
      <c r="I290" s="131" t="e">
        <f>HLOOKUP($H$4,'Met Data'!$A$2:$F$368,G290,FALSE)</f>
        <v>#N/A</v>
      </c>
      <c r="J290" s="131" t="e">
        <f ca="1">HLOOKUP($H$4,'Met Data'!$H$2:$M$368,G290,FALSE)*L290</f>
        <v>#N/A</v>
      </c>
      <c r="K290" s="105" t="e">
        <f>HLOOKUP($H$4,'Met Data'!$O$2:$T$368,G290,FALSE)</f>
        <v>#N/A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291</v>
      </c>
      <c r="H291" s="104">
        <f t="shared" ca="1" si="46"/>
        <v>45216</v>
      </c>
      <c r="I291" s="131" t="e">
        <f>HLOOKUP($H$4,'Met Data'!$A$2:$F$368,G291,FALSE)</f>
        <v>#N/A</v>
      </c>
      <c r="J291" s="131" t="e">
        <f ca="1">HLOOKUP($H$4,'Met Data'!$H$2:$M$368,G291,FALSE)*L291</f>
        <v>#N/A</v>
      </c>
      <c r="K291" s="105" t="e">
        <f>HLOOKUP($H$4,'Met Data'!$O$2:$T$368,G291,FALSE)</f>
        <v>#N/A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292</v>
      </c>
      <c r="H292" s="104">
        <f t="shared" ca="1" si="46"/>
        <v>45217</v>
      </c>
      <c r="I292" s="131" t="e">
        <f>HLOOKUP($H$4,'Met Data'!$A$2:$F$368,G292,FALSE)</f>
        <v>#N/A</v>
      </c>
      <c r="J292" s="131" t="e">
        <f ca="1">HLOOKUP($H$4,'Met Data'!$H$2:$M$368,G292,FALSE)*L292</f>
        <v>#N/A</v>
      </c>
      <c r="K292" s="105" t="e">
        <f>HLOOKUP($H$4,'Met Data'!$O$2:$T$368,G292,FALSE)</f>
        <v>#N/A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293</v>
      </c>
      <c r="H293" s="104">
        <f t="shared" ca="1" si="46"/>
        <v>45218</v>
      </c>
      <c r="I293" s="131" t="e">
        <f>HLOOKUP($H$4,'Met Data'!$A$2:$F$368,G293,FALSE)</f>
        <v>#N/A</v>
      </c>
      <c r="J293" s="131" t="e">
        <f ca="1">HLOOKUP($H$4,'Met Data'!$H$2:$M$368,G293,FALSE)*L293</f>
        <v>#N/A</v>
      </c>
      <c r="K293" s="105" t="e">
        <f>HLOOKUP($H$4,'Met Data'!$O$2:$T$368,G293,FALSE)</f>
        <v>#N/A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294</v>
      </c>
      <c r="H294" s="104">
        <f t="shared" ca="1" si="46"/>
        <v>45219</v>
      </c>
      <c r="I294" s="131" t="e">
        <f>HLOOKUP($H$4,'Met Data'!$A$2:$F$368,G294,FALSE)</f>
        <v>#N/A</v>
      </c>
      <c r="J294" s="131" t="e">
        <f ca="1">HLOOKUP($H$4,'Met Data'!$H$2:$M$368,G294,FALSE)*L294</f>
        <v>#N/A</v>
      </c>
      <c r="K294" s="105" t="e">
        <f>HLOOKUP($H$4,'Met Data'!$O$2:$T$368,G294,FALSE)</f>
        <v>#N/A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295</v>
      </c>
      <c r="H295" s="104">
        <f t="shared" ca="1" si="46"/>
        <v>45220</v>
      </c>
      <c r="I295" s="131" t="e">
        <f>HLOOKUP($H$4,'Met Data'!$A$2:$F$368,G295,FALSE)</f>
        <v>#N/A</v>
      </c>
      <c r="J295" s="131" t="e">
        <f ca="1">HLOOKUP($H$4,'Met Data'!$H$2:$M$368,G295,FALSE)*L295</f>
        <v>#N/A</v>
      </c>
      <c r="K295" s="105" t="e">
        <f>HLOOKUP($H$4,'Met Data'!$O$2:$T$368,G295,FALSE)</f>
        <v>#N/A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296</v>
      </c>
      <c r="H296" s="104">
        <f t="shared" ca="1" si="46"/>
        <v>45221</v>
      </c>
      <c r="I296" s="131" t="e">
        <f>HLOOKUP($H$4,'Met Data'!$A$2:$F$368,G296,FALSE)</f>
        <v>#N/A</v>
      </c>
      <c r="J296" s="131" t="e">
        <f ca="1">HLOOKUP($H$4,'Met Data'!$H$2:$M$368,G296,FALSE)*L296</f>
        <v>#N/A</v>
      </c>
      <c r="K296" s="105" t="e">
        <f>HLOOKUP($H$4,'Met Data'!$O$2:$T$368,G296,FALSE)</f>
        <v>#N/A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297</v>
      </c>
      <c r="H297" s="104">
        <f t="shared" ca="1" si="46"/>
        <v>45222</v>
      </c>
      <c r="I297" s="131" t="e">
        <f>HLOOKUP($H$4,'Met Data'!$A$2:$F$368,G297,FALSE)</f>
        <v>#N/A</v>
      </c>
      <c r="J297" s="131" t="e">
        <f ca="1">HLOOKUP($H$4,'Met Data'!$H$2:$M$368,G297,FALSE)*L297</f>
        <v>#N/A</v>
      </c>
      <c r="K297" s="105" t="e">
        <f>HLOOKUP($H$4,'Met Data'!$O$2:$T$368,G297,FALSE)</f>
        <v>#N/A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298</v>
      </c>
      <c r="H298" s="104">
        <f t="shared" ca="1" si="46"/>
        <v>45223</v>
      </c>
      <c r="I298" s="131" t="e">
        <f>HLOOKUP($H$4,'Met Data'!$A$2:$F$368,G298,FALSE)</f>
        <v>#N/A</v>
      </c>
      <c r="J298" s="131" t="e">
        <f ca="1">HLOOKUP($H$4,'Met Data'!$H$2:$M$368,G298,FALSE)*L298</f>
        <v>#N/A</v>
      </c>
      <c r="K298" s="105" t="e">
        <f>HLOOKUP($H$4,'Met Data'!$O$2:$T$368,G298,FALSE)</f>
        <v>#N/A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299</v>
      </c>
      <c r="H299" s="104">
        <f t="shared" ca="1" si="46"/>
        <v>45224</v>
      </c>
      <c r="I299" s="131" t="e">
        <f>HLOOKUP($H$4,'Met Data'!$A$2:$F$368,G299,FALSE)</f>
        <v>#N/A</v>
      </c>
      <c r="J299" s="131" t="e">
        <f ca="1">HLOOKUP($H$4,'Met Data'!$H$2:$M$368,G299,FALSE)*L299</f>
        <v>#N/A</v>
      </c>
      <c r="K299" s="105" t="e">
        <f>HLOOKUP($H$4,'Met Data'!$O$2:$T$368,G299,FALSE)</f>
        <v>#N/A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300</v>
      </c>
      <c r="H300" s="104">
        <f t="shared" ca="1" si="46"/>
        <v>45225</v>
      </c>
      <c r="I300" s="131" t="e">
        <f>HLOOKUP($H$4,'Met Data'!$A$2:$F$368,G300,FALSE)</f>
        <v>#N/A</v>
      </c>
      <c r="J300" s="131" t="e">
        <f ca="1">HLOOKUP($H$4,'Met Data'!$H$2:$M$368,G300,FALSE)*L300</f>
        <v>#N/A</v>
      </c>
      <c r="K300" s="105" t="e">
        <f>HLOOKUP($H$4,'Met Data'!$O$2:$T$368,G300,FALSE)</f>
        <v>#N/A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301</v>
      </c>
      <c r="H301" s="104">
        <f t="shared" ca="1" si="46"/>
        <v>45226</v>
      </c>
      <c r="I301" s="131" t="e">
        <f>HLOOKUP($H$4,'Met Data'!$A$2:$F$368,G301,FALSE)</f>
        <v>#N/A</v>
      </c>
      <c r="J301" s="131" t="e">
        <f ca="1">HLOOKUP($H$4,'Met Data'!$H$2:$M$368,G301,FALSE)*L301</f>
        <v>#N/A</v>
      </c>
      <c r="K301" s="105" t="e">
        <f>HLOOKUP($H$4,'Met Data'!$O$2:$T$368,G301,FALSE)</f>
        <v>#N/A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302</v>
      </c>
      <c r="H302" s="104">
        <f t="shared" ca="1" si="46"/>
        <v>45227</v>
      </c>
      <c r="I302" s="131" t="e">
        <f>HLOOKUP($H$4,'Met Data'!$A$2:$F$368,G302,FALSE)</f>
        <v>#N/A</v>
      </c>
      <c r="J302" s="131" t="e">
        <f ca="1">HLOOKUP($H$4,'Met Data'!$H$2:$M$368,G302,FALSE)*L302</f>
        <v>#N/A</v>
      </c>
      <c r="K302" s="105" t="e">
        <f>HLOOKUP($H$4,'Met Data'!$O$2:$T$368,G302,FALSE)</f>
        <v>#N/A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303</v>
      </c>
      <c r="H303" s="104">
        <f t="shared" ca="1" si="46"/>
        <v>45228</v>
      </c>
      <c r="I303" s="131" t="e">
        <f>HLOOKUP($H$4,'Met Data'!$A$2:$F$368,G303,FALSE)</f>
        <v>#N/A</v>
      </c>
      <c r="J303" s="131" t="e">
        <f ca="1">HLOOKUP($H$4,'Met Data'!$H$2:$M$368,G303,FALSE)*L303</f>
        <v>#N/A</v>
      </c>
      <c r="K303" s="105" t="e">
        <f>HLOOKUP($H$4,'Met Data'!$O$2:$T$368,G303,FALSE)</f>
        <v>#N/A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304</v>
      </c>
      <c r="H304" s="104">
        <f t="shared" ca="1" si="46"/>
        <v>45229</v>
      </c>
      <c r="I304" s="131" t="e">
        <f>HLOOKUP($H$4,'Met Data'!$A$2:$F$368,G304,FALSE)</f>
        <v>#N/A</v>
      </c>
      <c r="J304" s="131" t="e">
        <f ca="1">HLOOKUP($H$4,'Met Data'!$H$2:$M$368,G304,FALSE)*L304</f>
        <v>#N/A</v>
      </c>
      <c r="K304" s="105" t="e">
        <f>HLOOKUP($H$4,'Met Data'!$O$2:$T$368,G304,FALSE)</f>
        <v>#N/A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305</v>
      </c>
      <c r="H305" s="104">
        <f t="shared" ca="1" si="46"/>
        <v>45230</v>
      </c>
      <c r="I305" s="131" t="e">
        <f>HLOOKUP($H$4,'Met Data'!$A$2:$F$368,G305,FALSE)</f>
        <v>#N/A</v>
      </c>
      <c r="J305" s="131" t="e">
        <f ca="1">HLOOKUP($H$4,'Met Data'!$H$2:$M$368,G305,FALSE)*L305</f>
        <v>#N/A</v>
      </c>
      <c r="K305" s="105" t="e">
        <f>HLOOKUP($H$4,'Met Data'!$O$2:$T$368,G305,FALSE)</f>
        <v>#N/A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306</v>
      </c>
      <c r="H306" s="104">
        <f t="shared" ca="1" si="46"/>
        <v>45231</v>
      </c>
      <c r="I306" s="131" t="e">
        <f>HLOOKUP($H$4,'Met Data'!$A$2:$F$368,G306,FALSE)</f>
        <v>#N/A</v>
      </c>
      <c r="J306" s="131" t="e">
        <f ca="1">HLOOKUP($H$4,'Met Data'!$H$2:$M$368,G306,FALSE)*L306</f>
        <v>#N/A</v>
      </c>
      <c r="K306" s="105" t="e">
        <f>HLOOKUP($H$4,'Met Data'!$O$2:$T$368,G306,FALSE)</f>
        <v>#N/A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307</v>
      </c>
      <c r="H307" s="104">
        <f t="shared" ca="1" si="46"/>
        <v>45232</v>
      </c>
      <c r="I307" s="131" t="e">
        <f>HLOOKUP($H$4,'Met Data'!$A$2:$F$368,G307,FALSE)</f>
        <v>#N/A</v>
      </c>
      <c r="J307" s="131" t="e">
        <f ca="1">HLOOKUP($H$4,'Met Data'!$H$2:$M$368,G307,FALSE)*L307</f>
        <v>#N/A</v>
      </c>
      <c r="K307" s="105" t="e">
        <f>HLOOKUP($H$4,'Met Data'!$O$2:$T$368,G307,FALSE)</f>
        <v>#N/A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308</v>
      </c>
      <c r="H308" s="104">
        <f t="shared" ca="1" si="46"/>
        <v>45233</v>
      </c>
      <c r="I308" s="131" t="e">
        <f>HLOOKUP($H$4,'Met Data'!$A$2:$F$368,G308,FALSE)</f>
        <v>#N/A</v>
      </c>
      <c r="J308" s="131" t="e">
        <f ca="1">HLOOKUP($H$4,'Met Data'!$H$2:$M$368,G308,FALSE)*L308</f>
        <v>#N/A</v>
      </c>
      <c r="K308" s="105" t="e">
        <f>HLOOKUP($H$4,'Met Data'!$O$2:$T$368,G308,FALSE)</f>
        <v>#N/A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309</v>
      </c>
      <c r="H309" s="104">
        <f t="shared" ca="1" si="46"/>
        <v>45234</v>
      </c>
      <c r="I309" s="131" t="e">
        <f>HLOOKUP($H$4,'Met Data'!$A$2:$F$368,G309,FALSE)</f>
        <v>#N/A</v>
      </c>
      <c r="J309" s="131" t="e">
        <f ca="1">HLOOKUP($H$4,'Met Data'!$H$2:$M$368,G309,FALSE)*L309</f>
        <v>#N/A</v>
      </c>
      <c r="K309" s="105" t="e">
        <f>HLOOKUP($H$4,'Met Data'!$O$2:$T$368,G309,FALSE)</f>
        <v>#N/A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310</v>
      </c>
      <c r="H310" s="104">
        <f t="shared" ca="1" si="46"/>
        <v>45235</v>
      </c>
      <c r="I310" s="131" t="e">
        <f>HLOOKUP($H$4,'Met Data'!$A$2:$F$368,G310,FALSE)</f>
        <v>#N/A</v>
      </c>
      <c r="J310" s="131" t="e">
        <f ca="1">HLOOKUP($H$4,'Met Data'!$H$2:$M$368,G310,FALSE)*L310</f>
        <v>#N/A</v>
      </c>
      <c r="K310" s="105" t="e">
        <f>HLOOKUP($H$4,'Met Data'!$O$2:$T$368,G310,FALSE)</f>
        <v>#N/A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311</v>
      </c>
      <c r="H311" s="104">
        <f t="shared" ca="1" si="46"/>
        <v>45236</v>
      </c>
      <c r="I311" s="131" t="e">
        <f>HLOOKUP($H$4,'Met Data'!$A$2:$F$368,G311,FALSE)</f>
        <v>#N/A</v>
      </c>
      <c r="J311" s="131" t="e">
        <f ca="1">HLOOKUP($H$4,'Met Data'!$H$2:$M$368,G311,FALSE)*L311</f>
        <v>#N/A</v>
      </c>
      <c r="K311" s="105" t="e">
        <f>HLOOKUP($H$4,'Met Data'!$O$2:$T$368,G311,FALSE)</f>
        <v>#N/A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312</v>
      </c>
      <c r="H312" s="104">
        <f t="shared" ca="1" si="46"/>
        <v>45237</v>
      </c>
      <c r="I312" s="131" t="e">
        <f>HLOOKUP($H$4,'Met Data'!$A$2:$F$368,G312,FALSE)</f>
        <v>#N/A</v>
      </c>
      <c r="J312" s="131" t="e">
        <f ca="1">HLOOKUP($H$4,'Met Data'!$H$2:$M$368,G312,FALSE)*L312</f>
        <v>#N/A</v>
      </c>
      <c r="K312" s="105" t="e">
        <f>HLOOKUP($H$4,'Met Data'!$O$2:$T$368,G312,FALSE)</f>
        <v>#N/A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313</v>
      </c>
      <c r="H313" s="104">
        <f t="shared" ca="1" si="46"/>
        <v>45238</v>
      </c>
      <c r="I313" s="131" t="e">
        <f>HLOOKUP($H$4,'Met Data'!$A$2:$F$368,G313,FALSE)</f>
        <v>#N/A</v>
      </c>
      <c r="J313" s="131" t="e">
        <f ca="1">HLOOKUP($H$4,'Met Data'!$H$2:$M$368,G313,FALSE)*L313</f>
        <v>#N/A</v>
      </c>
      <c r="K313" s="105" t="e">
        <f>HLOOKUP($H$4,'Met Data'!$O$2:$T$368,G313,FALSE)</f>
        <v>#N/A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314</v>
      </c>
      <c r="H314" s="104">
        <f t="shared" ca="1" si="46"/>
        <v>45239</v>
      </c>
      <c r="I314" s="131" t="e">
        <f>HLOOKUP($H$4,'Met Data'!$A$2:$F$368,G314,FALSE)</f>
        <v>#N/A</v>
      </c>
      <c r="J314" s="131" t="e">
        <f ca="1">HLOOKUP($H$4,'Met Data'!$H$2:$M$368,G314,FALSE)*L314</f>
        <v>#N/A</v>
      </c>
      <c r="K314" s="105" t="e">
        <f>HLOOKUP($H$4,'Met Data'!$O$2:$T$368,G314,FALSE)</f>
        <v>#N/A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315</v>
      </c>
      <c r="H315" s="104">
        <f t="shared" ca="1" si="46"/>
        <v>45240</v>
      </c>
      <c r="I315" s="131" t="e">
        <f>HLOOKUP($H$4,'Met Data'!$A$2:$F$368,G315,FALSE)</f>
        <v>#N/A</v>
      </c>
      <c r="J315" s="131" t="e">
        <f ca="1">HLOOKUP($H$4,'Met Data'!$H$2:$M$368,G315,FALSE)*L315</f>
        <v>#N/A</v>
      </c>
      <c r="K315" s="105" t="e">
        <f>HLOOKUP($H$4,'Met Data'!$O$2:$T$368,G315,FALSE)</f>
        <v>#N/A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316</v>
      </c>
      <c r="H316" s="104">
        <f t="shared" ca="1" si="46"/>
        <v>45241</v>
      </c>
      <c r="I316" s="131" t="e">
        <f>HLOOKUP($H$4,'Met Data'!$A$2:$F$368,G316,FALSE)</f>
        <v>#N/A</v>
      </c>
      <c r="J316" s="131" t="e">
        <f ca="1">HLOOKUP($H$4,'Met Data'!$H$2:$M$368,G316,FALSE)*L316</f>
        <v>#N/A</v>
      </c>
      <c r="K316" s="105" t="e">
        <f>HLOOKUP($H$4,'Met Data'!$O$2:$T$368,G316,FALSE)</f>
        <v>#N/A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317</v>
      </c>
      <c r="H317" s="104">
        <f t="shared" ca="1" si="46"/>
        <v>45242</v>
      </c>
      <c r="I317" s="131" t="e">
        <f>HLOOKUP($H$4,'Met Data'!$A$2:$F$368,G317,FALSE)</f>
        <v>#N/A</v>
      </c>
      <c r="J317" s="131" t="e">
        <f ca="1">HLOOKUP($H$4,'Met Data'!$H$2:$M$368,G317,FALSE)*L317</f>
        <v>#N/A</v>
      </c>
      <c r="K317" s="105" t="e">
        <f>HLOOKUP($H$4,'Met Data'!$O$2:$T$368,G317,FALSE)</f>
        <v>#N/A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318</v>
      </c>
      <c r="H318" s="104">
        <f t="shared" ca="1" si="46"/>
        <v>45243</v>
      </c>
      <c r="I318" s="131" t="e">
        <f>HLOOKUP($H$4,'Met Data'!$A$2:$F$368,G318,FALSE)</f>
        <v>#N/A</v>
      </c>
      <c r="J318" s="131" t="e">
        <f ca="1">HLOOKUP($H$4,'Met Data'!$H$2:$M$368,G318,FALSE)*L318</f>
        <v>#N/A</v>
      </c>
      <c r="K318" s="105" t="e">
        <f>HLOOKUP($H$4,'Met Data'!$O$2:$T$368,G318,FALSE)</f>
        <v>#N/A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319</v>
      </c>
      <c r="H319" s="104">
        <f t="shared" ca="1" si="46"/>
        <v>45244</v>
      </c>
      <c r="I319" s="131" t="e">
        <f>HLOOKUP($H$4,'Met Data'!$A$2:$F$368,G319,FALSE)</f>
        <v>#N/A</v>
      </c>
      <c r="J319" s="131" t="e">
        <f ca="1">HLOOKUP($H$4,'Met Data'!$H$2:$M$368,G319,FALSE)*L319</f>
        <v>#N/A</v>
      </c>
      <c r="K319" s="105" t="e">
        <f>HLOOKUP($H$4,'Met Data'!$O$2:$T$368,G319,FALSE)</f>
        <v>#N/A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320</v>
      </c>
      <c r="H320" s="104">
        <f t="shared" ca="1" si="46"/>
        <v>45245</v>
      </c>
      <c r="I320" s="131" t="e">
        <f>HLOOKUP($H$4,'Met Data'!$A$2:$F$368,G320,FALSE)</f>
        <v>#N/A</v>
      </c>
      <c r="J320" s="131" t="e">
        <f ca="1">HLOOKUP($H$4,'Met Data'!$H$2:$M$368,G320,FALSE)*L320</f>
        <v>#N/A</v>
      </c>
      <c r="K320" s="105" t="e">
        <f>HLOOKUP($H$4,'Met Data'!$O$2:$T$368,G320,FALSE)</f>
        <v>#N/A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321</v>
      </c>
      <c r="H321" s="104">
        <f t="shared" ca="1" si="46"/>
        <v>45246</v>
      </c>
      <c r="I321" s="131" t="e">
        <f>HLOOKUP($H$4,'Met Data'!$A$2:$F$368,G321,FALSE)</f>
        <v>#N/A</v>
      </c>
      <c r="J321" s="131" t="e">
        <f ca="1">HLOOKUP($H$4,'Met Data'!$H$2:$M$368,G321,FALSE)*L321</f>
        <v>#N/A</v>
      </c>
      <c r="K321" s="105" t="e">
        <f>HLOOKUP($H$4,'Met Data'!$O$2:$T$368,G321,FALSE)</f>
        <v>#N/A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322</v>
      </c>
      <c r="H322" s="104">
        <f t="shared" ca="1" si="46"/>
        <v>45247</v>
      </c>
      <c r="I322" s="131" t="e">
        <f>HLOOKUP($H$4,'Met Data'!$A$2:$F$368,G322,FALSE)</f>
        <v>#N/A</v>
      </c>
      <c r="J322" s="131" t="e">
        <f ca="1">HLOOKUP($H$4,'Met Data'!$H$2:$M$368,G322,FALSE)*L322</f>
        <v>#N/A</v>
      </c>
      <c r="K322" s="105" t="e">
        <f>HLOOKUP($H$4,'Met Data'!$O$2:$T$368,G322,FALSE)</f>
        <v>#N/A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323</v>
      </c>
      <c r="H323" s="104">
        <f t="shared" ca="1" si="46"/>
        <v>45248</v>
      </c>
      <c r="I323" s="131" t="e">
        <f>HLOOKUP($H$4,'Met Data'!$A$2:$F$368,G323,FALSE)</f>
        <v>#N/A</v>
      </c>
      <c r="J323" s="131" t="e">
        <f ca="1">HLOOKUP($H$4,'Met Data'!$H$2:$M$368,G323,FALSE)*L323</f>
        <v>#N/A</v>
      </c>
      <c r="K323" s="105" t="e">
        <f>HLOOKUP($H$4,'Met Data'!$O$2:$T$368,G323,FALSE)</f>
        <v>#N/A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324</v>
      </c>
      <c r="H324" s="104">
        <f t="shared" ca="1" si="46"/>
        <v>45249</v>
      </c>
      <c r="I324" s="131" t="e">
        <f>HLOOKUP($H$4,'Met Data'!$A$2:$F$368,G324,FALSE)</f>
        <v>#N/A</v>
      </c>
      <c r="J324" s="131" t="e">
        <f ca="1">HLOOKUP($H$4,'Met Data'!$H$2:$M$368,G324,FALSE)*L324</f>
        <v>#N/A</v>
      </c>
      <c r="K324" s="105" t="e">
        <f>HLOOKUP($H$4,'Met Data'!$O$2:$T$368,G324,FALSE)</f>
        <v>#N/A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325</v>
      </c>
      <c r="H325" s="104">
        <f t="shared" ca="1" si="46"/>
        <v>45250</v>
      </c>
      <c r="I325" s="131" t="e">
        <f>HLOOKUP($H$4,'Met Data'!$A$2:$F$368,G325,FALSE)</f>
        <v>#N/A</v>
      </c>
      <c r="J325" s="131" t="e">
        <f ca="1">HLOOKUP($H$4,'Met Data'!$H$2:$M$368,G325,FALSE)*L325</f>
        <v>#N/A</v>
      </c>
      <c r="K325" s="105" t="e">
        <f>HLOOKUP($H$4,'Met Data'!$O$2:$T$368,G325,FALSE)</f>
        <v>#N/A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326</v>
      </c>
      <c r="H326" s="104">
        <f t="shared" ca="1" si="46"/>
        <v>45251</v>
      </c>
      <c r="I326" s="131" t="e">
        <f>HLOOKUP($H$4,'Met Data'!$A$2:$F$368,G326,FALSE)</f>
        <v>#N/A</v>
      </c>
      <c r="J326" s="131" t="e">
        <f ca="1">HLOOKUP($H$4,'Met Data'!$H$2:$M$368,G326,FALSE)*L326</f>
        <v>#N/A</v>
      </c>
      <c r="K326" s="105" t="e">
        <f>HLOOKUP($H$4,'Met Data'!$O$2:$T$368,G326,FALSE)</f>
        <v>#N/A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327</v>
      </c>
      <c r="H327" s="104">
        <f t="shared" ca="1" si="46"/>
        <v>45252</v>
      </c>
      <c r="I327" s="131" t="e">
        <f>HLOOKUP($H$4,'Met Data'!$A$2:$F$368,G327,FALSE)</f>
        <v>#N/A</v>
      </c>
      <c r="J327" s="131" t="e">
        <f ca="1">HLOOKUP($H$4,'Met Data'!$H$2:$M$368,G327,FALSE)*L327</f>
        <v>#N/A</v>
      </c>
      <c r="K327" s="105" t="e">
        <f>HLOOKUP($H$4,'Met Data'!$O$2:$T$368,G327,FALSE)</f>
        <v>#N/A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328</v>
      </c>
      <c r="H328" s="104">
        <f t="shared" ref="H328:H391" ca="1" si="56">H327+1</f>
        <v>45253</v>
      </c>
      <c r="I328" s="131" t="e">
        <f>HLOOKUP($H$4,'Met Data'!$A$2:$F$368,G328,FALSE)</f>
        <v>#N/A</v>
      </c>
      <c r="J328" s="131" t="e">
        <f ca="1">HLOOKUP($H$4,'Met Data'!$H$2:$M$368,G328,FALSE)*L328</f>
        <v>#N/A</v>
      </c>
      <c r="K328" s="105" t="e">
        <f>HLOOKUP($H$4,'Met Data'!$O$2:$T$368,G328,FALSE)</f>
        <v>#N/A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329</v>
      </c>
      <c r="H329" s="104">
        <f t="shared" ca="1" si="56"/>
        <v>45254</v>
      </c>
      <c r="I329" s="131" t="e">
        <f>HLOOKUP($H$4,'Met Data'!$A$2:$F$368,G329,FALSE)</f>
        <v>#N/A</v>
      </c>
      <c r="J329" s="131" t="e">
        <f ca="1">HLOOKUP($H$4,'Met Data'!$H$2:$M$368,G329,FALSE)*L329</f>
        <v>#N/A</v>
      </c>
      <c r="K329" s="105" t="e">
        <f>HLOOKUP($H$4,'Met Data'!$O$2:$T$368,G329,FALSE)</f>
        <v>#N/A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330</v>
      </c>
      <c r="H330" s="104">
        <f t="shared" ca="1" si="56"/>
        <v>45255</v>
      </c>
      <c r="I330" s="131" t="e">
        <f>HLOOKUP($H$4,'Met Data'!$A$2:$F$368,G330,FALSE)</f>
        <v>#N/A</v>
      </c>
      <c r="J330" s="131" t="e">
        <f ca="1">HLOOKUP($H$4,'Met Data'!$H$2:$M$368,G330,FALSE)*L330</f>
        <v>#N/A</v>
      </c>
      <c r="K330" s="105" t="e">
        <f>HLOOKUP($H$4,'Met Data'!$O$2:$T$368,G330,FALSE)</f>
        <v>#N/A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331</v>
      </c>
      <c r="H331" s="104">
        <f t="shared" ca="1" si="56"/>
        <v>45256</v>
      </c>
      <c r="I331" s="131" t="e">
        <f>HLOOKUP($H$4,'Met Data'!$A$2:$F$368,G331,FALSE)</f>
        <v>#N/A</v>
      </c>
      <c r="J331" s="131" t="e">
        <f ca="1">HLOOKUP($H$4,'Met Data'!$H$2:$M$368,G331,FALSE)*L331</f>
        <v>#N/A</v>
      </c>
      <c r="K331" s="105" t="e">
        <f>HLOOKUP($H$4,'Met Data'!$O$2:$T$368,G331,FALSE)</f>
        <v>#N/A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332</v>
      </c>
      <c r="H332" s="104">
        <f t="shared" ca="1" si="56"/>
        <v>45257</v>
      </c>
      <c r="I332" s="131" t="e">
        <f>HLOOKUP($H$4,'Met Data'!$A$2:$F$368,G332,FALSE)</f>
        <v>#N/A</v>
      </c>
      <c r="J332" s="131" t="e">
        <f ca="1">HLOOKUP($H$4,'Met Data'!$H$2:$M$368,G332,FALSE)*L332</f>
        <v>#N/A</v>
      </c>
      <c r="K332" s="105" t="e">
        <f>HLOOKUP($H$4,'Met Data'!$O$2:$T$368,G332,FALSE)</f>
        <v>#N/A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333</v>
      </c>
      <c r="H333" s="104">
        <f t="shared" ca="1" si="56"/>
        <v>45258</v>
      </c>
      <c r="I333" s="131" t="e">
        <f>HLOOKUP($H$4,'Met Data'!$A$2:$F$368,G333,FALSE)</f>
        <v>#N/A</v>
      </c>
      <c r="J333" s="131" t="e">
        <f ca="1">HLOOKUP($H$4,'Met Data'!$H$2:$M$368,G333,FALSE)*L333</f>
        <v>#N/A</v>
      </c>
      <c r="K333" s="105" t="e">
        <f>HLOOKUP($H$4,'Met Data'!$O$2:$T$368,G333,FALSE)</f>
        <v>#N/A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334</v>
      </c>
      <c r="H334" s="104">
        <f t="shared" ca="1" si="56"/>
        <v>45259</v>
      </c>
      <c r="I334" s="131" t="e">
        <f>HLOOKUP($H$4,'Met Data'!$A$2:$F$368,G334,FALSE)</f>
        <v>#N/A</v>
      </c>
      <c r="J334" s="131" t="e">
        <f ca="1">HLOOKUP($H$4,'Met Data'!$H$2:$M$368,G334,FALSE)*L334</f>
        <v>#N/A</v>
      </c>
      <c r="K334" s="105" t="e">
        <f>HLOOKUP($H$4,'Met Data'!$O$2:$T$368,G334,FALSE)</f>
        <v>#N/A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335</v>
      </c>
      <c r="H335" s="104">
        <f t="shared" ca="1" si="56"/>
        <v>45260</v>
      </c>
      <c r="I335" s="131" t="e">
        <f>HLOOKUP($H$4,'Met Data'!$A$2:$F$368,G335,FALSE)</f>
        <v>#N/A</v>
      </c>
      <c r="J335" s="131" t="e">
        <f ca="1">HLOOKUP($H$4,'Met Data'!$H$2:$M$368,G335,FALSE)*L335</f>
        <v>#N/A</v>
      </c>
      <c r="K335" s="105" t="e">
        <f>HLOOKUP($H$4,'Met Data'!$O$2:$T$368,G335,FALSE)</f>
        <v>#N/A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336</v>
      </c>
      <c r="H336" s="104">
        <f t="shared" ca="1" si="56"/>
        <v>45261</v>
      </c>
      <c r="I336" s="131" t="e">
        <f>HLOOKUP($H$4,'Met Data'!$A$2:$F$368,G336,FALSE)</f>
        <v>#N/A</v>
      </c>
      <c r="J336" s="131" t="e">
        <f ca="1">HLOOKUP($H$4,'Met Data'!$H$2:$M$368,G336,FALSE)*L336</f>
        <v>#N/A</v>
      </c>
      <c r="K336" s="105" t="e">
        <f>HLOOKUP($H$4,'Met Data'!$O$2:$T$368,G336,FALSE)</f>
        <v>#N/A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337</v>
      </c>
      <c r="H337" s="104">
        <f t="shared" ca="1" si="56"/>
        <v>45262</v>
      </c>
      <c r="I337" s="131" t="e">
        <f>HLOOKUP($H$4,'Met Data'!$A$2:$F$368,G337,FALSE)</f>
        <v>#N/A</v>
      </c>
      <c r="J337" s="131" t="e">
        <f ca="1">HLOOKUP($H$4,'Met Data'!$H$2:$M$368,G337,FALSE)*L337</f>
        <v>#N/A</v>
      </c>
      <c r="K337" s="105" t="e">
        <f>HLOOKUP($H$4,'Met Data'!$O$2:$T$368,G337,FALSE)</f>
        <v>#N/A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338</v>
      </c>
      <c r="H338" s="104">
        <f t="shared" ca="1" si="56"/>
        <v>45263</v>
      </c>
      <c r="I338" s="131" t="e">
        <f>HLOOKUP($H$4,'Met Data'!$A$2:$F$368,G338,FALSE)</f>
        <v>#N/A</v>
      </c>
      <c r="J338" s="131" t="e">
        <f ca="1">HLOOKUP($H$4,'Met Data'!$H$2:$M$368,G338,FALSE)*L338</f>
        <v>#N/A</v>
      </c>
      <c r="K338" s="105" t="e">
        <f>HLOOKUP($H$4,'Met Data'!$O$2:$T$368,G338,FALSE)</f>
        <v>#N/A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339</v>
      </c>
      <c r="H339" s="104">
        <f t="shared" ca="1" si="56"/>
        <v>45264</v>
      </c>
      <c r="I339" s="131" t="e">
        <f>HLOOKUP($H$4,'Met Data'!$A$2:$F$368,G339,FALSE)</f>
        <v>#N/A</v>
      </c>
      <c r="J339" s="131" t="e">
        <f ca="1">HLOOKUP($H$4,'Met Data'!$H$2:$M$368,G339,FALSE)*L339</f>
        <v>#N/A</v>
      </c>
      <c r="K339" s="105" t="e">
        <f>HLOOKUP($H$4,'Met Data'!$O$2:$T$368,G339,FALSE)</f>
        <v>#N/A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340</v>
      </c>
      <c r="H340" s="104">
        <f t="shared" ca="1" si="56"/>
        <v>45265</v>
      </c>
      <c r="I340" s="131" t="e">
        <f>HLOOKUP($H$4,'Met Data'!$A$2:$F$368,G340,FALSE)</f>
        <v>#N/A</v>
      </c>
      <c r="J340" s="131" t="e">
        <f ca="1">HLOOKUP($H$4,'Met Data'!$H$2:$M$368,G340,FALSE)*L340</f>
        <v>#N/A</v>
      </c>
      <c r="K340" s="105" t="e">
        <f>HLOOKUP($H$4,'Met Data'!$O$2:$T$368,G340,FALSE)</f>
        <v>#N/A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341</v>
      </c>
      <c r="H341" s="104">
        <f t="shared" ca="1" si="56"/>
        <v>45266</v>
      </c>
      <c r="I341" s="131" t="e">
        <f>HLOOKUP($H$4,'Met Data'!$A$2:$F$368,G341,FALSE)</f>
        <v>#N/A</v>
      </c>
      <c r="J341" s="131" t="e">
        <f ca="1">HLOOKUP($H$4,'Met Data'!$H$2:$M$368,G341,FALSE)*L341</f>
        <v>#N/A</v>
      </c>
      <c r="K341" s="105" t="e">
        <f>HLOOKUP($H$4,'Met Data'!$O$2:$T$368,G341,FALSE)</f>
        <v>#N/A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342</v>
      </c>
      <c r="H342" s="104">
        <f t="shared" ca="1" si="56"/>
        <v>45267</v>
      </c>
      <c r="I342" s="131" t="e">
        <f>HLOOKUP($H$4,'Met Data'!$A$2:$F$368,G342,FALSE)</f>
        <v>#N/A</v>
      </c>
      <c r="J342" s="131" t="e">
        <f ca="1">HLOOKUP($H$4,'Met Data'!$H$2:$M$368,G342,FALSE)*L342</f>
        <v>#N/A</v>
      </c>
      <c r="K342" s="105" t="e">
        <f>HLOOKUP($H$4,'Met Data'!$O$2:$T$368,G342,FALSE)</f>
        <v>#N/A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343</v>
      </c>
      <c r="H343" s="104">
        <f t="shared" ca="1" si="56"/>
        <v>45268</v>
      </c>
      <c r="I343" s="131" t="e">
        <f>HLOOKUP($H$4,'Met Data'!$A$2:$F$368,G343,FALSE)</f>
        <v>#N/A</v>
      </c>
      <c r="J343" s="131" t="e">
        <f ca="1">HLOOKUP($H$4,'Met Data'!$H$2:$M$368,G343,FALSE)*L343</f>
        <v>#N/A</v>
      </c>
      <c r="K343" s="105" t="e">
        <f>HLOOKUP($H$4,'Met Data'!$O$2:$T$368,G343,FALSE)</f>
        <v>#N/A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344</v>
      </c>
      <c r="H344" s="104">
        <f t="shared" ca="1" si="56"/>
        <v>45269</v>
      </c>
      <c r="I344" s="131" t="e">
        <f>HLOOKUP($H$4,'Met Data'!$A$2:$F$368,G344,FALSE)</f>
        <v>#N/A</v>
      </c>
      <c r="J344" s="131" t="e">
        <f ca="1">HLOOKUP($H$4,'Met Data'!$H$2:$M$368,G344,FALSE)*L344</f>
        <v>#N/A</v>
      </c>
      <c r="K344" s="105" t="e">
        <f>HLOOKUP($H$4,'Met Data'!$O$2:$T$368,G344,FALSE)</f>
        <v>#N/A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345</v>
      </c>
      <c r="H345" s="104">
        <f t="shared" ca="1" si="56"/>
        <v>45270</v>
      </c>
      <c r="I345" s="131" t="e">
        <f>HLOOKUP($H$4,'Met Data'!$A$2:$F$368,G345,FALSE)</f>
        <v>#N/A</v>
      </c>
      <c r="J345" s="131" t="e">
        <f ca="1">HLOOKUP($H$4,'Met Data'!$H$2:$M$368,G345,FALSE)*L345</f>
        <v>#N/A</v>
      </c>
      <c r="K345" s="105" t="e">
        <f>HLOOKUP($H$4,'Met Data'!$O$2:$T$368,G345,FALSE)</f>
        <v>#N/A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346</v>
      </c>
      <c r="H346" s="104">
        <f t="shared" ca="1" si="56"/>
        <v>45271</v>
      </c>
      <c r="I346" s="131" t="e">
        <f>HLOOKUP($H$4,'Met Data'!$A$2:$F$368,G346,FALSE)</f>
        <v>#N/A</v>
      </c>
      <c r="J346" s="131" t="e">
        <f ca="1">HLOOKUP($H$4,'Met Data'!$H$2:$M$368,G346,FALSE)*L346</f>
        <v>#N/A</v>
      </c>
      <c r="K346" s="105" t="e">
        <f>HLOOKUP($H$4,'Met Data'!$O$2:$T$368,G346,FALSE)</f>
        <v>#N/A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347</v>
      </c>
      <c r="H347" s="104">
        <f t="shared" ca="1" si="56"/>
        <v>45272</v>
      </c>
      <c r="I347" s="131" t="e">
        <f>HLOOKUP($H$4,'Met Data'!$A$2:$F$368,G347,FALSE)</f>
        <v>#N/A</v>
      </c>
      <c r="J347" s="131" t="e">
        <f ca="1">HLOOKUP($H$4,'Met Data'!$H$2:$M$368,G347,FALSE)*L347</f>
        <v>#N/A</v>
      </c>
      <c r="K347" s="105" t="e">
        <f>HLOOKUP($H$4,'Met Data'!$O$2:$T$368,G347,FALSE)</f>
        <v>#N/A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348</v>
      </c>
      <c r="H348" s="104">
        <f t="shared" ca="1" si="56"/>
        <v>45273</v>
      </c>
      <c r="I348" s="131" t="e">
        <f>HLOOKUP($H$4,'Met Data'!$A$2:$F$368,G348,FALSE)</f>
        <v>#N/A</v>
      </c>
      <c r="J348" s="131" t="e">
        <f ca="1">HLOOKUP($H$4,'Met Data'!$H$2:$M$368,G348,FALSE)*L348</f>
        <v>#N/A</v>
      </c>
      <c r="K348" s="105" t="e">
        <f>HLOOKUP($H$4,'Met Data'!$O$2:$T$368,G348,FALSE)</f>
        <v>#N/A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349</v>
      </c>
      <c r="H349" s="104">
        <f t="shared" ca="1" si="56"/>
        <v>45274</v>
      </c>
      <c r="I349" s="131" t="e">
        <f>HLOOKUP($H$4,'Met Data'!$A$2:$F$368,G349,FALSE)</f>
        <v>#N/A</v>
      </c>
      <c r="J349" s="131" t="e">
        <f ca="1">HLOOKUP($H$4,'Met Data'!$H$2:$M$368,G349,FALSE)*L349</f>
        <v>#N/A</v>
      </c>
      <c r="K349" s="105" t="e">
        <f>HLOOKUP($H$4,'Met Data'!$O$2:$T$368,G349,FALSE)</f>
        <v>#N/A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350</v>
      </c>
      <c r="H350" s="104">
        <f t="shared" ca="1" si="56"/>
        <v>45275</v>
      </c>
      <c r="I350" s="131" t="e">
        <f>HLOOKUP($H$4,'Met Data'!$A$2:$F$368,G350,FALSE)</f>
        <v>#N/A</v>
      </c>
      <c r="J350" s="131" t="e">
        <f ca="1">HLOOKUP($H$4,'Met Data'!$H$2:$M$368,G350,FALSE)*L350</f>
        <v>#N/A</v>
      </c>
      <c r="K350" s="105" t="e">
        <f>HLOOKUP($H$4,'Met Data'!$O$2:$T$368,G350,FALSE)</f>
        <v>#N/A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351</v>
      </c>
      <c r="H351" s="104">
        <f t="shared" ca="1" si="56"/>
        <v>45276</v>
      </c>
      <c r="I351" s="131" t="e">
        <f>HLOOKUP($H$4,'Met Data'!$A$2:$F$368,G351,FALSE)</f>
        <v>#N/A</v>
      </c>
      <c r="J351" s="131" t="e">
        <f ca="1">HLOOKUP($H$4,'Met Data'!$H$2:$M$368,G351,FALSE)*L351</f>
        <v>#N/A</v>
      </c>
      <c r="K351" s="105" t="e">
        <f>HLOOKUP($H$4,'Met Data'!$O$2:$T$368,G351,FALSE)</f>
        <v>#N/A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352</v>
      </c>
      <c r="H352" s="104">
        <f t="shared" ca="1" si="56"/>
        <v>45277</v>
      </c>
      <c r="I352" s="131" t="e">
        <f>HLOOKUP($H$4,'Met Data'!$A$2:$F$368,G352,FALSE)</f>
        <v>#N/A</v>
      </c>
      <c r="J352" s="131" t="e">
        <f ca="1">HLOOKUP($H$4,'Met Data'!$H$2:$M$368,G352,FALSE)*L352</f>
        <v>#N/A</v>
      </c>
      <c r="K352" s="105" t="e">
        <f>HLOOKUP($H$4,'Met Data'!$O$2:$T$368,G352,FALSE)</f>
        <v>#N/A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353</v>
      </c>
      <c r="H353" s="104">
        <f t="shared" ca="1" si="56"/>
        <v>45278</v>
      </c>
      <c r="I353" s="131" t="e">
        <f>HLOOKUP($H$4,'Met Data'!$A$2:$F$368,G353,FALSE)</f>
        <v>#N/A</v>
      </c>
      <c r="J353" s="131" t="e">
        <f ca="1">HLOOKUP($H$4,'Met Data'!$H$2:$M$368,G353,FALSE)*L353</f>
        <v>#N/A</v>
      </c>
      <c r="K353" s="105" t="e">
        <f>HLOOKUP($H$4,'Met Data'!$O$2:$T$368,G353,FALSE)</f>
        <v>#N/A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354</v>
      </c>
      <c r="H354" s="104">
        <f t="shared" ca="1" si="56"/>
        <v>45279</v>
      </c>
      <c r="I354" s="131" t="e">
        <f>HLOOKUP($H$4,'Met Data'!$A$2:$F$368,G354,FALSE)</f>
        <v>#N/A</v>
      </c>
      <c r="J354" s="131" t="e">
        <f ca="1">HLOOKUP($H$4,'Met Data'!$H$2:$M$368,G354,FALSE)*L354</f>
        <v>#N/A</v>
      </c>
      <c r="K354" s="105" t="e">
        <f>HLOOKUP($H$4,'Met Data'!$O$2:$T$368,G354,FALSE)</f>
        <v>#N/A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355</v>
      </c>
      <c r="H355" s="104">
        <f t="shared" ca="1" si="56"/>
        <v>45280</v>
      </c>
      <c r="I355" s="131" t="e">
        <f>HLOOKUP($H$4,'Met Data'!$A$2:$F$368,G355,FALSE)</f>
        <v>#N/A</v>
      </c>
      <c r="J355" s="131" t="e">
        <f ca="1">HLOOKUP($H$4,'Met Data'!$H$2:$M$368,G355,FALSE)*L355</f>
        <v>#N/A</v>
      </c>
      <c r="K355" s="105" t="e">
        <f>HLOOKUP($H$4,'Met Data'!$O$2:$T$368,G355,FALSE)</f>
        <v>#N/A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356</v>
      </c>
      <c r="H356" s="104">
        <f t="shared" ca="1" si="56"/>
        <v>45281</v>
      </c>
      <c r="I356" s="131" t="e">
        <f>HLOOKUP($H$4,'Met Data'!$A$2:$F$368,G356,FALSE)</f>
        <v>#N/A</v>
      </c>
      <c r="J356" s="131" t="e">
        <f ca="1">HLOOKUP($H$4,'Met Data'!$H$2:$M$368,G356,FALSE)*L356</f>
        <v>#N/A</v>
      </c>
      <c r="K356" s="105" t="e">
        <f>HLOOKUP($H$4,'Met Data'!$O$2:$T$368,G356,FALSE)</f>
        <v>#N/A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357</v>
      </c>
      <c r="H357" s="104">
        <f t="shared" ca="1" si="56"/>
        <v>45282</v>
      </c>
      <c r="I357" s="131" t="e">
        <f>HLOOKUP($H$4,'Met Data'!$A$2:$F$368,G357,FALSE)</f>
        <v>#N/A</v>
      </c>
      <c r="J357" s="131" t="e">
        <f ca="1">HLOOKUP($H$4,'Met Data'!$H$2:$M$368,G357,FALSE)*L357</f>
        <v>#N/A</v>
      </c>
      <c r="K357" s="105" t="e">
        <f>HLOOKUP($H$4,'Met Data'!$O$2:$T$368,G357,FALSE)</f>
        <v>#N/A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358</v>
      </c>
      <c r="H358" s="104">
        <f t="shared" ca="1" si="56"/>
        <v>45283</v>
      </c>
      <c r="I358" s="131" t="e">
        <f>HLOOKUP($H$4,'Met Data'!$A$2:$F$368,G358,FALSE)</f>
        <v>#N/A</v>
      </c>
      <c r="J358" s="131" t="e">
        <f ca="1">HLOOKUP($H$4,'Met Data'!$H$2:$M$368,G358,FALSE)*L358</f>
        <v>#N/A</v>
      </c>
      <c r="K358" s="105" t="e">
        <f>HLOOKUP($H$4,'Met Data'!$O$2:$T$368,G358,FALSE)</f>
        <v>#N/A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359</v>
      </c>
      <c r="H359" s="104">
        <f t="shared" ca="1" si="56"/>
        <v>45284</v>
      </c>
      <c r="I359" s="131" t="e">
        <f>HLOOKUP($H$4,'Met Data'!$A$2:$F$368,G359,FALSE)</f>
        <v>#N/A</v>
      </c>
      <c r="J359" s="131" t="e">
        <f ca="1">HLOOKUP($H$4,'Met Data'!$H$2:$M$368,G359,FALSE)*L359</f>
        <v>#N/A</v>
      </c>
      <c r="K359" s="105" t="e">
        <f>HLOOKUP($H$4,'Met Data'!$O$2:$T$368,G359,FALSE)</f>
        <v>#N/A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360</v>
      </c>
      <c r="H360" s="104">
        <f t="shared" ca="1" si="56"/>
        <v>45285</v>
      </c>
      <c r="I360" s="131" t="e">
        <f>HLOOKUP($H$4,'Met Data'!$A$2:$F$368,G360,FALSE)</f>
        <v>#N/A</v>
      </c>
      <c r="J360" s="131" t="e">
        <f ca="1">HLOOKUP($H$4,'Met Data'!$H$2:$M$368,G360,FALSE)*L360</f>
        <v>#N/A</v>
      </c>
      <c r="K360" s="105" t="e">
        <f>HLOOKUP($H$4,'Met Data'!$O$2:$T$368,G360,FALSE)</f>
        <v>#N/A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361</v>
      </c>
      <c r="H361" s="104">
        <f t="shared" ca="1" si="56"/>
        <v>45286</v>
      </c>
      <c r="I361" s="131" t="e">
        <f>HLOOKUP($H$4,'Met Data'!$A$2:$F$368,G361,FALSE)</f>
        <v>#N/A</v>
      </c>
      <c r="J361" s="131" t="e">
        <f ca="1">HLOOKUP($H$4,'Met Data'!$H$2:$M$368,G361,FALSE)*L361</f>
        <v>#N/A</v>
      </c>
      <c r="K361" s="105" t="e">
        <f>HLOOKUP($H$4,'Met Data'!$O$2:$T$368,G361,FALSE)</f>
        <v>#N/A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362</v>
      </c>
      <c r="H362" s="104">
        <f t="shared" ca="1" si="56"/>
        <v>45287</v>
      </c>
      <c r="I362" s="131" t="e">
        <f>HLOOKUP($H$4,'Met Data'!$A$2:$F$368,G362,FALSE)</f>
        <v>#N/A</v>
      </c>
      <c r="J362" s="131" t="e">
        <f ca="1">HLOOKUP($H$4,'Met Data'!$H$2:$M$368,G362,FALSE)*L362</f>
        <v>#N/A</v>
      </c>
      <c r="K362" s="105" t="e">
        <f>HLOOKUP($H$4,'Met Data'!$O$2:$T$368,G362,FALSE)</f>
        <v>#N/A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363</v>
      </c>
      <c r="H363" s="104">
        <f t="shared" ca="1" si="56"/>
        <v>45288</v>
      </c>
      <c r="I363" s="131" t="e">
        <f>HLOOKUP($H$4,'Met Data'!$A$2:$F$368,G363,FALSE)</f>
        <v>#N/A</v>
      </c>
      <c r="J363" s="131" t="e">
        <f ca="1">HLOOKUP($H$4,'Met Data'!$H$2:$M$368,G363,FALSE)*L363</f>
        <v>#N/A</v>
      </c>
      <c r="K363" s="105" t="e">
        <f>HLOOKUP($H$4,'Met Data'!$O$2:$T$368,G363,FALSE)</f>
        <v>#N/A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364</v>
      </c>
      <c r="H364" s="104">
        <f t="shared" ca="1" si="56"/>
        <v>45289</v>
      </c>
      <c r="I364" s="131" t="e">
        <f>HLOOKUP($H$4,'Met Data'!$A$2:$F$368,G364,FALSE)</f>
        <v>#N/A</v>
      </c>
      <c r="J364" s="131" t="e">
        <f ca="1">HLOOKUP($H$4,'Met Data'!$H$2:$M$368,G364,FALSE)*L364</f>
        <v>#N/A</v>
      </c>
      <c r="K364" s="105" t="e">
        <f>HLOOKUP($H$4,'Met Data'!$O$2:$T$368,G364,FALSE)</f>
        <v>#N/A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365</v>
      </c>
      <c r="H365" s="104">
        <f t="shared" ca="1" si="56"/>
        <v>45290</v>
      </c>
      <c r="I365" s="131" t="e">
        <f>HLOOKUP($H$4,'Met Data'!$A$2:$F$368,G365,FALSE)</f>
        <v>#N/A</v>
      </c>
      <c r="J365" s="131" t="e">
        <f ca="1">HLOOKUP($H$4,'Met Data'!$H$2:$M$368,G365,FALSE)*L365</f>
        <v>#N/A</v>
      </c>
      <c r="K365" s="105" t="e">
        <f>HLOOKUP($H$4,'Met Data'!$O$2:$T$368,G365,FALSE)</f>
        <v>#N/A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366</v>
      </c>
      <c r="H366" s="104">
        <f t="shared" ca="1" si="56"/>
        <v>45291</v>
      </c>
      <c r="I366" s="131" t="e">
        <f>HLOOKUP($H$4,'Met Data'!$A$2:$F$368,G366,FALSE)</f>
        <v>#N/A</v>
      </c>
      <c r="J366" s="131" t="e">
        <f ca="1">HLOOKUP($H$4,'Met Data'!$H$2:$M$368,G366,FALSE)*L366</f>
        <v>#N/A</v>
      </c>
      <c r="K366" s="105" t="e">
        <f>HLOOKUP($H$4,'Met Data'!$O$2:$T$368,G366,FALSE)</f>
        <v>#N/A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2</v>
      </c>
      <c r="H367" s="104">
        <f t="shared" ca="1" si="56"/>
        <v>45292</v>
      </c>
      <c r="I367" s="131" t="e">
        <f>HLOOKUP($H$4,'Met Data'!$A$2:$F$368,G367,FALSE)</f>
        <v>#N/A</v>
      </c>
      <c r="J367" s="131" t="e">
        <f ca="1">HLOOKUP($H$4,'Met Data'!$H$2:$M$368,G367,FALSE)*L367</f>
        <v>#N/A</v>
      </c>
      <c r="K367" s="105" t="e">
        <f>HLOOKUP($H$4,'Met Data'!$O$2:$T$368,G367,FALSE)</f>
        <v>#N/A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3</v>
      </c>
      <c r="H368" s="104">
        <f t="shared" ca="1" si="56"/>
        <v>45293</v>
      </c>
      <c r="I368" s="131" t="e">
        <f>HLOOKUP($H$4,'Met Data'!$A$2:$F$368,G368,FALSE)</f>
        <v>#N/A</v>
      </c>
      <c r="J368" s="131" t="e">
        <f ca="1">HLOOKUP($H$4,'Met Data'!$H$2:$M$368,G368,FALSE)*L368</f>
        <v>#N/A</v>
      </c>
      <c r="K368" s="105" t="e">
        <f>HLOOKUP($H$4,'Met Data'!$O$2:$T$368,G368,FALSE)</f>
        <v>#N/A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4</v>
      </c>
      <c r="H369" s="104">
        <f t="shared" ca="1" si="56"/>
        <v>45294</v>
      </c>
      <c r="I369" s="131" t="e">
        <f>HLOOKUP($H$4,'Met Data'!$A$2:$F$368,G369,FALSE)</f>
        <v>#N/A</v>
      </c>
      <c r="J369" s="131" t="e">
        <f ca="1">HLOOKUP($H$4,'Met Data'!$H$2:$M$368,G369,FALSE)*L369</f>
        <v>#N/A</v>
      </c>
      <c r="K369" s="105" t="e">
        <f>HLOOKUP($H$4,'Met Data'!$O$2:$T$368,G369,FALSE)</f>
        <v>#N/A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5</v>
      </c>
      <c r="H370" s="104">
        <f t="shared" ca="1" si="56"/>
        <v>45295</v>
      </c>
      <c r="I370" s="131" t="e">
        <f>HLOOKUP($H$4,'Met Data'!$A$2:$F$368,G370,FALSE)</f>
        <v>#N/A</v>
      </c>
      <c r="J370" s="131" t="e">
        <f ca="1">HLOOKUP($H$4,'Met Data'!$H$2:$M$368,G370,FALSE)*L370</f>
        <v>#N/A</v>
      </c>
      <c r="K370" s="105" t="e">
        <f>HLOOKUP($H$4,'Met Data'!$O$2:$T$368,G370,FALSE)</f>
        <v>#N/A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6</v>
      </c>
      <c r="H371" s="104">
        <f t="shared" ca="1" si="56"/>
        <v>45296</v>
      </c>
      <c r="I371" s="131" t="e">
        <f>HLOOKUP($H$4,'Met Data'!$A$2:$F$368,G371,FALSE)</f>
        <v>#N/A</v>
      </c>
      <c r="J371" s="131" t="e">
        <f ca="1">HLOOKUP($H$4,'Met Data'!$H$2:$M$368,G371,FALSE)*L371</f>
        <v>#N/A</v>
      </c>
      <c r="K371" s="105" t="e">
        <f>HLOOKUP($H$4,'Met Data'!$O$2:$T$368,G371,FALSE)</f>
        <v>#N/A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7</v>
      </c>
      <c r="H372" s="104">
        <f t="shared" ca="1" si="56"/>
        <v>45297</v>
      </c>
      <c r="I372" s="131" t="e">
        <f>HLOOKUP($H$4,'Met Data'!$A$2:$F$368,G372,FALSE)</f>
        <v>#N/A</v>
      </c>
      <c r="J372" s="131" t="e">
        <f ca="1">HLOOKUP($H$4,'Met Data'!$H$2:$M$368,G372,FALSE)*L372</f>
        <v>#N/A</v>
      </c>
      <c r="K372" s="105" t="e">
        <f>HLOOKUP($H$4,'Met Data'!$O$2:$T$368,G372,FALSE)</f>
        <v>#N/A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8</v>
      </c>
      <c r="H373" s="104">
        <f t="shared" ca="1" si="56"/>
        <v>45298</v>
      </c>
      <c r="I373" s="131" t="e">
        <f>HLOOKUP($H$4,'Met Data'!$A$2:$F$368,G373,FALSE)</f>
        <v>#N/A</v>
      </c>
      <c r="J373" s="131" t="e">
        <f ca="1">HLOOKUP($H$4,'Met Data'!$H$2:$M$368,G373,FALSE)*L373</f>
        <v>#N/A</v>
      </c>
      <c r="K373" s="105" t="e">
        <f>HLOOKUP($H$4,'Met Data'!$O$2:$T$368,G373,FALSE)</f>
        <v>#N/A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9</v>
      </c>
      <c r="H374" s="104">
        <f t="shared" ca="1" si="56"/>
        <v>45299</v>
      </c>
      <c r="I374" s="131" t="e">
        <f>HLOOKUP($H$4,'Met Data'!$A$2:$F$368,G374,FALSE)</f>
        <v>#N/A</v>
      </c>
      <c r="J374" s="131" t="e">
        <f ca="1">HLOOKUP($H$4,'Met Data'!$H$2:$M$368,G374,FALSE)*L374</f>
        <v>#N/A</v>
      </c>
      <c r="K374" s="105" t="e">
        <f>HLOOKUP($H$4,'Met Data'!$O$2:$T$368,G374,FALSE)</f>
        <v>#N/A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10</v>
      </c>
      <c r="H375" s="104">
        <f t="shared" ca="1" si="56"/>
        <v>45300</v>
      </c>
      <c r="I375" s="131" t="e">
        <f>HLOOKUP($H$4,'Met Data'!$A$2:$F$368,G375,FALSE)</f>
        <v>#N/A</v>
      </c>
      <c r="J375" s="131" t="e">
        <f ca="1">HLOOKUP($H$4,'Met Data'!$H$2:$M$368,G375,FALSE)*L375</f>
        <v>#N/A</v>
      </c>
      <c r="K375" s="105" t="e">
        <f>HLOOKUP($H$4,'Met Data'!$O$2:$T$368,G375,FALSE)</f>
        <v>#N/A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11</v>
      </c>
      <c r="H376" s="104">
        <f t="shared" ca="1" si="56"/>
        <v>45301</v>
      </c>
      <c r="I376" s="131" t="e">
        <f>HLOOKUP($H$4,'Met Data'!$A$2:$F$368,G376,FALSE)</f>
        <v>#N/A</v>
      </c>
      <c r="J376" s="131" t="e">
        <f ca="1">HLOOKUP($H$4,'Met Data'!$H$2:$M$368,G376,FALSE)*L376</f>
        <v>#N/A</v>
      </c>
      <c r="K376" s="105" t="e">
        <f>HLOOKUP($H$4,'Met Data'!$O$2:$T$368,G376,FALSE)</f>
        <v>#N/A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12</v>
      </c>
      <c r="H377" s="104">
        <f t="shared" ca="1" si="56"/>
        <v>45302</v>
      </c>
      <c r="I377" s="131" t="e">
        <f>HLOOKUP($H$4,'Met Data'!$A$2:$F$368,G377,FALSE)</f>
        <v>#N/A</v>
      </c>
      <c r="J377" s="131" t="e">
        <f ca="1">HLOOKUP($H$4,'Met Data'!$H$2:$M$368,G377,FALSE)*L377</f>
        <v>#N/A</v>
      </c>
      <c r="K377" s="105" t="e">
        <f>HLOOKUP($H$4,'Met Data'!$O$2:$T$368,G377,FALSE)</f>
        <v>#N/A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13</v>
      </c>
      <c r="H378" s="104">
        <f t="shared" ca="1" si="56"/>
        <v>45303</v>
      </c>
      <c r="I378" s="131" t="e">
        <f>HLOOKUP($H$4,'Met Data'!$A$2:$F$368,G378,FALSE)</f>
        <v>#N/A</v>
      </c>
      <c r="J378" s="131" t="e">
        <f ca="1">HLOOKUP($H$4,'Met Data'!$H$2:$M$368,G378,FALSE)*L378</f>
        <v>#N/A</v>
      </c>
      <c r="K378" s="105" t="e">
        <f>HLOOKUP($H$4,'Met Data'!$O$2:$T$368,G378,FALSE)</f>
        <v>#N/A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14</v>
      </c>
      <c r="H379" s="104">
        <f t="shared" ca="1" si="56"/>
        <v>45304</v>
      </c>
      <c r="I379" s="131" t="e">
        <f>HLOOKUP($H$4,'Met Data'!$A$2:$F$368,G379,FALSE)</f>
        <v>#N/A</v>
      </c>
      <c r="J379" s="131" t="e">
        <f ca="1">HLOOKUP($H$4,'Met Data'!$H$2:$M$368,G379,FALSE)*L379</f>
        <v>#N/A</v>
      </c>
      <c r="K379" s="105" t="e">
        <f>HLOOKUP($H$4,'Met Data'!$O$2:$T$368,G379,FALSE)</f>
        <v>#N/A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15</v>
      </c>
      <c r="H380" s="104">
        <f t="shared" ca="1" si="56"/>
        <v>45305</v>
      </c>
      <c r="I380" s="131" t="e">
        <f>HLOOKUP($H$4,'Met Data'!$A$2:$F$368,G380,FALSE)</f>
        <v>#N/A</v>
      </c>
      <c r="J380" s="131" t="e">
        <f ca="1">HLOOKUP($H$4,'Met Data'!$H$2:$M$368,G380,FALSE)*L380</f>
        <v>#N/A</v>
      </c>
      <c r="K380" s="105" t="e">
        <f>HLOOKUP($H$4,'Met Data'!$O$2:$T$368,G380,FALSE)</f>
        <v>#N/A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16</v>
      </c>
      <c r="H381" s="104">
        <f t="shared" ca="1" si="56"/>
        <v>45306</v>
      </c>
      <c r="I381" s="131" t="e">
        <f>HLOOKUP($H$4,'Met Data'!$A$2:$F$368,G381,FALSE)</f>
        <v>#N/A</v>
      </c>
      <c r="J381" s="131" t="e">
        <f ca="1">HLOOKUP($H$4,'Met Data'!$H$2:$M$368,G381,FALSE)*L381</f>
        <v>#N/A</v>
      </c>
      <c r="K381" s="105" t="e">
        <f>HLOOKUP($H$4,'Met Data'!$O$2:$T$368,G381,FALSE)</f>
        <v>#N/A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17</v>
      </c>
      <c r="H382" s="104">
        <f t="shared" ca="1" si="56"/>
        <v>45307</v>
      </c>
      <c r="I382" s="131" t="e">
        <f>HLOOKUP($H$4,'Met Data'!$A$2:$F$368,G382,FALSE)</f>
        <v>#N/A</v>
      </c>
      <c r="J382" s="131" t="e">
        <f ca="1">HLOOKUP($H$4,'Met Data'!$H$2:$M$368,G382,FALSE)*L382</f>
        <v>#N/A</v>
      </c>
      <c r="K382" s="105" t="e">
        <f>HLOOKUP($H$4,'Met Data'!$O$2:$T$368,G382,FALSE)</f>
        <v>#N/A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18</v>
      </c>
      <c r="H383" s="104">
        <f t="shared" ca="1" si="56"/>
        <v>45308</v>
      </c>
      <c r="I383" s="131" t="e">
        <f>HLOOKUP($H$4,'Met Data'!$A$2:$F$368,G383,FALSE)</f>
        <v>#N/A</v>
      </c>
      <c r="J383" s="131" t="e">
        <f ca="1">HLOOKUP($H$4,'Met Data'!$H$2:$M$368,G383,FALSE)*L383</f>
        <v>#N/A</v>
      </c>
      <c r="K383" s="105" t="e">
        <f>HLOOKUP($H$4,'Met Data'!$O$2:$T$368,G383,FALSE)</f>
        <v>#N/A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19</v>
      </c>
      <c r="H384" s="104">
        <f t="shared" ca="1" si="56"/>
        <v>45309</v>
      </c>
      <c r="I384" s="131" t="e">
        <f>HLOOKUP($H$4,'Met Data'!$A$2:$F$368,G384,FALSE)</f>
        <v>#N/A</v>
      </c>
      <c r="J384" s="131" t="e">
        <f ca="1">HLOOKUP($H$4,'Met Data'!$H$2:$M$368,G384,FALSE)*L384</f>
        <v>#N/A</v>
      </c>
      <c r="K384" s="105" t="e">
        <f>HLOOKUP($H$4,'Met Data'!$O$2:$T$368,G384,FALSE)</f>
        <v>#N/A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20</v>
      </c>
      <c r="H385" s="104">
        <f t="shared" ca="1" si="56"/>
        <v>45310</v>
      </c>
      <c r="I385" s="131" t="e">
        <f>HLOOKUP($H$4,'Met Data'!$A$2:$F$368,G385,FALSE)</f>
        <v>#N/A</v>
      </c>
      <c r="J385" s="131" t="e">
        <f ca="1">HLOOKUP($H$4,'Met Data'!$H$2:$M$368,G385,FALSE)*L385</f>
        <v>#N/A</v>
      </c>
      <c r="K385" s="105" t="e">
        <f>HLOOKUP($H$4,'Met Data'!$O$2:$T$368,G385,FALSE)</f>
        <v>#N/A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21</v>
      </c>
      <c r="H386" s="104">
        <f t="shared" ca="1" si="56"/>
        <v>45311</v>
      </c>
      <c r="I386" s="131" t="e">
        <f>HLOOKUP($H$4,'Met Data'!$A$2:$F$368,G386,FALSE)</f>
        <v>#N/A</v>
      </c>
      <c r="J386" s="131" t="e">
        <f ca="1">HLOOKUP($H$4,'Met Data'!$H$2:$M$368,G386,FALSE)*L386</f>
        <v>#N/A</v>
      </c>
      <c r="K386" s="105" t="e">
        <f>HLOOKUP($H$4,'Met Data'!$O$2:$T$368,G386,FALSE)</f>
        <v>#N/A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22</v>
      </c>
      <c r="H387" s="104">
        <f t="shared" ca="1" si="56"/>
        <v>45312</v>
      </c>
      <c r="I387" s="131" t="e">
        <f>HLOOKUP($H$4,'Met Data'!$A$2:$F$368,G387,FALSE)</f>
        <v>#N/A</v>
      </c>
      <c r="J387" s="131" t="e">
        <f ca="1">HLOOKUP($H$4,'Met Data'!$H$2:$M$368,G387,FALSE)*L387</f>
        <v>#N/A</v>
      </c>
      <c r="K387" s="105" t="e">
        <f>HLOOKUP($H$4,'Met Data'!$O$2:$T$368,G387,FALSE)</f>
        <v>#N/A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23</v>
      </c>
      <c r="H388" s="104">
        <f t="shared" ca="1" si="56"/>
        <v>45313</v>
      </c>
      <c r="I388" s="131" t="e">
        <f>HLOOKUP($H$4,'Met Data'!$A$2:$F$368,G388,FALSE)</f>
        <v>#N/A</v>
      </c>
      <c r="J388" s="131" t="e">
        <f ca="1">HLOOKUP($H$4,'Met Data'!$H$2:$M$368,G388,FALSE)*L388</f>
        <v>#N/A</v>
      </c>
      <c r="K388" s="105" t="e">
        <f>HLOOKUP($H$4,'Met Data'!$O$2:$T$368,G388,FALSE)</f>
        <v>#N/A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24</v>
      </c>
      <c r="H389" s="104">
        <f t="shared" ca="1" si="56"/>
        <v>45314</v>
      </c>
      <c r="I389" s="131" t="e">
        <f>HLOOKUP($H$4,'Met Data'!$A$2:$F$368,G389,FALSE)</f>
        <v>#N/A</v>
      </c>
      <c r="J389" s="131" t="e">
        <f ca="1">HLOOKUP($H$4,'Met Data'!$H$2:$M$368,G389,FALSE)*L389</f>
        <v>#N/A</v>
      </c>
      <c r="K389" s="105" t="e">
        <f>HLOOKUP($H$4,'Met Data'!$O$2:$T$368,G389,FALSE)</f>
        <v>#N/A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25</v>
      </c>
      <c r="H390" s="104">
        <f t="shared" ca="1" si="56"/>
        <v>45315</v>
      </c>
      <c r="I390" s="131" t="e">
        <f>HLOOKUP($H$4,'Met Data'!$A$2:$F$368,G390,FALSE)</f>
        <v>#N/A</v>
      </c>
      <c r="J390" s="131" t="e">
        <f ca="1">HLOOKUP($H$4,'Met Data'!$H$2:$M$368,G390,FALSE)*L390</f>
        <v>#N/A</v>
      </c>
      <c r="K390" s="105" t="e">
        <f>HLOOKUP($H$4,'Met Data'!$O$2:$T$368,G390,FALSE)</f>
        <v>#N/A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26</v>
      </c>
      <c r="H391" s="104">
        <f t="shared" ca="1" si="56"/>
        <v>45316</v>
      </c>
      <c r="I391" s="131" t="e">
        <f>HLOOKUP($H$4,'Met Data'!$A$2:$F$368,G391,FALSE)</f>
        <v>#N/A</v>
      </c>
      <c r="J391" s="131" t="e">
        <f ca="1">HLOOKUP($H$4,'Met Data'!$H$2:$M$368,G391,FALSE)*L391</f>
        <v>#N/A</v>
      </c>
      <c r="K391" s="105" t="e">
        <f>HLOOKUP($H$4,'Met Data'!$O$2:$T$368,G391,FALSE)</f>
        <v>#N/A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27</v>
      </c>
      <c r="H392" s="104">
        <f t="shared" ref="H392:H455" ca="1" si="66">H391+1</f>
        <v>45317</v>
      </c>
      <c r="I392" s="131" t="e">
        <f>HLOOKUP($H$4,'Met Data'!$A$2:$F$368,G392,FALSE)</f>
        <v>#N/A</v>
      </c>
      <c r="J392" s="131" t="e">
        <f ca="1">HLOOKUP($H$4,'Met Data'!$H$2:$M$368,G392,FALSE)*L392</f>
        <v>#N/A</v>
      </c>
      <c r="K392" s="105" t="e">
        <f>HLOOKUP($H$4,'Met Data'!$O$2:$T$368,G392,FALSE)</f>
        <v>#N/A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28</v>
      </c>
      <c r="H393" s="104">
        <f t="shared" ca="1" si="66"/>
        <v>45318</v>
      </c>
      <c r="I393" s="131" t="e">
        <f>HLOOKUP($H$4,'Met Data'!$A$2:$F$368,G393,FALSE)</f>
        <v>#N/A</v>
      </c>
      <c r="J393" s="131" t="e">
        <f ca="1">HLOOKUP($H$4,'Met Data'!$H$2:$M$368,G393,FALSE)*L393</f>
        <v>#N/A</v>
      </c>
      <c r="K393" s="105" t="e">
        <f>HLOOKUP($H$4,'Met Data'!$O$2:$T$368,G393,FALSE)</f>
        <v>#N/A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29</v>
      </c>
      <c r="H394" s="104">
        <f t="shared" ca="1" si="66"/>
        <v>45319</v>
      </c>
      <c r="I394" s="131" t="e">
        <f>HLOOKUP($H$4,'Met Data'!$A$2:$F$368,G394,FALSE)</f>
        <v>#N/A</v>
      </c>
      <c r="J394" s="131" t="e">
        <f ca="1">HLOOKUP($H$4,'Met Data'!$H$2:$M$368,G394,FALSE)*L394</f>
        <v>#N/A</v>
      </c>
      <c r="K394" s="105" t="e">
        <f>HLOOKUP($H$4,'Met Data'!$O$2:$T$368,G394,FALSE)</f>
        <v>#N/A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30</v>
      </c>
      <c r="H395" s="104">
        <f t="shared" ca="1" si="66"/>
        <v>45320</v>
      </c>
      <c r="I395" s="131" t="e">
        <f>HLOOKUP($H$4,'Met Data'!$A$2:$F$368,G395,FALSE)</f>
        <v>#N/A</v>
      </c>
      <c r="J395" s="131" t="e">
        <f ca="1">HLOOKUP($H$4,'Met Data'!$H$2:$M$368,G395,FALSE)*L395</f>
        <v>#N/A</v>
      </c>
      <c r="K395" s="105" t="e">
        <f>HLOOKUP($H$4,'Met Data'!$O$2:$T$368,G395,FALSE)</f>
        <v>#N/A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31</v>
      </c>
      <c r="H396" s="104">
        <f t="shared" ca="1" si="66"/>
        <v>45321</v>
      </c>
      <c r="I396" s="131" t="e">
        <f>HLOOKUP($H$4,'Met Data'!$A$2:$F$368,G396,FALSE)</f>
        <v>#N/A</v>
      </c>
      <c r="J396" s="131" t="e">
        <f ca="1">HLOOKUP($H$4,'Met Data'!$H$2:$M$368,G396,FALSE)*L396</f>
        <v>#N/A</v>
      </c>
      <c r="K396" s="105" t="e">
        <f>HLOOKUP($H$4,'Met Data'!$O$2:$T$368,G396,FALSE)</f>
        <v>#N/A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32</v>
      </c>
      <c r="H397" s="104">
        <f t="shared" ca="1" si="66"/>
        <v>45322</v>
      </c>
      <c r="I397" s="131" t="e">
        <f>HLOOKUP($H$4,'Met Data'!$A$2:$F$368,G397,FALSE)</f>
        <v>#N/A</v>
      </c>
      <c r="J397" s="131" t="e">
        <f ca="1">HLOOKUP($H$4,'Met Data'!$H$2:$M$368,G397,FALSE)*L397</f>
        <v>#N/A</v>
      </c>
      <c r="K397" s="105" t="e">
        <f>HLOOKUP($H$4,'Met Data'!$O$2:$T$368,G397,FALSE)</f>
        <v>#N/A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33</v>
      </c>
      <c r="H398" s="104">
        <f t="shared" ca="1" si="66"/>
        <v>45323</v>
      </c>
      <c r="I398" s="131" t="e">
        <f>HLOOKUP($H$4,'Met Data'!$A$2:$F$368,G398,FALSE)</f>
        <v>#N/A</v>
      </c>
      <c r="J398" s="131" t="e">
        <f ca="1">HLOOKUP($H$4,'Met Data'!$H$2:$M$368,G398,FALSE)*L398</f>
        <v>#N/A</v>
      </c>
      <c r="K398" s="105" t="e">
        <f>HLOOKUP($H$4,'Met Data'!$O$2:$T$368,G398,FALSE)</f>
        <v>#N/A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34</v>
      </c>
      <c r="H399" s="104">
        <f t="shared" ca="1" si="66"/>
        <v>45324</v>
      </c>
      <c r="I399" s="131" t="e">
        <f>HLOOKUP($H$4,'Met Data'!$A$2:$F$368,G399,FALSE)</f>
        <v>#N/A</v>
      </c>
      <c r="J399" s="131" t="e">
        <f ca="1">HLOOKUP($H$4,'Met Data'!$H$2:$M$368,G399,FALSE)*L399</f>
        <v>#N/A</v>
      </c>
      <c r="K399" s="105" t="e">
        <f>HLOOKUP($H$4,'Met Data'!$O$2:$T$368,G399,FALSE)</f>
        <v>#N/A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35</v>
      </c>
      <c r="H400" s="104">
        <f t="shared" ca="1" si="66"/>
        <v>45325</v>
      </c>
      <c r="I400" s="131" t="e">
        <f>HLOOKUP($H$4,'Met Data'!$A$2:$F$368,G400,FALSE)</f>
        <v>#N/A</v>
      </c>
      <c r="J400" s="131" t="e">
        <f ca="1">HLOOKUP($H$4,'Met Data'!$H$2:$M$368,G400,FALSE)*L400</f>
        <v>#N/A</v>
      </c>
      <c r="K400" s="105" t="e">
        <f>HLOOKUP($H$4,'Met Data'!$O$2:$T$368,G400,FALSE)</f>
        <v>#N/A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36</v>
      </c>
      <c r="H401" s="104">
        <f t="shared" ca="1" si="66"/>
        <v>45326</v>
      </c>
      <c r="I401" s="131" t="e">
        <f>HLOOKUP($H$4,'Met Data'!$A$2:$F$368,G401,FALSE)</f>
        <v>#N/A</v>
      </c>
      <c r="J401" s="131" t="e">
        <f ca="1">HLOOKUP($H$4,'Met Data'!$H$2:$M$368,G401,FALSE)*L401</f>
        <v>#N/A</v>
      </c>
      <c r="K401" s="105" t="e">
        <f>HLOOKUP($H$4,'Met Data'!$O$2:$T$368,G401,FALSE)</f>
        <v>#N/A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37</v>
      </c>
      <c r="H402" s="104">
        <f t="shared" ca="1" si="66"/>
        <v>45327</v>
      </c>
      <c r="I402" s="131" t="e">
        <f>HLOOKUP($H$4,'Met Data'!$A$2:$F$368,G402,FALSE)</f>
        <v>#N/A</v>
      </c>
      <c r="J402" s="131" t="e">
        <f ca="1">HLOOKUP($H$4,'Met Data'!$H$2:$M$368,G402,FALSE)*L402</f>
        <v>#N/A</v>
      </c>
      <c r="K402" s="105" t="e">
        <f>HLOOKUP($H$4,'Met Data'!$O$2:$T$368,G402,FALSE)</f>
        <v>#N/A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38</v>
      </c>
      <c r="H403" s="104">
        <f t="shared" ca="1" si="66"/>
        <v>45328</v>
      </c>
      <c r="I403" s="131" t="e">
        <f>HLOOKUP($H$4,'Met Data'!$A$2:$F$368,G403,FALSE)</f>
        <v>#N/A</v>
      </c>
      <c r="J403" s="131" t="e">
        <f ca="1">HLOOKUP($H$4,'Met Data'!$H$2:$M$368,G403,FALSE)*L403</f>
        <v>#N/A</v>
      </c>
      <c r="K403" s="105" t="e">
        <f>HLOOKUP($H$4,'Met Data'!$O$2:$T$368,G403,FALSE)</f>
        <v>#N/A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39</v>
      </c>
      <c r="H404" s="104">
        <f t="shared" ca="1" si="66"/>
        <v>45329</v>
      </c>
      <c r="I404" s="131" t="e">
        <f>HLOOKUP($H$4,'Met Data'!$A$2:$F$368,G404,FALSE)</f>
        <v>#N/A</v>
      </c>
      <c r="J404" s="131" t="e">
        <f ca="1">HLOOKUP($H$4,'Met Data'!$H$2:$M$368,G404,FALSE)*L404</f>
        <v>#N/A</v>
      </c>
      <c r="K404" s="105" t="e">
        <f>HLOOKUP($H$4,'Met Data'!$O$2:$T$368,G404,FALSE)</f>
        <v>#N/A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40</v>
      </c>
      <c r="H405" s="104">
        <f t="shared" ca="1" si="66"/>
        <v>45330</v>
      </c>
      <c r="I405" s="131" t="e">
        <f>HLOOKUP($H$4,'Met Data'!$A$2:$F$368,G405,FALSE)</f>
        <v>#N/A</v>
      </c>
      <c r="J405" s="131" t="e">
        <f ca="1">HLOOKUP($H$4,'Met Data'!$H$2:$M$368,G405,FALSE)*L405</f>
        <v>#N/A</v>
      </c>
      <c r="K405" s="105" t="e">
        <f>HLOOKUP($H$4,'Met Data'!$O$2:$T$368,G405,FALSE)</f>
        <v>#N/A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41</v>
      </c>
      <c r="H406" s="104">
        <f t="shared" ca="1" si="66"/>
        <v>45331</v>
      </c>
      <c r="I406" s="131" t="e">
        <f>HLOOKUP($H$4,'Met Data'!$A$2:$F$368,G406,FALSE)</f>
        <v>#N/A</v>
      </c>
      <c r="J406" s="131" t="e">
        <f ca="1">HLOOKUP($H$4,'Met Data'!$H$2:$M$368,G406,FALSE)*L406</f>
        <v>#N/A</v>
      </c>
      <c r="K406" s="105" t="e">
        <f>HLOOKUP($H$4,'Met Data'!$O$2:$T$368,G406,FALSE)</f>
        <v>#N/A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42</v>
      </c>
      <c r="H407" s="104">
        <f t="shared" ca="1" si="66"/>
        <v>45332</v>
      </c>
      <c r="I407" s="131" t="e">
        <f>HLOOKUP($H$4,'Met Data'!$A$2:$F$368,G407,FALSE)</f>
        <v>#N/A</v>
      </c>
      <c r="J407" s="131" t="e">
        <f ca="1">HLOOKUP($H$4,'Met Data'!$H$2:$M$368,G407,FALSE)*L407</f>
        <v>#N/A</v>
      </c>
      <c r="K407" s="105" t="e">
        <f>HLOOKUP($H$4,'Met Data'!$O$2:$T$368,G407,FALSE)</f>
        <v>#N/A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43</v>
      </c>
      <c r="H408" s="104">
        <f t="shared" ca="1" si="66"/>
        <v>45333</v>
      </c>
      <c r="I408" s="131" t="e">
        <f>HLOOKUP($H$4,'Met Data'!$A$2:$F$368,G408,FALSE)</f>
        <v>#N/A</v>
      </c>
      <c r="J408" s="131" t="e">
        <f ca="1">HLOOKUP($H$4,'Met Data'!$H$2:$M$368,G408,FALSE)*L408</f>
        <v>#N/A</v>
      </c>
      <c r="K408" s="105" t="e">
        <f>HLOOKUP($H$4,'Met Data'!$O$2:$T$368,G408,FALSE)</f>
        <v>#N/A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44</v>
      </c>
      <c r="H409" s="104">
        <f t="shared" ca="1" si="66"/>
        <v>45334</v>
      </c>
      <c r="I409" s="131" t="e">
        <f>HLOOKUP($H$4,'Met Data'!$A$2:$F$368,G409,FALSE)</f>
        <v>#N/A</v>
      </c>
      <c r="J409" s="131" t="e">
        <f ca="1">HLOOKUP($H$4,'Met Data'!$H$2:$M$368,G409,FALSE)*L409</f>
        <v>#N/A</v>
      </c>
      <c r="K409" s="105" t="e">
        <f>HLOOKUP($H$4,'Met Data'!$O$2:$T$368,G409,FALSE)</f>
        <v>#N/A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45</v>
      </c>
      <c r="H410" s="104">
        <f t="shared" ca="1" si="66"/>
        <v>45335</v>
      </c>
      <c r="I410" s="131" t="e">
        <f>HLOOKUP($H$4,'Met Data'!$A$2:$F$368,G410,FALSE)</f>
        <v>#N/A</v>
      </c>
      <c r="J410" s="131" t="e">
        <f ca="1">HLOOKUP($H$4,'Met Data'!$H$2:$M$368,G410,FALSE)*L410</f>
        <v>#N/A</v>
      </c>
      <c r="K410" s="105" t="e">
        <f>HLOOKUP($H$4,'Met Data'!$O$2:$T$368,G410,FALSE)</f>
        <v>#N/A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46</v>
      </c>
      <c r="H411" s="104">
        <f t="shared" ca="1" si="66"/>
        <v>45336</v>
      </c>
      <c r="I411" s="131" t="e">
        <f>HLOOKUP($H$4,'Met Data'!$A$2:$F$368,G411,FALSE)</f>
        <v>#N/A</v>
      </c>
      <c r="J411" s="131" t="e">
        <f ca="1">HLOOKUP($H$4,'Met Data'!$H$2:$M$368,G411,FALSE)*L411</f>
        <v>#N/A</v>
      </c>
      <c r="K411" s="105" t="e">
        <f>HLOOKUP($H$4,'Met Data'!$O$2:$T$368,G411,FALSE)</f>
        <v>#N/A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47</v>
      </c>
      <c r="H412" s="104">
        <f t="shared" ca="1" si="66"/>
        <v>45337</v>
      </c>
      <c r="I412" s="131" t="e">
        <f>HLOOKUP($H$4,'Met Data'!$A$2:$F$368,G412,FALSE)</f>
        <v>#N/A</v>
      </c>
      <c r="J412" s="131" t="e">
        <f ca="1">HLOOKUP($H$4,'Met Data'!$H$2:$M$368,G412,FALSE)*L412</f>
        <v>#N/A</v>
      </c>
      <c r="K412" s="105" t="e">
        <f>HLOOKUP($H$4,'Met Data'!$O$2:$T$368,G412,FALSE)</f>
        <v>#N/A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48</v>
      </c>
      <c r="H413" s="104">
        <f t="shared" ca="1" si="66"/>
        <v>45338</v>
      </c>
      <c r="I413" s="131" t="e">
        <f>HLOOKUP($H$4,'Met Data'!$A$2:$F$368,G413,FALSE)</f>
        <v>#N/A</v>
      </c>
      <c r="J413" s="131" t="e">
        <f ca="1">HLOOKUP($H$4,'Met Data'!$H$2:$M$368,G413,FALSE)*L413</f>
        <v>#N/A</v>
      </c>
      <c r="K413" s="105" t="e">
        <f>HLOOKUP($H$4,'Met Data'!$O$2:$T$368,G413,FALSE)</f>
        <v>#N/A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49</v>
      </c>
      <c r="H414" s="104">
        <f t="shared" ca="1" si="66"/>
        <v>45339</v>
      </c>
      <c r="I414" s="131" t="e">
        <f>HLOOKUP($H$4,'Met Data'!$A$2:$F$368,G414,FALSE)</f>
        <v>#N/A</v>
      </c>
      <c r="J414" s="131" t="e">
        <f ca="1">HLOOKUP($H$4,'Met Data'!$H$2:$M$368,G414,FALSE)*L414</f>
        <v>#N/A</v>
      </c>
      <c r="K414" s="105" t="e">
        <f>HLOOKUP($H$4,'Met Data'!$O$2:$T$368,G414,FALSE)</f>
        <v>#N/A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50</v>
      </c>
      <c r="H415" s="104">
        <f t="shared" ca="1" si="66"/>
        <v>45340</v>
      </c>
      <c r="I415" s="131" t="e">
        <f>HLOOKUP($H$4,'Met Data'!$A$2:$F$368,G415,FALSE)</f>
        <v>#N/A</v>
      </c>
      <c r="J415" s="131" t="e">
        <f ca="1">HLOOKUP($H$4,'Met Data'!$H$2:$M$368,G415,FALSE)*L415</f>
        <v>#N/A</v>
      </c>
      <c r="K415" s="105" t="e">
        <f>HLOOKUP($H$4,'Met Data'!$O$2:$T$368,G415,FALSE)</f>
        <v>#N/A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51</v>
      </c>
      <c r="H416" s="104">
        <f t="shared" ca="1" si="66"/>
        <v>45341</v>
      </c>
      <c r="I416" s="131" t="e">
        <f>HLOOKUP($H$4,'Met Data'!$A$2:$F$368,G416,FALSE)</f>
        <v>#N/A</v>
      </c>
      <c r="J416" s="131" t="e">
        <f ca="1">HLOOKUP($H$4,'Met Data'!$H$2:$M$368,G416,FALSE)*L416</f>
        <v>#N/A</v>
      </c>
      <c r="K416" s="105" t="e">
        <f>HLOOKUP($H$4,'Met Data'!$O$2:$T$368,G416,FALSE)</f>
        <v>#N/A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52</v>
      </c>
      <c r="H417" s="104">
        <f t="shared" ca="1" si="66"/>
        <v>45342</v>
      </c>
      <c r="I417" s="131" t="e">
        <f>HLOOKUP($H$4,'Met Data'!$A$2:$F$368,G417,FALSE)</f>
        <v>#N/A</v>
      </c>
      <c r="J417" s="131" t="e">
        <f ca="1">HLOOKUP($H$4,'Met Data'!$H$2:$M$368,G417,FALSE)*L417</f>
        <v>#N/A</v>
      </c>
      <c r="K417" s="105" t="e">
        <f>HLOOKUP($H$4,'Met Data'!$O$2:$T$368,G417,FALSE)</f>
        <v>#N/A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53</v>
      </c>
      <c r="H418" s="104">
        <f t="shared" ca="1" si="66"/>
        <v>45343</v>
      </c>
      <c r="I418" s="131" t="e">
        <f>HLOOKUP($H$4,'Met Data'!$A$2:$F$368,G418,FALSE)</f>
        <v>#N/A</v>
      </c>
      <c r="J418" s="131" t="e">
        <f ca="1">HLOOKUP($H$4,'Met Data'!$H$2:$M$368,G418,FALSE)*L418</f>
        <v>#N/A</v>
      </c>
      <c r="K418" s="105" t="e">
        <f>HLOOKUP($H$4,'Met Data'!$O$2:$T$368,G418,FALSE)</f>
        <v>#N/A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54</v>
      </c>
      <c r="H419" s="104">
        <f t="shared" ca="1" si="66"/>
        <v>45344</v>
      </c>
      <c r="I419" s="131" t="e">
        <f>HLOOKUP($H$4,'Met Data'!$A$2:$F$368,G419,FALSE)</f>
        <v>#N/A</v>
      </c>
      <c r="J419" s="131" t="e">
        <f ca="1">HLOOKUP($H$4,'Met Data'!$H$2:$M$368,G419,FALSE)*L419</f>
        <v>#N/A</v>
      </c>
      <c r="K419" s="105" t="e">
        <f>HLOOKUP($H$4,'Met Data'!$O$2:$T$368,G419,FALSE)</f>
        <v>#N/A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55</v>
      </c>
      <c r="H420" s="104">
        <f t="shared" ca="1" si="66"/>
        <v>45345</v>
      </c>
      <c r="I420" s="131" t="e">
        <f>HLOOKUP($H$4,'Met Data'!$A$2:$F$368,G420,FALSE)</f>
        <v>#N/A</v>
      </c>
      <c r="J420" s="131" t="e">
        <f ca="1">HLOOKUP($H$4,'Met Data'!$H$2:$M$368,G420,FALSE)*L420</f>
        <v>#N/A</v>
      </c>
      <c r="K420" s="105" t="e">
        <f>HLOOKUP($H$4,'Met Data'!$O$2:$T$368,G420,FALSE)</f>
        <v>#N/A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56</v>
      </c>
      <c r="H421" s="104">
        <f t="shared" ca="1" si="66"/>
        <v>45346</v>
      </c>
      <c r="I421" s="131" t="e">
        <f>HLOOKUP($H$4,'Met Data'!$A$2:$F$368,G421,FALSE)</f>
        <v>#N/A</v>
      </c>
      <c r="J421" s="131" t="e">
        <f ca="1">HLOOKUP($H$4,'Met Data'!$H$2:$M$368,G421,FALSE)*L421</f>
        <v>#N/A</v>
      </c>
      <c r="K421" s="105" t="e">
        <f>HLOOKUP($H$4,'Met Data'!$O$2:$T$368,G421,FALSE)</f>
        <v>#N/A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57</v>
      </c>
      <c r="H422" s="104">
        <f t="shared" ca="1" si="66"/>
        <v>45347</v>
      </c>
      <c r="I422" s="131" t="e">
        <f>HLOOKUP($H$4,'Met Data'!$A$2:$F$368,G422,FALSE)</f>
        <v>#N/A</v>
      </c>
      <c r="J422" s="131" t="e">
        <f ca="1">HLOOKUP($H$4,'Met Data'!$H$2:$M$368,G422,FALSE)*L422</f>
        <v>#N/A</v>
      </c>
      <c r="K422" s="105" t="e">
        <f>HLOOKUP($H$4,'Met Data'!$O$2:$T$368,G422,FALSE)</f>
        <v>#N/A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58</v>
      </c>
      <c r="H423" s="104">
        <f t="shared" ca="1" si="66"/>
        <v>45348</v>
      </c>
      <c r="I423" s="131" t="e">
        <f>HLOOKUP($H$4,'Met Data'!$A$2:$F$368,G423,FALSE)</f>
        <v>#N/A</v>
      </c>
      <c r="J423" s="131" t="e">
        <f ca="1">HLOOKUP($H$4,'Met Data'!$H$2:$M$368,G423,FALSE)*L423</f>
        <v>#N/A</v>
      </c>
      <c r="K423" s="105" t="e">
        <f>HLOOKUP($H$4,'Met Data'!$O$2:$T$368,G423,FALSE)</f>
        <v>#N/A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59</v>
      </c>
      <c r="H424" s="104">
        <f t="shared" ca="1" si="66"/>
        <v>45349</v>
      </c>
      <c r="I424" s="131" t="e">
        <f>HLOOKUP($H$4,'Met Data'!$A$2:$F$368,G424,FALSE)</f>
        <v>#N/A</v>
      </c>
      <c r="J424" s="131" t="e">
        <f ca="1">HLOOKUP($H$4,'Met Data'!$H$2:$M$368,G424,FALSE)*L424</f>
        <v>#N/A</v>
      </c>
      <c r="K424" s="105" t="e">
        <f>HLOOKUP($H$4,'Met Data'!$O$2:$T$368,G424,FALSE)</f>
        <v>#N/A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60</v>
      </c>
      <c r="H425" s="104">
        <f t="shared" ca="1" si="66"/>
        <v>45350</v>
      </c>
      <c r="I425" s="131" t="e">
        <f>HLOOKUP($H$4,'Met Data'!$A$2:$F$368,G425,FALSE)</f>
        <v>#N/A</v>
      </c>
      <c r="J425" s="131" t="e">
        <f ca="1">HLOOKUP($H$4,'Met Data'!$H$2:$M$368,G425,FALSE)*L425</f>
        <v>#N/A</v>
      </c>
      <c r="K425" s="105" t="e">
        <f>HLOOKUP($H$4,'Met Data'!$O$2:$T$368,G425,FALSE)</f>
        <v>#N/A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61</v>
      </c>
      <c r="H426" s="104">
        <f t="shared" ca="1" si="66"/>
        <v>45351</v>
      </c>
      <c r="I426" s="131" t="e">
        <f>HLOOKUP($H$4,'Met Data'!$A$2:$F$368,G426,FALSE)</f>
        <v>#N/A</v>
      </c>
      <c r="J426" s="131" t="e">
        <f ca="1">HLOOKUP($H$4,'Met Data'!$H$2:$M$368,G426,FALSE)*L426</f>
        <v>#N/A</v>
      </c>
      <c r="K426" s="105" t="e">
        <f>HLOOKUP($H$4,'Met Data'!$O$2:$T$368,G426,FALSE)</f>
        <v>#N/A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62</v>
      </c>
      <c r="H427" s="104">
        <f t="shared" ca="1" si="66"/>
        <v>45352</v>
      </c>
      <c r="I427" s="131" t="e">
        <f>HLOOKUP($H$4,'Met Data'!$A$2:$F$368,G427,FALSE)</f>
        <v>#N/A</v>
      </c>
      <c r="J427" s="131" t="e">
        <f ca="1">HLOOKUP($H$4,'Met Data'!$H$2:$M$368,G427,FALSE)*L427</f>
        <v>#N/A</v>
      </c>
      <c r="K427" s="105" t="e">
        <f>HLOOKUP($H$4,'Met Data'!$O$2:$T$368,G427,FALSE)</f>
        <v>#N/A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63</v>
      </c>
      <c r="H428" s="104">
        <f t="shared" ca="1" si="66"/>
        <v>45353</v>
      </c>
      <c r="I428" s="131" t="e">
        <f>HLOOKUP($H$4,'Met Data'!$A$2:$F$368,G428,FALSE)</f>
        <v>#N/A</v>
      </c>
      <c r="J428" s="131" t="e">
        <f ca="1">HLOOKUP($H$4,'Met Data'!$H$2:$M$368,G428,FALSE)*L428</f>
        <v>#N/A</v>
      </c>
      <c r="K428" s="105" t="e">
        <f>HLOOKUP($H$4,'Met Data'!$O$2:$T$368,G428,FALSE)</f>
        <v>#N/A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64</v>
      </c>
      <c r="H429" s="104">
        <f t="shared" ca="1" si="66"/>
        <v>45354</v>
      </c>
      <c r="I429" s="131" t="e">
        <f>HLOOKUP($H$4,'Met Data'!$A$2:$F$368,G429,FALSE)</f>
        <v>#N/A</v>
      </c>
      <c r="J429" s="131" t="e">
        <f ca="1">HLOOKUP($H$4,'Met Data'!$H$2:$M$368,G429,FALSE)*L429</f>
        <v>#N/A</v>
      </c>
      <c r="K429" s="105" t="e">
        <f>HLOOKUP($H$4,'Met Data'!$O$2:$T$368,G429,FALSE)</f>
        <v>#N/A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65</v>
      </c>
      <c r="H430" s="104">
        <f t="shared" ca="1" si="66"/>
        <v>45355</v>
      </c>
      <c r="I430" s="131" t="e">
        <f>HLOOKUP($H$4,'Met Data'!$A$2:$F$368,G430,FALSE)</f>
        <v>#N/A</v>
      </c>
      <c r="J430" s="131" t="e">
        <f ca="1">HLOOKUP($H$4,'Met Data'!$H$2:$M$368,G430,FALSE)*L430</f>
        <v>#N/A</v>
      </c>
      <c r="K430" s="105" t="e">
        <f>HLOOKUP($H$4,'Met Data'!$O$2:$T$368,G430,FALSE)</f>
        <v>#N/A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66</v>
      </c>
      <c r="H431" s="104">
        <f t="shared" ca="1" si="66"/>
        <v>45356</v>
      </c>
      <c r="I431" s="131" t="e">
        <f>HLOOKUP($H$4,'Met Data'!$A$2:$F$368,G431,FALSE)</f>
        <v>#N/A</v>
      </c>
      <c r="J431" s="131" t="e">
        <f ca="1">HLOOKUP($H$4,'Met Data'!$H$2:$M$368,G431,FALSE)*L431</f>
        <v>#N/A</v>
      </c>
      <c r="K431" s="105" t="e">
        <f>HLOOKUP($H$4,'Met Data'!$O$2:$T$368,G431,FALSE)</f>
        <v>#N/A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67</v>
      </c>
      <c r="H432" s="104">
        <f t="shared" ca="1" si="66"/>
        <v>45357</v>
      </c>
      <c r="I432" s="131" t="e">
        <f>HLOOKUP($H$4,'Met Data'!$A$2:$F$368,G432,FALSE)</f>
        <v>#N/A</v>
      </c>
      <c r="J432" s="131" t="e">
        <f ca="1">HLOOKUP($H$4,'Met Data'!$H$2:$M$368,G432,FALSE)*L432</f>
        <v>#N/A</v>
      </c>
      <c r="K432" s="105" t="e">
        <f>HLOOKUP($H$4,'Met Data'!$O$2:$T$368,G432,FALSE)</f>
        <v>#N/A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68</v>
      </c>
      <c r="H433" s="104">
        <f t="shared" ca="1" si="66"/>
        <v>45358</v>
      </c>
      <c r="I433" s="131" t="e">
        <f>HLOOKUP($H$4,'Met Data'!$A$2:$F$368,G433,FALSE)</f>
        <v>#N/A</v>
      </c>
      <c r="J433" s="131" t="e">
        <f ca="1">HLOOKUP($H$4,'Met Data'!$H$2:$M$368,G433,FALSE)*L433</f>
        <v>#N/A</v>
      </c>
      <c r="K433" s="105" t="e">
        <f>HLOOKUP($H$4,'Met Data'!$O$2:$T$368,G433,FALSE)</f>
        <v>#N/A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69</v>
      </c>
      <c r="H434" s="104">
        <f t="shared" ca="1" si="66"/>
        <v>45359</v>
      </c>
      <c r="I434" s="131" t="e">
        <f>HLOOKUP($H$4,'Met Data'!$A$2:$F$368,G434,FALSE)</f>
        <v>#N/A</v>
      </c>
      <c r="J434" s="131" t="e">
        <f ca="1">HLOOKUP($H$4,'Met Data'!$H$2:$M$368,G434,FALSE)*L434</f>
        <v>#N/A</v>
      </c>
      <c r="K434" s="105" t="e">
        <f>HLOOKUP($H$4,'Met Data'!$O$2:$T$368,G434,FALSE)</f>
        <v>#N/A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70</v>
      </c>
      <c r="H435" s="104">
        <f t="shared" ca="1" si="66"/>
        <v>45360</v>
      </c>
      <c r="I435" s="131" t="e">
        <f>HLOOKUP($H$4,'Met Data'!$A$2:$F$368,G435,FALSE)</f>
        <v>#N/A</v>
      </c>
      <c r="J435" s="131" t="e">
        <f ca="1">HLOOKUP($H$4,'Met Data'!$H$2:$M$368,G435,FALSE)*L435</f>
        <v>#N/A</v>
      </c>
      <c r="K435" s="105" t="e">
        <f>HLOOKUP($H$4,'Met Data'!$O$2:$T$368,G435,FALSE)</f>
        <v>#N/A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71</v>
      </c>
      <c r="H436" s="104">
        <f t="shared" ca="1" si="66"/>
        <v>45361</v>
      </c>
      <c r="I436" s="131" t="e">
        <f>HLOOKUP($H$4,'Met Data'!$A$2:$F$368,G436,FALSE)</f>
        <v>#N/A</v>
      </c>
      <c r="J436" s="131" t="e">
        <f ca="1">HLOOKUP($H$4,'Met Data'!$H$2:$M$368,G436,FALSE)*L436</f>
        <v>#N/A</v>
      </c>
      <c r="K436" s="105" t="e">
        <f>HLOOKUP($H$4,'Met Data'!$O$2:$T$368,G436,FALSE)</f>
        <v>#N/A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72</v>
      </c>
      <c r="H437" s="104">
        <f t="shared" ca="1" si="66"/>
        <v>45362</v>
      </c>
      <c r="I437" s="131" t="e">
        <f>HLOOKUP($H$4,'Met Data'!$A$2:$F$368,G437,FALSE)</f>
        <v>#N/A</v>
      </c>
      <c r="J437" s="131" t="e">
        <f ca="1">HLOOKUP($H$4,'Met Data'!$H$2:$M$368,G437,FALSE)*L437</f>
        <v>#N/A</v>
      </c>
      <c r="K437" s="105" t="e">
        <f>HLOOKUP($H$4,'Met Data'!$O$2:$T$368,G437,FALSE)</f>
        <v>#N/A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73</v>
      </c>
      <c r="H438" s="104">
        <f t="shared" ca="1" si="66"/>
        <v>45363</v>
      </c>
      <c r="I438" s="131" t="e">
        <f>HLOOKUP($H$4,'Met Data'!$A$2:$F$368,G438,FALSE)</f>
        <v>#N/A</v>
      </c>
      <c r="J438" s="131" t="e">
        <f ca="1">HLOOKUP($H$4,'Met Data'!$H$2:$M$368,G438,FALSE)*L438</f>
        <v>#N/A</v>
      </c>
      <c r="K438" s="105" t="e">
        <f>HLOOKUP($H$4,'Met Data'!$O$2:$T$368,G438,FALSE)</f>
        <v>#N/A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74</v>
      </c>
      <c r="H439" s="104">
        <f t="shared" ca="1" si="66"/>
        <v>45364</v>
      </c>
      <c r="I439" s="131" t="e">
        <f>HLOOKUP($H$4,'Met Data'!$A$2:$F$368,G439,FALSE)</f>
        <v>#N/A</v>
      </c>
      <c r="J439" s="131" t="e">
        <f ca="1">HLOOKUP($H$4,'Met Data'!$H$2:$M$368,G439,FALSE)*L439</f>
        <v>#N/A</v>
      </c>
      <c r="K439" s="105" t="e">
        <f>HLOOKUP($H$4,'Met Data'!$O$2:$T$368,G439,FALSE)</f>
        <v>#N/A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75</v>
      </c>
      <c r="H440" s="104">
        <f t="shared" ca="1" si="66"/>
        <v>45365</v>
      </c>
      <c r="I440" s="131" t="e">
        <f>HLOOKUP($H$4,'Met Data'!$A$2:$F$368,G440,FALSE)</f>
        <v>#N/A</v>
      </c>
      <c r="J440" s="131" t="e">
        <f ca="1">HLOOKUP($H$4,'Met Data'!$H$2:$M$368,G440,FALSE)*L440</f>
        <v>#N/A</v>
      </c>
      <c r="K440" s="105" t="e">
        <f>HLOOKUP($H$4,'Met Data'!$O$2:$T$368,G440,FALSE)</f>
        <v>#N/A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76</v>
      </c>
      <c r="H441" s="104">
        <f t="shared" ca="1" si="66"/>
        <v>45366</v>
      </c>
      <c r="I441" s="131" t="e">
        <f>HLOOKUP($H$4,'Met Data'!$A$2:$F$368,G441,FALSE)</f>
        <v>#N/A</v>
      </c>
      <c r="J441" s="131" t="e">
        <f ca="1">HLOOKUP($H$4,'Met Data'!$H$2:$M$368,G441,FALSE)*L441</f>
        <v>#N/A</v>
      </c>
      <c r="K441" s="105" t="e">
        <f>HLOOKUP($H$4,'Met Data'!$O$2:$T$368,G441,FALSE)</f>
        <v>#N/A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77</v>
      </c>
      <c r="H442" s="104">
        <f t="shared" ca="1" si="66"/>
        <v>45367</v>
      </c>
      <c r="I442" s="131" t="e">
        <f>HLOOKUP($H$4,'Met Data'!$A$2:$F$368,G442,FALSE)</f>
        <v>#N/A</v>
      </c>
      <c r="J442" s="131" t="e">
        <f ca="1">HLOOKUP($H$4,'Met Data'!$H$2:$M$368,G442,FALSE)*L442</f>
        <v>#N/A</v>
      </c>
      <c r="K442" s="105" t="e">
        <f>HLOOKUP($H$4,'Met Data'!$O$2:$T$368,G442,FALSE)</f>
        <v>#N/A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78</v>
      </c>
      <c r="H443" s="104">
        <f t="shared" ca="1" si="66"/>
        <v>45368</v>
      </c>
      <c r="I443" s="131" t="e">
        <f>HLOOKUP($H$4,'Met Data'!$A$2:$F$368,G443,FALSE)</f>
        <v>#N/A</v>
      </c>
      <c r="J443" s="131" t="e">
        <f ca="1">HLOOKUP($H$4,'Met Data'!$H$2:$M$368,G443,FALSE)*L443</f>
        <v>#N/A</v>
      </c>
      <c r="K443" s="105" t="e">
        <f>HLOOKUP($H$4,'Met Data'!$O$2:$T$368,G443,FALSE)</f>
        <v>#N/A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79</v>
      </c>
      <c r="H444" s="104">
        <f t="shared" ca="1" si="66"/>
        <v>45369</v>
      </c>
      <c r="I444" s="131" t="e">
        <f>HLOOKUP($H$4,'Met Data'!$A$2:$F$368,G444,FALSE)</f>
        <v>#N/A</v>
      </c>
      <c r="J444" s="131" t="e">
        <f ca="1">HLOOKUP($H$4,'Met Data'!$H$2:$M$368,G444,FALSE)*L444</f>
        <v>#N/A</v>
      </c>
      <c r="K444" s="105" t="e">
        <f>HLOOKUP($H$4,'Met Data'!$O$2:$T$368,G444,FALSE)</f>
        <v>#N/A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80</v>
      </c>
      <c r="H445" s="104">
        <f t="shared" ca="1" si="66"/>
        <v>45370</v>
      </c>
      <c r="I445" s="131" t="e">
        <f>HLOOKUP($H$4,'Met Data'!$A$2:$F$368,G445,FALSE)</f>
        <v>#N/A</v>
      </c>
      <c r="J445" s="131" t="e">
        <f ca="1">HLOOKUP($H$4,'Met Data'!$H$2:$M$368,G445,FALSE)*L445</f>
        <v>#N/A</v>
      </c>
      <c r="K445" s="105" t="e">
        <f>HLOOKUP($H$4,'Met Data'!$O$2:$T$368,G445,FALSE)</f>
        <v>#N/A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81</v>
      </c>
      <c r="H446" s="104">
        <f t="shared" ca="1" si="66"/>
        <v>45371</v>
      </c>
      <c r="I446" s="131" t="e">
        <f>HLOOKUP($H$4,'Met Data'!$A$2:$F$368,G446,FALSE)</f>
        <v>#N/A</v>
      </c>
      <c r="J446" s="131" t="e">
        <f ca="1">HLOOKUP($H$4,'Met Data'!$H$2:$M$368,G446,FALSE)*L446</f>
        <v>#N/A</v>
      </c>
      <c r="K446" s="105" t="e">
        <f>HLOOKUP($H$4,'Met Data'!$O$2:$T$368,G446,FALSE)</f>
        <v>#N/A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82</v>
      </c>
      <c r="H447" s="104">
        <f t="shared" ca="1" si="66"/>
        <v>45372</v>
      </c>
      <c r="I447" s="131" t="e">
        <f>HLOOKUP($H$4,'Met Data'!$A$2:$F$368,G447,FALSE)</f>
        <v>#N/A</v>
      </c>
      <c r="J447" s="131" t="e">
        <f ca="1">HLOOKUP($H$4,'Met Data'!$H$2:$M$368,G447,FALSE)*L447</f>
        <v>#N/A</v>
      </c>
      <c r="K447" s="105" t="e">
        <f>HLOOKUP($H$4,'Met Data'!$O$2:$T$368,G447,FALSE)</f>
        <v>#N/A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83</v>
      </c>
      <c r="H448" s="104">
        <f t="shared" ca="1" si="66"/>
        <v>45373</v>
      </c>
      <c r="I448" s="131" t="e">
        <f>HLOOKUP($H$4,'Met Data'!$A$2:$F$368,G448,FALSE)</f>
        <v>#N/A</v>
      </c>
      <c r="J448" s="131" t="e">
        <f ca="1">HLOOKUP($H$4,'Met Data'!$H$2:$M$368,G448,FALSE)*L448</f>
        <v>#N/A</v>
      </c>
      <c r="K448" s="105" t="e">
        <f>HLOOKUP($H$4,'Met Data'!$O$2:$T$368,G448,FALSE)</f>
        <v>#N/A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84</v>
      </c>
      <c r="H449" s="104">
        <f t="shared" ca="1" si="66"/>
        <v>45374</v>
      </c>
      <c r="I449" s="131" t="e">
        <f>HLOOKUP($H$4,'Met Data'!$A$2:$F$368,G449,FALSE)</f>
        <v>#N/A</v>
      </c>
      <c r="J449" s="131" t="e">
        <f ca="1">HLOOKUP($H$4,'Met Data'!$H$2:$M$368,G449,FALSE)*L449</f>
        <v>#N/A</v>
      </c>
      <c r="K449" s="105" t="e">
        <f>HLOOKUP($H$4,'Met Data'!$O$2:$T$368,G449,FALSE)</f>
        <v>#N/A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85</v>
      </c>
      <c r="H450" s="104">
        <f t="shared" ca="1" si="66"/>
        <v>45375</v>
      </c>
      <c r="I450" s="131" t="e">
        <f>HLOOKUP($H$4,'Met Data'!$A$2:$F$368,G450,FALSE)</f>
        <v>#N/A</v>
      </c>
      <c r="J450" s="131" t="e">
        <f ca="1">HLOOKUP($H$4,'Met Data'!$H$2:$M$368,G450,FALSE)*L450</f>
        <v>#N/A</v>
      </c>
      <c r="K450" s="105" t="e">
        <f>HLOOKUP($H$4,'Met Data'!$O$2:$T$368,G450,FALSE)</f>
        <v>#N/A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86</v>
      </c>
      <c r="H451" s="104">
        <f t="shared" ca="1" si="66"/>
        <v>45376</v>
      </c>
      <c r="I451" s="131" t="e">
        <f>HLOOKUP($H$4,'Met Data'!$A$2:$F$368,G451,FALSE)</f>
        <v>#N/A</v>
      </c>
      <c r="J451" s="131" t="e">
        <f ca="1">HLOOKUP($H$4,'Met Data'!$H$2:$M$368,G451,FALSE)*L451</f>
        <v>#N/A</v>
      </c>
      <c r="K451" s="105" t="e">
        <f>HLOOKUP($H$4,'Met Data'!$O$2:$T$368,G451,FALSE)</f>
        <v>#N/A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87</v>
      </c>
      <c r="H452" s="104">
        <f t="shared" ca="1" si="66"/>
        <v>45377</v>
      </c>
      <c r="I452" s="131" t="e">
        <f>HLOOKUP($H$4,'Met Data'!$A$2:$F$368,G452,FALSE)</f>
        <v>#N/A</v>
      </c>
      <c r="J452" s="131" t="e">
        <f ca="1">HLOOKUP($H$4,'Met Data'!$H$2:$M$368,G452,FALSE)*L452</f>
        <v>#N/A</v>
      </c>
      <c r="K452" s="105" t="e">
        <f>HLOOKUP($H$4,'Met Data'!$O$2:$T$368,G452,FALSE)</f>
        <v>#N/A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88</v>
      </c>
      <c r="H453" s="104">
        <f t="shared" ca="1" si="66"/>
        <v>45378</v>
      </c>
      <c r="I453" s="131" t="e">
        <f>HLOOKUP($H$4,'Met Data'!$A$2:$F$368,G453,FALSE)</f>
        <v>#N/A</v>
      </c>
      <c r="J453" s="131" t="e">
        <f ca="1">HLOOKUP($H$4,'Met Data'!$H$2:$M$368,G453,FALSE)*L453</f>
        <v>#N/A</v>
      </c>
      <c r="K453" s="105" t="e">
        <f>HLOOKUP($H$4,'Met Data'!$O$2:$T$368,G453,FALSE)</f>
        <v>#N/A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89</v>
      </c>
      <c r="H454" s="104">
        <f t="shared" ca="1" si="66"/>
        <v>45379</v>
      </c>
      <c r="I454" s="131" t="e">
        <f>HLOOKUP($H$4,'Met Data'!$A$2:$F$368,G454,FALSE)</f>
        <v>#N/A</v>
      </c>
      <c r="J454" s="131" t="e">
        <f ca="1">HLOOKUP($H$4,'Met Data'!$H$2:$M$368,G454,FALSE)*L454</f>
        <v>#N/A</v>
      </c>
      <c r="K454" s="105" t="e">
        <f>HLOOKUP($H$4,'Met Data'!$O$2:$T$368,G454,FALSE)</f>
        <v>#N/A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90</v>
      </c>
      <c r="H455" s="104">
        <f t="shared" ca="1" si="66"/>
        <v>45380</v>
      </c>
      <c r="I455" s="131" t="e">
        <f>HLOOKUP($H$4,'Met Data'!$A$2:$F$368,G455,FALSE)</f>
        <v>#N/A</v>
      </c>
      <c r="J455" s="131" t="e">
        <f ca="1">HLOOKUP($H$4,'Met Data'!$H$2:$M$368,G455,FALSE)*L455</f>
        <v>#N/A</v>
      </c>
      <c r="K455" s="105" t="e">
        <f>HLOOKUP($H$4,'Met Data'!$O$2:$T$368,G455,FALSE)</f>
        <v>#N/A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91</v>
      </c>
      <c r="H456" s="104">
        <f t="shared" ref="H456:H495" ca="1" si="76">H455+1</f>
        <v>45381</v>
      </c>
      <c r="I456" s="131" t="e">
        <f>HLOOKUP($H$4,'Met Data'!$A$2:$F$368,G456,FALSE)</f>
        <v>#N/A</v>
      </c>
      <c r="J456" s="131" t="e">
        <f ca="1">HLOOKUP($H$4,'Met Data'!$H$2:$M$368,G456,FALSE)*L456</f>
        <v>#N/A</v>
      </c>
      <c r="K456" s="105" t="e">
        <f>HLOOKUP($H$4,'Met Data'!$O$2:$T$368,G456,FALSE)</f>
        <v>#N/A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92</v>
      </c>
      <c r="H457" s="104">
        <f t="shared" ca="1" si="76"/>
        <v>45382</v>
      </c>
      <c r="I457" s="131" t="e">
        <f>HLOOKUP($H$4,'Met Data'!$A$2:$F$368,G457,FALSE)</f>
        <v>#N/A</v>
      </c>
      <c r="J457" s="131" t="e">
        <f ca="1">HLOOKUP($H$4,'Met Data'!$H$2:$M$368,G457,FALSE)*L457</f>
        <v>#N/A</v>
      </c>
      <c r="K457" s="105" t="e">
        <f>HLOOKUP($H$4,'Met Data'!$O$2:$T$368,G457,FALSE)</f>
        <v>#N/A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93</v>
      </c>
      <c r="H458" s="104">
        <f t="shared" ca="1" si="76"/>
        <v>45383</v>
      </c>
      <c r="I458" s="131" t="e">
        <f>HLOOKUP($H$4,'Met Data'!$A$2:$F$368,G458,FALSE)</f>
        <v>#N/A</v>
      </c>
      <c r="J458" s="131" t="e">
        <f ca="1">HLOOKUP($H$4,'Met Data'!$H$2:$M$368,G458,FALSE)*L458</f>
        <v>#N/A</v>
      </c>
      <c r="K458" s="105" t="e">
        <f>HLOOKUP($H$4,'Met Data'!$O$2:$T$368,G458,FALSE)</f>
        <v>#N/A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94</v>
      </c>
      <c r="H459" s="104">
        <f t="shared" ca="1" si="76"/>
        <v>45384</v>
      </c>
      <c r="I459" s="131" t="e">
        <f>HLOOKUP($H$4,'Met Data'!$A$2:$F$368,G459,FALSE)</f>
        <v>#N/A</v>
      </c>
      <c r="J459" s="131" t="e">
        <f ca="1">HLOOKUP($H$4,'Met Data'!$H$2:$M$368,G459,FALSE)*L459</f>
        <v>#N/A</v>
      </c>
      <c r="K459" s="105" t="e">
        <f>HLOOKUP($H$4,'Met Data'!$O$2:$T$368,G459,FALSE)</f>
        <v>#N/A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95</v>
      </c>
      <c r="H460" s="104">
        <f t="shared" ca="1" si="76"/>
        <v>45385</v>
      </c>
      <c r="I460" s="131" t="e">
        <f>HLOOKUP($H$4,'Met Data'!$A$2:$F$368,G460,FALSE)</f>
        <v>#N/A</v>
      </c>
      <c r="J460" s="131" t="e">
        <f ca="1">HLOOKUP($H$4,'Met Data'!$H$2:$M$368,G460,FALSE)*L460</f>
        <v>#N/A</v>
      </c>
      <c r="K460" s="105" t="e">
        <f>HLOOKUP($H$4,'Met Data'!$O$2:$T$368,G460,FALSE)</f>
        <v>#N/A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96</v>
      </c>
      <c r="H461" s="104">
        <f t="shared" ca="1" si="76"/>
        <v>45386</v>
      </c>
      <c r="I461" s="131" t="e">
        <f>HLOOKUP($H$4,'Met Data'!$A$2:$F$368,G461,FALSE)</f>
        <v>#N/A</v>
      </c>
      <c r="J461" s="131" t="e">
        <f ca="1">HLOOKUP($H$4,'Met Data'!$H$2:$M$368,G461,FALSE)*L461</f>
        <v>#N/A</v>
      </c>
      <c r="K461" s="105" t="e">
        <f>HLOOKUP($H$4,'Met Data'!$O$2:$T$368,G461,FALSE)</f>
        <v>#N/A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97</v>
      </c>
      <c r="H462" s="104">
        <f t="shared" ca="1" si="76"/>
        <v>45387</v>
      </c>
      <c r="I462" s="131" t="e">
        <f>HLOOKUP($H$4,'Met Data'!$A$2:$F$368,G462,FALSE)</f>
        <v>#N/A</v>
      </c>
      <c r="J462" s="131" t="e">
        <f ca="1">HLOOKUP($H$4,'Met Data'!$H$2:$M$368,G462,FALSE)*L462</f>
        <v>#N/A</v>
      </c>
      <c r="K462" s="105" t="e">
        <f>HLOOKUP($H$4,'Met Data'!$O$2:$T$368,G462,FALSE)</f>
        <v>#N/A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98</v>
      </c>
      <c r="H463" s="104">
        <f t="shared" ca="1" si="76"/>
        <v>45388</v>
      </c>
      <c r="I463" s="131" t="e">
        <f>HLOOKUP($H$4,'Met Data'!$A$2:$F$368,G463,FALSE)</f>
        <v>#N/A</v>
      </c>
      <c r="J463" s="131" t="e">
        <f ca="1">HLOOKUP($H$4,'Met Data'!$H$2:$M$368,G463,FALSE)*L463</f>
        <v>#N/A</v>
      </c>
      <c r="K463" s="105" t="e">
        <f>HLOOKUP($H$4,'Met Data'!$O$2:$T$368,G463,FALSE)</f>
        <v>#N/A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99</v>
      </c>
      <c r="H464" s="104">
        <f t="shared" ca="1" si="76"/>
        <v>45389</v>
      </c>
      <c r="I464" s="131" t="e">
        <f>HLOOKUP($H$4,'Met Data'!$A$2:$F$368,G464,FALSE)</f>
        <v>#N/A</v>
      </c>
      <c r="J464" s="131" t="e">
        <f ca="1">HLOOKUP($H$4,'Met Data'!$H$2:$M$368,G464,FALSE)*L464</f>
        <v>#N/A</v>
      </c>
      <c r="K464" s="105" t="e">
        <f>HLOOKUP($H$4,'Met Data'!$O$2:$T$368,G464,FALSE)</f>
        <v>#N/A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100</v>
      </c>
      <c r="H465" s="104">
        <f t="shared" ca="1" si="76"/>
        <v>45390</v>
      </c>
      <c r="I465" s="131" t="e">
        <f>HLOOKUP($H$4,'Met Data'!$A$2:$F$368,G465,FALSE)</f>
        <v>#N/A</v>
      </c>
      <c r="J465" s="131" t="e">
        <f ca="1">HLOOKUP($H$4,'Met Data'!$H$2:$M$368,G465,FALSE)*L465</f>
        <v>#N/A</v>
      </c>
      <c r="K465" s="105" t="e">
        <f>HLOOKUP($H$4,'Met Data'!$O$2:$T$368,G465,FALSE)</f>
        <v>#N/A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101</v>
      </c>
      <c r="H466" s="104">
        <f t="shared" ca="1" si="76"/>
        <v>45391</v>
      </c>
      <c r="I466" s="131" t="e">
        <f>HLOOKUP($H$4,'Met Data'!$A$2:$F$368,G466,FALSE)</f>
        <v>#N/A</v>
      </c>
      <c r="J466" s="131" t="e">
        <f ca="1">HLOOKUP($H$4,'Met Data'!$H$2:$M$368,G466,FALSE)*L466</f>
        <v>#N/A</v>
      </c>
      <c r="K466" s="105" t="e">
        <f>HLOOKUP($H$4,'Met Data'!$O$2:$T$368,G466,FALSE)</f>
        <v>#N/A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102</v>
      </c>
      <c r="H467" s="104">
        <f t="shared" ca="1" si="76"/>
        <v>45392</v>
      </c>
      <c r="I467" s="131" t="e">
        <f>HLOOKUP($H$4,'Met Data'!$A$2:$F$368,G467,FALSE)</f>
        <v>#N/A</v>
      </c>
      <c r="J467" s="131" t="e">
        <f ca="1">HLOOKUP($H$4,'Met Data'!$H$2:$M$368,G467,FALSE)*L467</f>
        <v>#N/A</v>
      </c>
      <c r="K467" s="105" t="e">
        <f>HLOOKUP($H$4,'Met Data'!$O$2:$T$368,G467,FALSE)</f>
        <v>#N/A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103</v>
      </c>
      <c r="H468" s="104">
        <f t="shared" ca="1" si="76"/>
        <v>45393</v>
      </c>
      <c r="I468" s="131" t="e">
        <f>HLOOKUP($H$4,'Met Data'!$A$2:$F$368,G468,FALSE)</f>
        <v>#N/A</v>
      </c>
      <c r="J468" s="131" t="e">
        <f ca="1">HLOOKUP($H$4,'Met Data'!$H$2:$M$368,G468,FALSE)*L468</f>
        <v>#N/A</v>
      </c>
      <c r="K468" s="105" t="e">
        <f>HLOOKUP($H$4,'Met Data'!$O$2:$T$368,G468,FALSE)</f>
        <v>#N/A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104</v>
      </c>
      <c r="H469" s="104">
        <f t="shared" ca="1" si="76"/>
        <v>45394</v>
      </c>
      <c r="I469" s="131" t="e">
        <f>HLOOKUP($H$4,'Met Data'!$A$2:$F$368,G469,FALSE)</f>
        <v>#N/A</v>
      </c>
      <c r="J469" s="131" t="e">
        <f ca="1">HLOOKUP($H$4,'Met Data'!$H$2:$M$368,G469,FALSE)*L469</f>
        <v>#N/A</v>
      </c>
      <c r="K469" s="105" t="e">
        <f>HLOOKUP($H$4,'Met Data'!$O$2:$T$368,G469,FALSE)</f>
        <v>#N/A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105</v>
      </c>
      <c r="H470" s="104">
        <f t="shared" ca="1" si="76"/>
        <v>45395</v>
      </c>
      <c r="I470" s="131" t="e">
        <f>HLOOKUP($H$4,'Met Data'!$A$2:$F$368,G470,FALSE)</f>
        <v>#N/A</v>
      </c>
      <c r="J470" s="131" t="e">
        <f ca="1">HLOOKUP($H$4,'Met Data'!$H$2:$M$368,G470,FALSE)*L470</f>
        <v>#N/A</v>
      </c>
      <c r="K470" s="105" t="e">
        <f>HLOOKUP($H$4,'Met Data'!$O$2:$T$368,G470,FALSE)</f>
        <v>#N/A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106</v>
      </c>
      <c r="H471" s="104">
        <f t="shared" ca="1" si="76"/>
        <v>45396</v>
      </c>
      <c r="I471" s="131" t="e">
        <f>HLOOKUP($H$4,'Met Data'!$A$2:$F$368,G471,FALSE)</f>
        <v>#N/A</v>
      </c>
      <c r="J471" s="131" t="e">
        <f ca="1">HLOOKUP($H$4,'Met Data'!$H$2:$M$368,G471,FALSE)*L471</f>
        <v>#N/A</v>
      </c>
      <c r="K471" s="105" t="e">
        <f>HLOOKUP($H$4,'Met Data'!$O$2:$T$368,G471,FALSE)</f>
        <v>#N/A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107</v>
      </c>
      <c r="H472" s="104">
        <f t="shared" ca="1" si="76"/>
        <v>45397</v>
      </c>
      <c r="I472" s="131" t="e">
        <f>HLOOKUP($H$4,'Met Data'!$A$2:$F$368,G472,FALSE)</f>
        <v>#N/A</v>
      </c>
      <c r="J472" s="131" t="e">
        <f ca="1">HLOOKUP($H$4,'Met Data'!$H$2:$M$368,G472,FALSE)*L472</f>
        <v>#N/A</v>
      </c>
      <c r="K472" s="105" t="e">
        <f>HLOOKUP($H$4,'Met Data'!$O$2:$T$368,G472,FALSE)</f>
        <v>#N/A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108</v>
      </c>
      <c r="H473" s="104">
        <f t="shared" ca="1" si="76"/>
        <v>45398</v>
      </c>
      <c r="I473" s="131" t="e">
        <f>HLOOKUP($H$4,'Met Data'!$A$2:$F$368,G473,FALSE)</f>
        <v>#N/A</v>
      </c>
      <c r="J473" s="131" t="e">
        <f ca="1">HLOOKUP($H$4,'Met Data'!$H$2:$M$368,G473,FALSE)*L473</f>
        <v>#N/A</v>
      </c>
      <c r="K473" s="105" t="e">
        <f>HLOOKUP($H$4,'Met Data'!$O$2:$T$368,G473,FALSE)</f>
        <v>#N/A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109</v>
      </c>
      <c r="H474" s="104">
        <f t="shared" ca="1" si="76"/>
        <v>45399</v>
      </c>
      <c r="I474" s="131" t="e">
        <f>HLOOKUP($H$4,'Met Data'!$A$2:$F$368,G474,FALSE)</f>
        <v>#N/A</v>
      </c>
      <c r="J474" s="131" t="e">
        <f ca="1">HLOOKUP($H$4,'Met Data'!$H$2:$M$368,G474,FALSE)*L474</f>
        <v>#N/A</v>
      </c>
      <c r="K474" s="105" t="e">
        <f>HLOOKUP($H$4,'Met Data'!$O$2:$T$368,G474,FALSE)</f>
        <v>#N/A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110</v>
      </c>
      <c r="H475" s="104">
        <f t="shared" ca="1" si="76"/>
        <v>45400</v>
      </c>
      <c r="I475" s="131" t="e">
        <f>HLOOKUP($H$4,'Met Data'!$A$2:$F$368,G475,FALSE)</f>
        <v>#N/A</v>
      </c>
      <c r="J475" s="131" t="e">
        <f ca="1">HLOOKUP($H$4,'Met Data'!$H$2:$M$368,G475,FALSE)*L475</f>
        <v>#N/A</v>
      </c>
      <c r="K475" s="105" t="e">
        <f>HLOOKUP($H$4,'Met Data'!$O$2:$T$368,G475,FALSE)</f>
        <v>#N/A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111</v>
      </c>
      <c r="H476" s="104">
        <f t="shared" ca="1" si="76"/>
        <v>45401</v>
      </c>
      <c r="I476" s="131" t="e">
        <f>HLOOKUP($H$4,'Met Data'!$A$2:$F$368,G476,FALSE)</f>
        <v>#N/A</v>
      </c>
      <c r="J476" s="131" t="e">
        <f ca="1">HLOOKUP($H$4,'Met Data'!$H$2:$M$368,G476,FALSE)*L476</f>
        <v>#N/A</v>
      </c>
      <c r="K476" s="105" t="e">
        <f>HLOOKUP($H$4,'Met Data'!$O$2:$T$368,G476,FALSE)</f>
        <v>#N/A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112</v>
      </c>
      <c r="H477" s="104">
        <f t="shared" ca="1" si="76"/>
        <v>45402</v>
      </c>
      <c r="I477" s="131" t="e">
        <f>HLOOKUP($H$4,'Met Data'!$A$2:$F$368,G477,FALSE)</f>
        <v>#N/A</v>
      </c>
      <c r="J477" s="131" t="e">
        <f ca="1">HLOOKUP($H$4,'Met Data'!$H$2:$M$368,G477,FALSE)*L477</f>
        <v>#N/A</v>
      </c>
      <c r="K477" s="105" t="e">
        <f>HLOOKUP($H$4,'Met Data'!$O$2:$T$368,G477,FALSE)</f>
        <v>#N/A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113</v>
      </c>
      <c r="H478" s="104">
        <f t="shared" ca="1" si="76"/>
        <v>45403</v>
      </c>
      <c r="I478" s="131" t="e">
        <f>HLOOKUP($H$4,'Met Data'!$A$2:$F$368,G478,FALSE)</f>
        <v>#N/A</v>
      </c>
      <c r="J478" s="131" t="e">
        <f ca="1">HLOOKUP($H$4,'Met Data'!$H$2:$M$368,G478,FALSE)*L478</f>
        <v>#N/A</v>
      </c>
      <c r="K478" s="105" t="e">
        <f>HLOOKUP($H$4,'Met Data'!$O$2:$T$368,G478,FALSE)</f>
        <v>#N/A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114</v>
      </c>
      <c r="H479" s="104">
        <f t="shared" ca="1" si="76"/>
        <v>45404</v>
      </c>
      <c r="I479" s="131" t="e">
        <f>HLOOKUP($H$4,'Met Data'!$A$2:$F$368,G479,FALSE)</f>
        <v>#N/A</v>
      </c>
      <c r="J479" s="131" t="e">
        <f ca="1">HLOOKUP($H$4,'Met Data'!$H$2:$M$368,G479,FALSE)*L479</f>
        <v>#N/A</v>
      </c>
      <c r="K479" s="105" t="e">
        <f>HLOOKUP($H$4,'Met Data'!$O$2:$T$368,G479,FALSE)</f>
        <v>#N/A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115</v>
      </c>
      <c r="H480" s="104">
        <f t="shared" ca="1" si="76"/>
        <v>45405</v>
      </c>
      <c r="I480" s="131" t="e">
        <f>HLOOKUP($H$4,'Met Data'!$A$2:$F$368,G480,FALSE)</f>
        <v>#N/A</v>
      </c>
      <c r="J480" s="131" t="e">
        <f ca="1">HLOOKUP($H$4,'Met Data'!$H$2:$M$368,G480,FALSE)*L480</f>
        <v>#N/A</v>
      </c>
      <c r="K480" s="105" t="e">
        <f>HLOOKUP($H$4,'Met Data'!$O$2:$T$368,G480,FALSE)</f>
        <v>#N/A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116</v>
      </c>
      <c r="H481" s="104">
        <f t="shared" ca="1" si="76"/>
        <v>45406</v>
      </c>
      <c r="I481" s="131" t="e">
        <f>HLOOKUP($H$4,'Met Data'!$A$2:$F$368,G481,FALSE)</f>
        <v>#N/A</v>
      </c>
      <c r="J481" s="131" t="e">
        <f ca="1">HLOOKUP($H$4,'Met Data'!$H$2:$M$368,G481,FALSE)*L481</f>
        <v>#N/A</v>
      </c>
      <c r="K481" s="105" t="e">
        <f>HLOOKUP($H$4,'Met Data'!$O$2:$T$368,G481,FALSE)</f>
        <v>#N/A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117</v>
      </c>
      <c r="H482" s="104">
        <f t="shared" ca="1" si="76"/>
        <v>45407</v>
      </c>
      <c r="I482" s="131" t="e">
        <f>HLOOKUP($H$4,'Met Data'!$A$2:$F$368,G482,FALSE)</f>
        <v>#N/A</v>
      </c>
      <c r="J482" s="131" t="e">
        <f ca="1">HLOOKUP($H$4,'Met Data'!$H$2:$M$368,G482,FALSE)*L482</f>
        <v>#N/A</v>
      </c>
      <c r="K482" s="105" t="e">
        <f>HLOOKUP($H$4,'Met Data'!$O$2:$T$368,G482,FALSE)</f>
        <v>#N/A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118</v>
      </c>
      <c r="H483" s="104">
        <f t="shared" ca="1" si="76"/>
        <v>45408</v>
      </c>
      <c r="I483" s="131" t="e">
        <f>HLOOKUP($H$4,'Met Data'!$A$2:$F$368,G483,FALSE)</f>
        <v>#N/A</v>
      </c>
      <c r="J483" s="131" t="e">
        <f ca="1">HLOOKUP($H$4,'Met Data'!$H$2:$M$368,G483,FALSE)*L483</f>
        <v>#N/A</v>
      </c>
      <c r="K483" s="105" t="e">
        <f>HLOOKUP($H$4,'Met Data'!$O$2:$T$368,G483,FALSE)</f>
        <v>#N/A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119</v>
      </c>
      <c r="H484" s="104">
        <f t="shared" ca="1" si="76"/>
        <v>45409</v>
      </c>
      <c r="I484" s="131" t="e">
        <f>HLOOKUP($H$4,'Met Data'!$A$2:$F$368,G484,FALSE)</f>
        <v>#N/A</v>
      </c>
      <c r="J484" s="131" t="e">
        <f ca="1">HLOOKUP($H$4,'Met Data'!$H$2:$M$368,G484,FALSE)*L484</f>
        <v>#N/A</v>
      </c>
      <c r="K484" s="105" t="e">
        <f>HLOOKUP($H$4,'Met Data'!$O$2:$T$368,G484,FALSE)</f>
        <v>#N/A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120</v>
      </c>
      <c r="H485" s="104">
        <f t="shared" ca="1" si="76"/>
        <v>45410</v>
      </c>
      <c r="I485" s="131" t="e">
        <f>HLOOKUP($H$4,'Met Data'!$A$2:$F$368,G485,FALSE)</f>
        <v>#N/A</v>
      </c>
      <c r="J485" s="131" t="e">
        <f ca="1">HLOOKUP($H$4,'Met Data'!$H$2:$M$368,G485,FALSE)*L485</f>
        <v>#N/A</v>
      </c>
      <c r="K485" s="105" t="e">
        <f>HLOOKUP($H$4,'Met Data'!$O$2:$T$368,G485,FALSE)</f>
        <v>#N/A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121</v>
      </c>
      <c r="H486" s="104">
        <f t="shared" ca="1" si="76"/>
        <v>45411</v>
      </c>
      <c r="I486" s="131" t="e">
        <f>HLOOKUP($H$4,'Met Data'!$A$2:$F$368,G486,FALSE)</f>
        <v>#N/A</v>
      </c>
      <c r="J486" s="131" t="e">
        <f ca="1">HLOOKUP($H$4,'Met Data'!$H$2:$M$368,G486,FALSE)*L486</f>
        <v>#N/A</v>
      </c>
      <c r="K486" s="105" t="e">
        <f>HLOOKUP($H$4,'Met Data'!$O$2:$T$368,G486,FALSE)</f>
        <v>#N/A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122</v>
      </c>
      <c r="H487" s="104">
        <f t="shared" ca="1" si="76"/>
        <v>45412</v>
      </c>
      <c r="I487" s="131" t="e">
        <f>HLOOKUP($H$4,'Met Data'!$A$2:$F$368,G487,FALSE)</f>
        <v>#N/A</v>
      </c>
      <c r="J487" s="131" t="e">
        <f ca="1">HLOOKUP($H$4,'Met Data'!$H$2:$M$368,G487,FALSE)*L487</f>
        <v>#N/A</v>
      </c>
      <c r="K487" s="105" t="e">
        <f>HLOOKUP($H$4,'Met Data'!$O$2:$T$368,G487,FALSE)</f>
        <v>#N/A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123</v>
      </c>
      <c r="H488" s="104">
        <f t="shared" ca="1" si="76"/>
        <v>45413</v>
      </c>
      <c r="I488" s="131" t="e">
        <f>HLOOKUP($H$4,'Met Data'!$A$2:$F$368,G488,FALSE)</f>
        <v>#N/A</v>
      </c>
      <c r="J488" s="131" t="e">
        <f ca="1">HLOOKUP($H$4,'Met Data'!$H$2:$M$368,G488,FALSE)*L488</f>
        <v>#N/A</v>
      </c>
      <c r="K488" s="105" t="e">
        <f>HLOOKUP($H$4,'Met Data'!$O$2:$T$368,G488,FALSE)</f>
        <v>#N/A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124</v>
      </c>
      <c r="H489" s="104">
        <f t="shared" ca="1" si="76"/>
        <v>45414</v>
      </c>
      <c r="I489" s="131" t="e">
        <f>HLOOKUP($H$4,'Met Data'!$A$2:$F$368,G489,FALSE)</f>
        <v>#N/A</v>
      </c>
      <c r="J489" s="131" t="e">
        <f ca="1">HLOOKUP($H$4,'Met Data'!$H$2:$M$368,G489,FALSE)*L489</f>
        <v>#N/A</v>
      </c>
      <c r="K489" s="105" t="e">
        <f>HLOOKUP($H$4,'Met Data'!$O$2:$T$368,G489,FALSE)</f>
        <v>#N/A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125</v>
      </c>
      <c r="H490" s="104">
        <f t="shared" ca="1" si="76"/>
        <v>45415</v>
      </c>
      <c r="I490" s="131" t="e">
        <f>HLOOKUP($H$4,'Met Data'!$A$2:$F$368,G490,FALSE)</f>
        <v>#N/A</v>
      </c>
      <c r="J490" s="131" t="e">
        <f ca="1">HLOOKUP($H$4,'Met Data'!$H$2:$M$368,G490,FALSE)*L490</f>
        <v>#N/A</v>
      </c>
      <c r="K490" s="105" t="e">
        <f>HLOOKUP($H$4,'Met Data'!$O$2:$T$368,G490,FALSE)</f>
        <v>#N/A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126</v>
      </c>
      <c r="H491" s="104">
        <f t="shared" ca="1" si="76"/>
        <v>45416</v>
      </c>
      <c r="I491" s="131" t="e">
        <f>HLOOKUP($H$4,'Met Data'!$A$2:$F$368,G491,FALSE)</f>
        <v>#N/A</v>
      </c>
      <c r="J491" s="131" t="e">
        <f ca="1">HLOOKUP($H$4,'Met Data'!$H$2:$M$368,G491,FALSE)*L491</f>
        <v>#N/A</v>
      </c>
      <c r="K491" s="105" t="e">
        <f>HLOOKUP($H$4,'Met Data'!$O$2:$T$368,G491,FALSE)</f>
        <v>#N/A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127</v>
      </c>
      <c r="H492" s="104">
        <f t="shared" ca="1" si="76"/>
        <v>45417</v>
      </c>
      <c r="I492" s="131" t="e">
        <f>HLOOKUP($H$4,'Met Data'!$A$2:$F$368,G492,FALSE)</f>
        <v>#N/A</v>
      </c>
      <c r="J492" s="131" t="e">
        <f ca="1">HLOOKUP($H$4,'Met Data'!$H$2:$M$368,G492,FALSE)*L492</f>
        <v>#N/A</v>
      </c>
      <c r="K492" s="105" t="e">
        <f>HLOOKUP($H$4,'Met Data'!$O$2:$T$368,G492,FALSE)</f>
        <v>#N/A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128</v>
      </c>
      <c r="H493" s="104">
        <f t="shared" ca="1" si="76"/>
        <v>45418</v>
      </c>
      <c r="I493" s="131" t="e">
        <f>HLOOKUP($H$4,'Met Data'!$A$2:$F$368,G493,FALSE)</f>
        <v>#N/A</v>
      </c>
      <c r="J493" s="131" t="e">
        <f ca="1">HLOOKUP($H$4,'Met Data'!$H$2:$M$368,G493,FALSE)*L493</f>
        <v>#N/A</v>
      </c>
      <c r="K493" s="105" t="e">
        <f>HLOOKUP($H$4,'Met Data'!$O$2:$T$368,G493,FALSE)</f>
        <v>#N/A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129</v>
      </c>
      <c r="H494" s="104">
        <f t="shared" ca="1" si="76"/>
        <v>45419</v>
      </c>
      <c r="I494" s="131" t="e">
        <f>HLOOKUP($H$4,'Met Data'!$A$2:$F$368,G494,FALSE)</f>
        <v>#N/A</v>
      </c>
      <c r="J494" s="131" t="e">
        <f ca="1">HLOOKUP($H$4,'Met Data'!$H$2:$M$368,G494,FALSE)*L494</f>
        <v>#N/A</v>
      </c>
      <c r="K494" s="105" t="e">
        <f>HLOOKUP($H$4,'Met Data'!$O$2:$T$368,G494,FALSE)</f>
        <v>#N/A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130</v>
      </c>
      <c r="H495" s="106">
        <f t="shared" ca="1" si="76"/>
        <v>45420</v>
      </c>
      <c r="I495" s="133" t="e">
        <f>HLOOKUP($H$4,'Met Data'!$A$2:$F$368,G495,FALSE)</f>
        <v>#N/A</v>
      </c>
      <c r="J495" s="131" t="e">
        <f ca="1">HLOOKUP($H$4,'Met Data'!$H$2:$M$368,G495,FALSE)*L495</f>
        <v>#N/A</v>
      </c>
      <c r="K495" s="107" t="e">
        <f>HLOOKUP($H$4,'Met Data'!$O$2:$T$368,G495,FALSE)</f>
        <v>#N/A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97</v>
      </c>
      <c r="E1" s="58" t="s">
        <v>80</v>
      </c>
      <c r="F1" s="58" t="s">
        <v>79</v>
      </c>
      <c r="G1" s="58" t="s">
        <v>78</v>
      </c>
      <c r="H1" s="58" t="s">
        <v>51</v>
      </c>
      <c r="I1" s="58" t="s">
        <v>64</v>
      </c>
      <c r="J1" s="58" t="s">
        <v>11</v>
      </c>
      <c r="K1" s="58" t="s">
        <v>76</v>
      </c>
      <c r="L1" s="58" t="s">
        <v>52</v>
      </c>
      <c r="M1" s="58" t="s">
        <v>83</v>
      </c>
      <c r="N1" s="58" t="s">
        <v>63</v>
      </c>
      <c r="O1" s="58" t="s">
        <v>85</v>
      </c>
      <c r="P1" s="58" t="s">
        <v>38</v>
      </c>
      <c r="Q1" s="58" t="s">
        <v>75</v>
      </c>
      <c r="R1" s="58" t="s">
        <v>35</v>
      </c>
      <c r="S1" s="58" t="s">
        <v>41</v>
      </c>
      <c r="T1" s="58" t="s">
        <v>91</v>
      </c>
      <c r="U1" s="58" t="s">
        <v>70</v>
      </c>
      <c r="V1" s="58" t="s">
        <v>54</v>
      </c>
      <c r="W1" s="58" t="s">
        <v>6</v>
      </c>
      <c r="X1" s="58" t="s">
        <v>55</v>
      </c>
      <c r="Y1" s="58" t="s">
        <v>58</v>
      </c>
      <c r="Z1" s="58" t="s">
        <v>49</v>
      </c>
      <c r="AA1" s="58" t="s">
        <v>60</v>
      </c>
      <c r="AB1" s="58" t="s">
        <v>37</v>
      </c>
      <c r="AC1" s="58" t="s">
        <v>7</v>
      </c>
      <c r="AD1" s="58" t="s">
        <v>62</v>
      </c>
      <c r="AE1" s="58" t="s">
        <v>94</v>
      </c>
      <c r="AF1" s="58" t="s">
        <v>57</v>
      </c>
      <c r="AG1" s="58" t="s">
        <v>59</v>
      </c>
      <c r="AH1" s="58" t="s">
        <v>8</v>
      </c>
      <c r="AI1" s="58" t="s">
        <v>89</v>
      </c>
      <c r="AJ1" s="58" t="s">
        <v>66</v>
      </c>
      <c r="AK1" s="58" t="s">
        <v>40</v>
      </c>
      <c r="AL1" s="58" t="s">
        <v>61</v>
      </c>
      <c r="AM1" s="58" t="s">
        <v>87</v>
      </c>
      <c r="AN1" s="58" t="s">
        <v>46</v>
      </c>
      <c r="AO1" s="58" t="s">
        <v>65</v>
      </c>
      <c r="AP1" s="58" t="s">
        <v>77</v>
      </c>
      <c r="AQ1" s="58" t="s">
        <v>96</v>
      </c>
      <c r="AR1" s="58" t="s">
        <v>74</v>
      </c>
      <c r="AS1" s="58" t="s">
        <v>88</v>
      </c>
      <c r="AT1" s="58" t="s">
        <v>53</v>
      </c>
      <c r="AU1" s="58" t="s">
        <v>39</v>
      </c>
      <c r="AV1" s="58" t="s">
        <v>98</v>
      </c>
      <c r="AW1" s="58" t="s">
        <v>95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81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92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71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67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82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93</v>
      </c>
      <c r="X3" s="28"/>
      <c r="Y3" s="28"/>
      <c r="Z3" s="28"/>
      <c r="AA3" s="28"/>
      <c r="AB3" s="28"/>
      <c r="AC3" s="28" t="s">
        <v>72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73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241</v>
      </c>
      <c r="F7" s="52" t="s">
        <v>20</v>
      </c>
      <c r="G7" s="53" t="s">
        <v>69</v>
      </c>
      <c r="J7" s="35" t="s">
        <v>106</v>
      </c>
      <c r="L7" s="50" t="s">
        <v>107</v>
      </c>
      <c r="N7" s="47" t="s">
        <v>171</v>
      </c>
      <c r="P7" s="47" t="s">
        <v>172</v>
      </c>
      <c r="R7" s="47" t="s">
        <v>1</v>
      </c>
      <c r="U7" s="47" t="s">
        <v>3</v>
      </c>
      <c r="X7" s="128" t="s">
        <v>198</v>
      </c>
      <c r="Z7" s="128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58</v>
      </c>
      <c r="F8" s="55" t="s">
        <v>64</v>
      </c>
      <c r="G8" s="56" t="s">
        <v>56</v>
      </c>
      <c r="J8" s="14" t="s">
        <v>20</v>
      </c>
      <c r="L8" s="48" t="s">
        <v>21</v>
      </c>
      <c r="N8" s="48" t="s">
        <v>170</v>
      </c>
      <c r="P8" s="48" t="s">
        <v>179</v>
      </c>
      <c r="R8" s="48" t="s">
        <v>2</v>
      </c>
      <c r="S8">
        <v>1000</v>
      </c>
      <c r="U8" s="48" t="s">
        <v>191</v>
      </c>
      <c r="V8">
        <v>1</v>
      </c>
      <c r="X8" s="48" t="s">
        <v>199</v>
      </c>
      <c r="Z8" s="48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60</v>
      </c>
      <c r="F9" s="55" t="s">
        <v>63</v>
      </c>
      <c r="G9" s="56" t="s">
        <v>97</v>
      </c>
      <c r="J9" s="16" t="s">
        <v>22</v>
      </c>
      <c r="L9" s="48" t="s">
        <v>23</v>
      </c>
      <c r="N9" s="48" t="s">
        <v>108</v>
      </c>
      <c r="P9" s="48" t="s">
        <v>181</v>
      </c>
      <c r="R9" s="48" t="s">
        <v>109</v>
      </c>
      <c r="S9">
        <v>1</v>
      </c>
      <c r="U9" s="48" t="s">
        <v>192</v>
      </c>
      <c r="V9">
        <v>2</v>
      </c>
      <c r="X9" s="48" t="s">
        <v>201</v>
      </c>
      <c r="Z9" s="48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59</v>
      </c>
      <c r="F10" s="55" t="s">
        <v>62</v>
      </c>
      <c r="G10" s="56" t="s">
        <v>80</v>
      </c>
      <c r="L10" s="48" t="s">
        <v>24</v>
      </c>
      <c r="N10" s="48" t="s">
        <v>110</v>
      </c>
      <c r="P10" s="49" t="s">
        <v>180</v>
      </c>
      <c r="R10" s="49" t="s">
        <v>16</v>
      </c>
      <c r="S10">
        <v>1</v>
      </c>
      <c r="U10" s="49" t="s">
        <v>193</v>
      </c>
      <c r="V10">
        <v>3</v>
      </c>
      <c r="X10" s="49" t="s">
        <v>200</v>
      </c>
      <c r="Z10" s="48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66</v>
      </c>
      <c r="G11" s="56" t="s">
        <v>79</v>
      </c>
      <c r="L11" s="48" t="s">
        <v>25</v>
      </c>
      <c r="N11" s="48" t="s">
        <v>111</v>
      </c>
      <c r="Z11" s="49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78</v>
      </c>
      <c r="L12" s="48" t="s">
        <v>26</v>
      </c>
      <c r="N12" s="48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61</v>
      </c>
      <c r="G13" s="56" t="s">
        <v>64</v>
      </c>
      <c r="L13" s="49" t="s">
        <v>112</v>
      </c>
      <c r="N13" s="49"/>
      <c r="AH13" t="s">
        <v>239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65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68</v>
      </c>
      <c r="G15" s="56" t="s">
        <v>76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83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85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75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91</v>
      </c>
    </row>
    <row r="20" spans="1:7" x14ac:dyDescent="0.25">
      <c r="A20" s="14"/>
      <c r="B20" s="28"/>
      <c r="C20" s="28"/>
      <c r="D20" s="28"/>
      <c r="E20" s="28"/>
      <c r="F20" s="28"/>
      <c r="G20" s="56" t="s">
        <v>70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62</v>
      </c>
    </row>
    <row r="24" spans="1:7" x14ac:dyDescent="0.25">
      <c r="A24" s="14"/>
      <c r="B24" s="28"/>
      <c r="C24" s="28"/>
      <c r="D24" s="28"/>
      <c r="E24" s="28"/>
      <c r="F24" s="28"/>
      <c r="G24" s="56" t="s">
        <v>94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89</v>
      </c>
    </row>
    <row r="28" spans="1:7" x14ac:dyDescent="0.25">
      <c r="A28" s="14"/>
      <c r="B28" s="28"/>
      <c r="C28" s="28"/>
      <c r="D28" s="28"/>
      <c r="E28" s="28"/>
      <c r="F28" s="28"/>
      <c r="G28" s="56" t="s">
        <v>61</v>
      </c>
    </row>
    <row r="29" spans="1:7" x14ac:dyDescent="0.25">
      <c r="A29" s="14"/>
      <c r="B29" s="28"/>
      <c r="C29" s="28"/>
      <c r="D29" s="28"/>
      <c r="E29" s="28"/>
      <c r="F29" s="28"/>
      <c r="G29" s="56" t="s">
        <v>87</v>
      </c>
    </row>
    <row r="30" spans="1:7" x14ac:dyDescent="0.25">
      <c r="A30" s="14"/>
      <c r="B30" s="28"/>
      <c r="C30" s="28"/>
      <c r="D30" s="28"/>
      <c r="E30" s="28"/>
      <c r="F30" s="28"/>
      <c r="G30" s="56" t="s">
        <v>77</v>
      </c>
    </row>
    <row r="31" spans="1:7" x14ac:dyDescent="0.25">
      <c r="A31" s="14"/>
      <c r="B31" s="28"/>
      <c r="C31" s="28"/>
      <c r="D31" s="28"/>
      <c r="E31" s="28"/>
      <c r="F31" s="28"/>
      <c r="G31" s="56" t="s">
        <v>96</v>
      </c>
    </row>
    <row r="32" spans="1:7" x14ac:dyDescent="0.25">
      <c r="A32" s="14"/>
      <c r="B32" s="28"/>
      <c r="C32" s="28"/>
      <c r="D32" s="28"/>
      <c r="E32" s="28"/>
      <c r="F32" s="28"/>
      <c r="G32" s="56" t="s">
        <v>74</v>
      </c>
    </row>
    <row r="33" spans="1:7" x14ac:dyDescent="0.25">
      <c r="A33" s="14"/>
      <c r="B33" s="28"/>
      <c r="C33" s="28"/>
      <c r="D33" s="28"/>
      <c r="E33" s="28"/>
      <c r="F33" s="28"/>
      <c r="G33" s="56" t="s">
        <v>88</v>
      </c>
    </row>
    <row r="34" spans="1:7" x14ac:dyDescent="0.25">
      <c r="A34" s="14"/>
      <c r="B34" s="28"/>
      <c r="C34" s="28"/>
      <c r="D34" s="28"/>
      <c r="E34" s="28"/>
      <c r="F34" s="28"/>
      <c r="G34" s="56" t="s">
        <v>98</v>
      </c>
    </row>
    <row r="35" spans="1:7" x14ac:dyDescent="0.25">
      <c r="A35" s="14"/>
      <c r="B35" s="28"/>
      <c r="C35" s="28"/>
      <c r="D35" s="28"/>
      <c r="E35" s="28"/>
      <c r="F35" s="28"/>
      <c r="G35" s="56" t="s">
        <v>95</v>
      </c>
    </row>
    <row r="36" spans="1:7" x14ac:dyDescent="0.25">
      <c r="A36" s="14"/>
      <c r="B36" s="28"/>
      <c r="C36" s="28"/>
      <c r="D36" s="28"/>
      <c r="E36" s="28"/>
      <c r="F36" s="28"/>
      <c r="G36" s="56" t="s">
        <v>86</v>
      </c>
    </row>
    <row r="37" spans="1:7" x14ac:dyDescent="0.25">
      <c r="A37" s="14"/>
      <c r="B37" s="28"/>
      <c r="C37" s="28"/>
      <c r="D37" s="28"/>
      <c r="E37" s="28"/>
      <c r="F37" s="28"/>
      <c r="G37" s="56" t="s">
        <v>84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A75" sqref="A1:A75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4" t="s">
        <v>207</v>
      </c>
      <c r="B1" s="154"/>
      <c r="C1" s="154"/>
      <c r="D1" s="154"/>
      <c r="E1" s="154"/>
      <c r="F1" s="154"/>
      <c r="H1" s="154" t="s">
        <v>208</v>
      </c>
      <c r="I1" s="154"/>
      <c r="J1" s="154"/>
      <c r="K1" s="154"/>
      <c r="L1" s="154"/>
      <c r="M1" s="154"/>
      <c r="O1" s="154" t="s">
        <v>209</v>
      </c>
      <c r="P1" s="154"/>
      <c r="Q1" s="154"/>
      <c r="R1" s="154"/>
      <c r="S1" s="154"/>
      <c r="T1" s="154"/>
      <c r="V1" s="154"/>
      <c r="W1" s="154"/>
      <c r="X1" s="154"/>
      <c r="Y1" s="154"/>
      <c r="Z1" s="154"/>
      <c r="AA1" s="154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2023-03-07T00:52:24Z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