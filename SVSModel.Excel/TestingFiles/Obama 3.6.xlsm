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56E1EA2D-3036-4EB7-9A49-DD6FFF3BDDFF}" xr6:coauthVersionLast="47" xr6:coauthVersionMax="47" xr10:uidLastSave="{00000000-0000-0000-0000-000000000000}"/>
  <bookViews>
    <workbookView xWindow="11556" yWindow="36" windowWidth="11520" windowHeight="12384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russel_sprout_">ListMembers!$AX$2:$AX$10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3" l="1"/>
  <c r="D20" i="1"/>
  <c r="B9" i="3" s="1"/>
  <c r="D24" i="1"/>
  <c r="B12" i="3" s="1"/>
  <c r="D22" i="1"/>
  <c r="B7" i="3" s="1"/>
  <c r="D19" i="1"/>
  <c r="B10" i="3" s="1"/>
  <c r="D21" i="1"/>
  <c r="B8" i="3" s="1"/>
  <c r="D9" i="1"/>
  <c r="D51" i="1" s="1"/>
  <c r="D25" i="1"/>
  <c r="B11" i="3" s="1"/>
  <c r="G4" i="1"/>
  <c r="B13" i="3" s="1"/>
  <c r="G5" i="1"/>
  <c r="B14" i="3" s="1"/>
  <c r="G6" i="1"/>
  <c r="B15" i="3" s="1"/>
  <c r="C25" i="1"/>
  <c r="B1" i="1"/>
  <c r="G55" i="1"/>
  <c r="B28" i="3" s="1"/>
  <c r="G66" i="1"/>
  <c r="B54" i="3" s="1"/>
  <c r="G15" i="1"/>
  <c r="B41" i="3" s="1"/>
  <c r="G65" i="1"/>
  <c r="B53" i="3" s="1"/>
  <c r="G54" i="1"/>
  <c r="B27" i="3" s="1"/>
  <c r="G14" i="1"/>
  <c r="B40" i="3" s="1"/>
  <c r="D7" i="1"/>
  <c r="D8" i="1" s="1"/>
  <c r="D47" i="1"/>
  <c r="D48" i="1"/>
  <c r="D49" i="1"/>
  <c r="D59" i="1"/>
  <c r="D61" i="1" s="1"/>
  <c r="D58" i="1"/>
  <c r="D60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A1" i="4" a="1"/>
  <c r="D52" i="1" l="1"/>
  <c r="D50" i="1"/>
  <c r="D54" i="1" s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8" i="3" s="1"/>
  <c r="J8" i="3" s="1"/>
  <c r="B21" i="1"/>
  <c r="B44" i="1"/>
  <c r="D44" i="1"/>
  <c r="B36" i="3"/>
  <c r="R14" i="1"/>
  <c r="G52" i="1"/>
  <c r="B29" i="3"/>
  <c r="D18" i="3"/>
  <c r="D9" i="3"/>
  <c r="AI9" i="3" a="1"/>
  <c r="AI10" i="3" a="1"/>
  <c r="AI11" i="3" a="1"/>
  <c r="AI9" i="3" l="1"/>
  <c r="AI11" i="3"/>
  <c r="AI10" i="3"/>
  <c r="D62" i="1"/>
  <c r="B49" i="3" s="1"/>
  <c r="G58" i="1"/>
  <c r="G63" i="1"/>
  <c r="D13" i="1"/>
  <c r="G11" i="1"/>
  <c r="G10" i="1"/>
  <c r="D12" i="1"/>
  <c r="B30" i="3" s="1"/>
  <c r="G13" i="1"/>
  <c r="G12" i="1"/>
  <c r="D55" i="1"/>
  <c r="D53" i="1" s="1"/>
  <c r="B17" i="3"/>
  <c r="G51" i="1"/>
  <c r="G49" i="1"/>
  <c r="G48" i="1"/>
  <c r="G47" i="1"/>
  <c r="G59" i="1"/>
  <c r="G62" i="1"/>
  <c r="G60" i="1"/>
  <c r="D65" i="1"/>
  <c r="B43" i="3" s="1"/>
  <c r="D66" i="1"/>
  <c r="D64" i="1" s="1"/>
  <c r="B50" i="1" l="1"/>
  <c r="D63" i="1"/>
  <c r="B51" i="3" s="1"/>
  <c r="B44" i="3"/>
  <c r="B45" i="3"/>
  <c r="B18" i="3"/>
  <c r="B19" i="3"/>
  <c r="D11" i="1"/>
  <c r="B31" i="3" s="1"/>
  <c r="B32" i="3"/>
  <c r="C12" i="1"/>
  <c r="B35" i="3"/>
  <c r="B37" i="3"/>
  <c r="B34" i="3"/>
  <c r="B39" i="3"/>
  <c r="B33" i="3"/>
  <c r="B61" i="1" l="1"/>
  <c r="C67" i="1" s="1"/>
  <c r="C56" i="1"/>
  <c r="B14" i="1"/>
  <c r="C14" i="1" s="1"/>
  <c r="B42" i="3"/>
  <c r="B48" i="3"/>
  <c r="B47" i="3"/>
  <c r="B46" i="3"/>
  <c r="B52" i="3"/>
  <c r="B50" i="3"/>
  <c r="B16" i="3"/>
  <c r="B26" i="3"/>
  <c r="B22" i="3"/>
  <c r="B21" i="3"/>
  <c r="B20" i="3"/>
  <c r="B24" i="3"/>
  <c r="B25" i="3"/>
  <c r="J7" i="3" s="1"/>
  <c r="B23" i="3"/>
  <c r="AG10" i="3" a="1"/>
  <c r="AH9" i="3" a="1"/>
  <c r="AG11" i="3" a="1"/>
  <c r="I1" i="3" a="1"/>
  <c r="AG5" i="3" a="1"/>
  <c r="J10" i="3" a="1"/>
  <c r="AG9" i="3" a="1"/>
  <c r="AH11" i="3" a="1"/>
  <c r="AH10" i="3" a="1"/>
  <c r="I1" i="3" l="1"/>
  <c r="I2" i="3"/>
  <c r="I3" i="3"/>
  <c r="M3" i="3"/>
  <c r="N3" i="3"/>
  <c r="P3" i="3"/>
  <c r="J1" i="3"/>
  <c r="J2" i="3"/>
  <c r="J3" i="3"/>
  <c r="K1" i="3"/>
  <c r="K2" i="3"/>
  <c r="K3" i="3"/>
  <c r="M2" i="3"/>
  <c r="N2" i="3"/>
  <c r="P1" i="3"/>
  <c r="L1" i="3"/>
  <c r="L2" i="3"/>
  <c r="L3" i="3"/>
  <c r="M1" i="3"/>
  <c r="N1" i="3"/>
  <c r="P2" i="3"/>
  <c r="O1" i="3"/>
  <c r="O2" i="3"/>
  <c r="O3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N5" i="3"/>
  <c r="AK6" i="3"/>
  <c r="AH7" i="3"/>
  <c r="AP7" i="3"/>
  <c r="AM8" i="3"/>
  <c r="AM7" i="3"/>
  <c r="AG5" i="3"/>
  <c r="AO5" i="3"/>
  <c r="AL6" i="3"/>
  <c r="AI7" i="3"/>
  <c r="AQ7" i="3"/>
  <c r="AN8" i="3"/>
  <c r="AJ5" i="3"/>
  <c r="AO6" i="3"/>
  <c r="AI8" i="3"/>
  <c r="AK5" i="3"/>
  <c r="AH5" i="3"/>
  <c r="AP5" i="3"/>
  <c r="AM6" i="3"/>
  <c r="AJ7" i="3"/>
  <c r="AG8" i="3"/>
  <c r="AO8" i="3"/>
  <c r="AG6" i="3"/>
  <c r="AL7" i="3"/>
  <c r="AQ8" i="3"/>
  <c r="AH6" i="3"/>
  <c r="AJ8" i="3"/>
  <c r="AI5" i="3"/>
  <c r="AQ5" i="3"/>
  <c r="AN6" i="3"/>
  <c r="AK7" i="3"/>
  <c r="AH8" i="3"/>
  <c r="AP8" i="3"/>
  <c r="AL5" i="3"/>
  <c r="AI6" i="3"/>
  <c r="AQ6" i="3"/>
  <c r="AN7" i="3"/>
  <c r="AK8" i="3"/>
  <c r="AJ6" i="3"/>
  <c r="AG7" i="3"/>
  <c r="AO7" i="3"/>
  <c r="AL8" i="3"/>
  <c r="AP6" i="3"/>
  <c r="AM5" i="3"/>
  <c r="AG10" i="3"/>
  <c r="AH10" i="3"/>
  <c r="AG11" i="3"/>
  <c r="AH9" i="3"/>
  <c r="AG9" i="3"/>
  <c r="AH11" i="3"/>
  <c r="Q3" i="3" l="1"/>
  <c r="Q2" i="3"/>
  <c r="R2" i="3" s="1"/>
  <c r="Y14" i="3"/>
  <c r="Y22" i="3"/>
  <c r="Y38" i="3"/>
  <c r="Y46" i="3"/>
  <c r="Y11" i="3"/>
  <c r="Y19" i="3"/>
  <c r="Y27" i="3"/>
  <c r="Y35" i="3"/>
  <c r="Y59" i="3"/>
  <c r="Y18" i="3"/>
  <c r="Y26" i="3"/>
  <c r="Y42" i="3"/>
  <c r="Y23" i="3"/>
  <c r="Y31" i="3"/>
  <c r="Y39" i="3"/>
  <c r="Y47" i="3"/>
  <c r="Y12" i="3"/>
  <c r="Y28" i="3"/>
  <c r="Y60" i="3"/>
  <c r="Y74" i="3"/>
  <c r="Y82" i="3"/>
  <c r="Y32" i="3"/>
  <c r="Y68" i="3"/>
  <c r="Y76" i="3"/>
  <c r="Y84" i="3"/>
  <c r="Y100" i="3"/>
  <c r="Y21" i="3"/>
  <c r="Y37" i="3"/>
  <c r="Y53" i="3"/>
  <c r="Y73" i="3"/>
  <c r="Y81" i="3"/>
  <c r="Y89" i="3"/>
  <c r="Y97" i="3"/>
  <c r="Y105" i="3"/>
  <c r="Y20" i="3"/>
  <c r="Y36" i="3"/>
  <c r="Y52" i="3"/>
  <c r="Y58" i="3"/>
  <c r="Y62" i="3"/>
  <c r="Y78" i="3"/>
  <c r="Y24" i="3"/>
  <c r="Y40" i="3"/>
  <c r="I49" i="3" a="1"/>
  <c r="I49" i="3" s="1"/>
  <c r="Y56" i="3"/>
  <c r="Y64" i="3"/>
  <c r="Y72" i="3"/>
  <c r="Y13" i="3"/>
  <c r="Y29" i="3"/>
  <c r="Y45" i="3"/>
  <c r="Y69" i="3"/>
  <c r="Y77" i="3"/>
  <c r="Y85" i="3"/>
  <c r="Y96" i="3"/>
  <c r="Y108" i="3"/>
  <c r="Y132" i="3"/>
  <c r="Y140" i="3"/>
  <c r="Y148" i="3"/>
  <c r="Y41" i="3"/>
  <c r="Y75" i="3"/>
  <c r="Y87" i="3"/>
  <c r="Y101" i="3"/>
  <c r="Y113" i="3"/>
  <c r="Y121" i="3"/>
  <c r="Y129" i="3"/>
  <c r="Y137" i="3"/>
  <c r="Y145" i="3"/>
  <c r="Y153" i="3"/>
  <c r="Y33" i="3"/>
  <c r="Y61" i="3"/>
  <c r="Y94" i="3"/>
  <c r="Y98" i="3"/>
  <c r="Y112" i="3"/>
  <c r="Y120" i="3"/>
  <c r="Y128" i="3"/>
  <c r="Y99" i="3"/>
  <c r="Y109" i="3"/>
  <c r="Y117" i="3"/>
  <c r="Y125" i="3"/>
  <c r="Y133" i="3"/>
  <c r="Y88" i="3"/>
  <c r="Y106" i="3"/>
  <c r="Y110" i="3"/>
  <c r="Y126" i="3"/>
  <c r="Y138" i="3"/>
  <c r="Y156" i="3"/>
  <c r="Y164" i="3"/>
  <c r="Y172" i="3"/>
  <c r="Y180" i="3"/>
  <c r="Y196" i="3"/>
  <c r="Y204" i="3"/>
  <c r="Y212" i="3"/>
  <c r="Y93" i="3"/>
  <c r="Y115" i="3"/>
  <c r="Y139" i="3"/>
  <c r="Y143" i="3"/>
  <c r="Y161" i="3"/>
  <c r="Y169" i="3"/>
  <c r="Y177" i="3"/>
  <c r="Y185" i="3"/>
  <c r="Y193" i="3"/>
  <c r="Y201" i="3"/>
  <c r="Y209" i="3"/>
  <c r="Y17" i="3"/>
  <c r="Y63" i="3"/>
  <c r="Y102" i="3"/>
  <c r="Y118" i="3"/>
  <c r="Y136" i="3"/>
  <c r="Y150" i="3"/>
  <c r="Y160" i="3"/>
  <c r="Y168" i="3"/>
  <c r="Y184" i="3"/>
  <c r="Y192" i="3"/>
  <c r="Y200" i="3"/>
  <c r="Y208" i="3"/>
  <c r="Y57" i="3"/>
  <c r="Y83" i="3"/>
  <c r="Y107" i="3"/>
  <c r="Y123" i="3"/>
  <c r="Y141" i="3"/>
  <c r="Y157" i="3"/>
  <c r="Y181" i="3"/>
  <c r="Y189" i="3"/>
  <c r="Y197" i="3"/>
  <c r="Y205" i="3"/>
  <c r="Y213" i="3"/>
  <c r="R17" i="1"/>
  <c r="Y49" i="3"/>
  <c r="Y104" i="3"/>
  <c r="Y122" i="3"/>
  <c r="Y142" i="3"/>
  <c r="Y130" i="3"/>
  <c r="Y134" i="3"/>
  <c r="Y144" i="3"/>
  <c r="Y166" i="3"/>
  <c r="Y182" i="3"/>
  <c r="Y198" i="3"/>
  <c r="Y214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24" i="3"/>
  <c r="Y340" i="3"/>
  <c r="Y348" i="3"/>
  <c r="Y356" i="3"/>
  <c r="Y364" i="3"/>
  <c r="Y372" i="3"/>
  <c r="Y67" i="3"/>
  <c r="Y95" i="3"/>
  <c r="Y149" i="3"/>
  <c r="Y155" i="3"/>
  <c r="Y171" i="3"/>
  <c r="Y187" i="3"/>
  <c r="Y203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37" i="3"/>
  <c r="Y345" i="3"/>
  <c r="Y353" i="3"/>
  <c r="Y361" i="3"/>
  <c r="Y369" i="3"/>
  <c r="Y79" i="3"/>
  <c r="Y90" i="3"/>
  <c r="Y114" i="3"/>
  <c r="Y131" i="3"/>
  <c r="Y158" i="3"/>
  <c r="Y174" i="3"/>
  <c r="Y190" i="3"/>
  <c r="Y206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336" i="3"/>
  <c r="Y344" i="3"/>
  <c r="Y352" i="3"/>
  <c r="Y360" i="3"/>
  <c r="Y368" i="3"/>
  <c r="Y25" i="3"/>
  <c r="Y119" i="3"/>
  <c r="Y135" i="3"/>
  <c r="Y163" i="3"/>
  <c r="Y179" i="3"/>
  <c r="Y195" i="3"/>
  <c r="Y211" i="3"/>
  <c r="Y221" i="3"/>
  <c r="Y229" i="3"/>
  <c r="Y237" i="3"/>
  <c r="Y245" i="3"/>
  <c r="Y253" i="3"/>
  <c r="Y261" i="3"/>
  <c r="Y269" i="3"/>
  <c r="Y277" i="3"/>
  <c r="Y285" i="3"/>
  <c r="Y301" i="3"/>
  <c r="Y309" i="3"/>
  <c r="Y317" i="3"/>
  <c r="Y325" i="3"/>
  <c r="Y333" i="3"/>
  <c r="Y341" i="3"/>
  <c r="Y349" i="3"/>
  <c r="Y365" i="3"/>
  <c r="Y178" i="3"/>
  <c r="Y210" i="3"/>
  <c r="Y226" i="3"/>
  <c r="Y242" i="3"/>
  <c r="Y258" i="3"/>
  <c r="Y274" i="3"/>
  <c r="Y127" i="3"/>
  <c r="Y147" i="3"/>
  <c r="Y183" i="3"/>
  <c r="Y215" i="3"/>
  <c r="Y231" i="3"/>
  <c r="Y247" i="3"/>
  <c r="Y263" i="3"/>
  <c r="Y154" i="3"/>
  <c r="Y186" i="3"/>
  <c r="Y230" i="3"/>
  <c r="Y246" i="3"/>
  <c r="Y262" i="3"/>
  <c r="Y278" i="3"/>
  <c r="Y294" i="3"/>
  <c r="Y310" i="3"/>
  <c r="Y326" i="3"/>
  <c r="Y342" i="3"/>
  <c r="Y358" i="3"/>
  <c r="Y380" i="3"/>
  <c r="Y388" i="3"/>
  <c r="Y396" i="3"/>
  <c r="Y404" i="3"/>
  <c r="Y412" i="3"/>
  <c r="Y420" i="3"/>
  <c r="Y428" i="3"/>
  <c r="Y436" i="3"/>
  <c r="Y444" i="3"/>
  <c r="Y452" i="3"/>
  <c r="Y460" i="3"/>
  <c r="Y468" i="3"/>
  <c r="Y151" i="3"/>
  <c r="Y159" i="3"/>
  <c r="Y191" i="3"/>
  <c r="Y219" i="3"/>
  <c r="Y235" i="3"/>
  <c r="Y251" i="3"/>
  <c r="Y267" i="3"/>
  <c r="Y283" i="3"/>
  <c r="Y299" i="3"/>
  <c r="Y315" i="3"/>
  <c r="Y331" i="3"/>
  <c r="Y347" i="3"/>
  <c r="Y363" i="3"/>
  <c r="Y377" i="3"/>
  <c r="Y385" i="3"/>
  <c r="Y393" i="3"/>
  <c r="Y401" i="3"/>
  <c r="Y409" i="3"/>
  <c r="Y425" i="3"/>
  <c r="Y441" i="3"/>
  <c r="Y449" i="3"/>
  <c r="Y457" i="3"/>
  <c r="Y111" i="3"/>
  <c r="Y162" i="3"/>
  <c r="Y194" i="3"/>
  <c r="Y218" i="3"/>
  <c r="Y234" i="3"/>
  <c r="Y250" i="3"/>
  <c r="Y266" i="3"/>
  <c r="Y167" i="3"/>
  <c r="Y199" i="3"/>
  <c r="Y223" i="3"/>
  <c r="Y239" i="3"/>
  <c r="Y255" i="3"/>
  <c r="Y271" i="3"/>
  <c r="Y146" i="3"/>
  <c r="Y170" i="3"/>
  <c r="Y202" i="3"/>
  <c r="Y222" i="3"/>
  <c r="Y238" i="3"/>
  <c r="Y254" i="3"/>
  <c r="Y270" i="3"/>
  <c r="Y286" i="3"/>
  <c r="Y302" i="3"/>
  <c r="Y318" i="3"/>
  <c r="Y334" i="3"/>
  <c r="Y350" i="3"/>
  <c r="Y366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91" i="3"/>
  <c r="Y175" i="3"/>
  <c r="Y207" i="3"/>
  <c r="Y227" i="3"/>
  <c r="Y243" i="3"/>
  <c r="Y259" i="3"/>
  <c r="Y275" i="3"/>
  <c r="Y291" i="3"/>
  <c r="Y307" i="3"/>
  <c r="Y323" i="3"/>
  <c r="Y339" i="3"/>
  <c r="Y355" i="3"/>
  <c r="Y371" i="3"/>
  <c r="Y373" i="3"/>
  <c r="Y381" i="3"/>
  <c r="Y389" i="3"/>
  <c r="Y397" i="3"/>
  <c r="Y405" i="3"/>
  <c r="Y413" i="3"/>
  <c r="Y421" i="3"/>
  <c r="Y429" i="3"/>
  <c r="Y437" i="3"/>
  <c r="Y445" i="3"/>
  <c r="Y453" i="3"/>
  <c r="Y461" i="3"/>
  <c r="Y469" i="3"/>
  <c r="Y290" i="3"/>
  <c r="Y322" i="3"/>
  <c r="Y354" i="3"/>
  <c r="Y378" i="3"/>
  <c r="Y394" i="3"/>
  <c r="Y410" i="3"/>
  <c r="Y426" i="3"/>
  <c r="Y442" i="3"/>
  <c r="Y458" i="3"/>
  <c r="Y483" i="3"/>
  <c r="Y491" i="3"/>
  <c r="Y295" i="3"/>
  <c r="Y327" i="3"/>
  <c r="Y359" i="3"/>
  <c r="Y383" i="3"/>
  <c r="Y399" i="3"/>
  <c r="Y415" i="3"/>
  <c r="Y431" i="3"/>
  <c r="Y447" i="3"/>
  <c r="Y480" i="3"/>
  <c r="Y488" i="3"/>
  <c r="Y496" i="3"/>
  <c r="Y298" i="3"/>
  <c r="Y330" i="3"/>
  <c r="Y362" i="3"/>
  <c r="Y382" i="3"/>
  <c r="Y398" i="3"/>
  <c r="Y414" i="3"/>
  <c r="Y430" i="3"/>
  <c r="Y446" i="3"/>
  <c r="Y462" i="3"/>
  <c r="Y463" i="3"/>
  <c r="Y465" i="3"/>
  <c r="Y466" i="3"/>
  <c r="Y475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303" i="3"/>
  <c r="Y335" i="3"/>
  <c r="Y367" i="3"/>
  <c r="Y387" i="3"/>
  <c r="Y403" i="3"/>
  <c r="Y419" i="3"/>
  <c r="Y435" i="3"/>
  <c r="Y467" i="3"/>
  <c r="Y470" i="3"/>
  <c r="Y471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306" i="3"/>
  <c r="Y338" i="3"/>
  <c r="Y370" i="3"/>
  <c r="Y386" i="3"/>
  <c r="Y402" i="3"/>
  <c r="Y418" i="3"/>
  <c r="Y434" i="3"/>
  <c r="Y450" i="3"/>
  <c r="Y472" i="3"/>
  <c r="Y479" i="3"/>
  <c r="Y487" i="3"/>
  <c r="Y495" i="3"/>
  <c r="Y279" i="3"/>
  <c r="Y311" i="3"/>
  <c r="Y343" i="3"/>
  <c r="Y375" i="3"/>
  <c r="Y391" i="3"/>
  <c r="Y407" i="3"/>
  <c r="Y423" i="3"/>
  <c r="Y439" i="3"/>
  <c r="Y455" i="3"/>
  <c r="Y473" i="3"/>
  <c r="Y476" i="3"/>
  <c r="Y484" i="3"/>
  <c r="Y492" i="3"/>
  <c r="Y500" i="3"/>
  <c r="Y282" i="3"/>
  <c r="Y314" i="3"/>
  <c r="Y346" i="3"/>
  <c r="Y374" i="3"/>
  <c r="Y390" i="3"/>
  <c r="Y406" i="3"/>
  <c r="Y422" i="3"/>
  <c r="Y438" i="3"/>
  <c r="Y454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665" i="3"/>
  <c r="Y287" i="3"/>
  <c r="Y319" i="3"/>
  <c r="Y351" i="3"/>
  <c r="Y379" i="3"/>
  <c r="Y395" i="3"/>
  <c r="Y411" i="3"/>
  <c r="Y427" i="3"/>
  <c r="Y443" i="3"/>
  <c r="Y459" i="3"/>
  <c r="Y474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670" i="3"/>
  <c r="Y512" i="3"/>
  <c r="Y528" i="3"/>
  <c r="Y544" i="3"/>
  <c r="Y560" i="3"/>
  <c r="Y576" i="3"/>
  <c r="Y592" i="3"/>
  <c r="Y608" i="3"/>
  <c r="Y624" i="3"/>
  <c r="Y640" i="3"/>
  <c r="Y656" i="3"/>
  <c r="Y682" i="3"/>
  <c r="Y690" i="3"/>
  <c r="Y499" i="3"/>
  <c r="Y511" i="3"/>
  <c r="Y527" i="3"/>
  <c r="Y543" i="3"/>
  <c r="Y559" i="3"/>
  <c r="Y575" i="3"/>
  <c r="Y516" i="3"/>
  <c r="Y532" i="3"/>
  <c r="Y548" i="3"/>
  <c r="Y564" i="3"/>
  <c r="Y580" i="3"/>
  <c r="Y596" i="3"/>
  <c r="Y612" i="3"/>
  <c r="Y628" i="3"/>
  <c r="Y644" i="3"/>
  <c r="Y660" i="3"/>
  <c r="Y671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515" i="3"/>
  <c r="Y531" i="3"/>
  <c r="Y547" i="3"/>
  <c r="Y563" i="3"/>
  <c r="Y579" i="3"/>
  <c r="Y595" i="3"/>
  <c r="Y611" i="3"/>
  <c r="Y627" i="3"/>
  <c r="Y643" i="3"/>
  <c r="Y659" i="3"/>
  <c r="Y676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504" i="3"/>
  <c r="Y520" i="3"/>
  <c r="Y536" i="3"/>
  <c r="Y552" i="3"/>
  <c r="Y568" i="3"/>
  <c r="Y584" i="3"/>
  <c r="Y600" i="3"/>
  <c r="Y616" i="3"/>
  <c r="Y632" i="3"/>
  <c r="Y648" i="3"/>
  <c r="Y664" i="3"/>
  <c r="Y674" i="3"/>
  <c r="Y678" i="3"/>
  <c r="Y686" i="3"/>
  <c r="Y503" i="3"/>
  <c r="Y519" i="3"/>
  <c r="Y535" i="3"/>
  <c r="Y551" i="3"/>
  <c r="Y567" i="3"/>
  <c r="Y508" i="3"/>
  <c r="Y524" i="3"/>
  <c r="Y540" i="3"/>
  <c r="Y556" i="3"/>
  <c r="Y572" i="3"/>
  <c r="Y588" i="3"/>
  <c r="Y604" i="3"/>
  <c r="Y620" i="3"/>
  <c r="Y636" i="3"/>
  <c r="Y652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896" i="3"/>
  <c r="Y904" i="3"/>
  <c r="Y507" i="3"/>
  <c r="Y523" i="3"/>
  <c r="Y539" i="3"/>
  <c r="Y555" i="3"/>
  <c r="Y571" i="3"/>
  <c r="Y587" i="3"/>
  <c r="Y603" i="3"/>
  <c r="Y619" i="3"/>
  <c r="Y635" i="3"/>
  <c r="Y651" i="3"/>
  <c r="Y667" i="3"/>
  <c r="Y668" i="3"/>
  <c r="Y669" i="3"/>
  <c r="Y675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901" i="3"/>
  <c r="Y607" i="3"/>
  <c r="Y673" i="3"/>
  <c r="Y702" i="3"/>
  <c r="Y718" i="3"/>
  <c r="Y734" i="3"/>
  <c r="Y750" i="3"/>
  <c r="Y766" i="3"/>
  <c r="Y782" i="3"/>
  <c r="Y798" i="3"/>
  <c r="Y814" i="3"/>
  <c r="Y900" i="3"/>
  <c r="Y583" i="3"/>
  <c r="Y647" i="3"/>
  <c r="Y707" i="3"/>
  <c r="Y723" i="3"/>
  <c r="Y739" i="3"/>
  <c r="Y755" i="3"/>
  <c r="Y771" i="3"/>
  <c r="Y787" i="3"/>
  <c r="Y803" i="3"/>
  <c r="Y819" i="3"/>
  <c r="Y835" i="3"/>
  <c r="Y851" i="3"/>
  <c r="Y867" i="3"/>
  <c r="Y623" i="3"/>
  <c r="Y679" i="3"/>
  <c r="Y691" i="3"/>
  <c r="Y706" i="3"/>
  <c r="Y722" i="3"/>
  <c r="Y738" i="3"/>
  <c r="Y754" i="3"/>
  <c r="Y770" i="3"/>
  <c r="Y786" i="3"/>
  <c r="Y802" i="3"/>
  <c r="Y818" i="3"/>
  <c r="Y834" i="3"/>
  <c r="Y850" i="3"/>
  <c r="Y866" i="3"/>
  <c r="Y882" i="3"/>
  <c r="Y898" i="3"/>
  <c r="Y905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599" i="3"/>
  <c r="Y663" i="3"/>
  <c r="Y695" i="3"/>
  <c r="Y711" i="3"/>
  <c r="Y727" i="3"/>
  <c r="Y743" i="3"/>
  <c r="Y759" i="3"/>
  <c r="Y775" i="3"/>
  <c r="Y791" i="3"/>
  <c r="Y807" i="3"/>
  <c r="Y823" i="3"/>
  <c r="Y839" i="3"/>
  <c r="Y855" i="3"/>
  <c r="Y871" i="3"/>
  <c r="Y887" i="3"/>
  <c r="Y914" i="3"/>
  <c r="Y922" i="3"/>
  <c r="Y930" i="3"/>
  <c r="Y938" i="3"/>
  <c r="Y946" i="3"/>
  <c r="Y954" i="3"/>
  <c r="Y962" i="3"/>
  <c r="Y970" i="3"/>
  <c r="Y978" i="3"/>
  <c r="Y986" i="3"/>
  <c r="Y994" i="3"/>
  <c r="Y1002" i="3"/>
  <c r="Y639" i="3"/>
  <c r="Y687" i="3"/>
  <c r="Y694" i="3"/>
  <c r="Y710" i="3"/>
  <c r="Y726" i="3"/>
  <c r="Y742" i="3"/>
  <c r="Y758" i="3"/>
  <c r="Y774" i="3"/>
  <c r="Y790" i="3"/>
  <c r="Y806" i="3"/>
  <c r="Y822" i="3"/>
  <c r="Y838" i="3"/>
  <c r="Y854" i="3"/>
  <c r="Y615" i="3"/>
  <c r="Y672" i="3"/>
  <c r="Y699" i="3"/>
  <c r="Y715" i="3"/>
  <c r="Y731" i="3"/>
  <c r="Y747" i="3"/>
  <c r="Y763" i="3"/>
  <c r="Y779" i="3"/>
  <c r="Y795" i="3"/>
  <c r="Y811" i="3"/>
  <c r="Y827" i="3"/>
  <c r="Y843" i="3"/>
  <c r="Y859" i="3"/>
  <c r="Y591" i="3"/>
  <c r="Y655" i="3"/>
  <c r="Y698" i="3"/>
  <c r="Y714" i="3"/>
  <c r="Y730" i="3"/>
  <c r="Y746" i="3"/>
  <c r="Y762" i="3"/>
  <c r="Y778" i="3"/>
  <c r="Y794" i="3"/>
  <c r="Y810" i="3"/>
  <c r="Y826" i="3"/>
  <c r="Y842" i="3"/>
  <c r="Y858" i="3"/>
  <c r="Y874" i="3"/>
  <c r="Y890" i="3"/>
  <c r="Y913" i="3"/>
  <c r="Y921" i="3"/>
  <c r="Y929" i="3"/>
  <c r="Y937" i="3"/>
  <c r="Y945" i="3"/>
  <c r="Y953" i="3"/>
  <c r="Y961" i="3"/>
  <c r="Y969" i="3"/>
  <c r="Y977" i="3"/>
  <c r="Y985" i="3"/>
  <c r="Y993" i="3"/>
  <c r="Y1001" i="3"/>
  <c r="Y830" i="3"/>
  <c r="Y862" i="3"/>
  <c r="Y894" i="3"/>
  <c r="Y902" i="3"/>
  <c r="Y903" i="3"/>
  <c r="Y631" i="3"/>
  <c r="Y683" i="3"/>
  <c r="Y703" i="3"/>
  <c r="Y719" i="3"/>
  <c r="Y735" i="3"/>
  <c r="Y751" i="3"/>
  <c r="Y767" i="3"/>
  <c r="Y783" i="3"/>
  <c r="Y799" i="3"/>
  <c r="Y815" i="3"/>
  <c r="Y831" i="3"/>
  <c r="Y847" i="3"/>
  <c r="Y863" i="3"/>
  <c r="Y879" i="3"/>
  <c r="Y895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846" i="3"/>
  <c r="Y878" i="3"/>
  <c r="Y870" i="3"/>
  <c r="Y886" i="3"/>
  <c r="Y899" i="3"/>
  <c r="Y912" i="3"/>
  <c r="Y928" i="3"/>
  <c r="Y944" i="3"/>
  <c r="Y960" i="3"/>
  <c r="Y976" i="3"/>
  <c r="Y992" i="3"/>
  <c r="Y964" i="3"/>
  <c r="Y996" i="3"/>
  <c r="Y963" i="3"/>
  <c r="Y883" i="3"/>
  <c r="Y908" i="3"/>
  <c r="Y911" i="3"/>
  <c r="Y927" i="3"/>
  <c r="Y943" i="3"/>
  <c r="Y959" i="3"/>
  <c r="Y975" i="3"/>
  <c r="Y991" i="3"/>
  <c r="Y916" i="3"/>
  <c r="Y932" i="3"/>
  <c r="Y948" i="3"/>
  <c r="Y980" i="3"/>
  <c r="Y907" i="3"/>
  <c r="Y915" i="3"/>
  <c r="Y931" i="3"/>
  <c r="Y947" i="3"/>
  <c r="Y979" i="3"/>
  <c r="Y995" i="3"/>
  <c r="Y920" i="3"/>
  <c r="Y936" i="3"/>
  <c r="Y952" i="3"/>
  <c r="Y968" i="3"/>
  <c r="Y984" i="3"/>
  <c r="Y1000" i="3"/>
  <c r="Y940" i="3"/>
  <c r="Y972" i="3"/>
  <c r="Y1004" i="3"/>
  <c r="Y875" i="3"/>
  <c r="Y906" i="3"/>
  <c r="Y923" i="3"/>
  <c r="Y939" i="3"/>
  <c r="Y955" i="3"/>
  <c r="Y971" i="3"/>
  <c r="Y891" i="3"/>
  <c r="Y919" i="3"/>
  <c r="Y935" i="3"/>
  <c r="Y951" i="3"/>
  <c r="Y967" i="3"/>
  <c r="Y983" i="3"/>
  <c r="Y999" i="3"/>
  <c r="Y924" i="3"/>
  <c r="Y956" i="3"/>
  <c r="Y988" i="3"/>
  <c r="Y987" i="3"/>
  <c r="Y1003" i="3"/>
  <c r="Y44" i="3"/>
  <c r="Y30" i="3"/>
  <c r="Y54" i="3"/>
  <c r="Y43" i="3"/>
  <c r="Y51" i="3"/>
  <c r="Y16" i="3"/>
  <c r="Y34" i="3"/>
  <c r="Y15" i="3"/>
  <c r="Y70" i="3"/>
  <c r="Y86" i="3"/>
  <c r="Y66" i="3"/>
  <c r="Y80" i="3"/>
  <c r="Y92" i="3"/>
  <c r="Y65" i="3"/>
  <c r="Y124" i="3"/>
  <c r="Y188" i="3"/>
  <c r="Y116" i="3"/>
  <c r="Y103" i="3"/>
  <c r="Y176" i="3"/>
  <c r="Y165" i="3"/>
  <c r="Y173" i="3"/>
  <c r="Y152" i="3"/>
  <c r="Y332" i="3"/>
  <c r="Y329" i="3"/>
  <c r="Y433" i="3"/>
  <c r="Y451" i="3"/>
  <c r="Y417" i="3"/>
  <c r="Y48" i="3"/>
  <c r="Y55" i="3"/>
  <c r="Y71" i="3"/>
  <c r="Y357" i="3"/>
  <c r="Y316" i="3"/>
  <c r="Y293" i="3"/>
  <c r="Y50" i="3"/>
  <c r="Q8" i="3" l="1"/>
  <c r="P8" i="3" s="1"/>
  <c r="D14" i="1" s="1"/>
  <c r="Q7" i="3"/>
  <c r="P7" i="3" s="1"/>
  <c r="AA12" i="3"/>
  <c r="AB883" i="3"/>
  <c r="AA884" i="3"/>
  <c r="X996" i="3"/>
  <c r="H996" i="3"/>
  <c r="I996" i="3"/>
  <c r="X987" i="3"/>
  <c r="I987" i="3"/>
  <c r="H987" i="3"/>
  <c r="X974" i="3"/>
  <c r="H974" i="3"/>
  <c r="I974" i="3"/>
  <c r="AA900" i="3"/>
  <c r="AB899" i="3"/>
  <c r="AA943" i="3"/>
  <c r="AB942" i="3"/>
  <c r="X934" i="3"/>
  <c r="I934" i="3"/>
  <c r="H934" i="3"/>
  <c r="AB991" i="3"/>
  <c r="AA992" i="3"/>
  <c r="X944" i="3"/>
  <c r="I944" i="3"/>
  <c r="H944" i="3"/>
  <c r="AB963" i="3"/>
  <c r="AA964" i="3"/>
  <c r="AA948" i="3"/>
  <c r="AB947" i="3"/>
  <c r="AA944" i="3"/>
  <c r="AB943" i="3"/>
  <c r="AB955" i="3"/>
  <c r="AA956" i="3"/>
  <c r="X1000" i="3"/>
  <c r="H1000" i="3"/>
  <c r="I1000" i="3"/>
  <c r="X936" i="3"/>
  <c r="I936" i="3"/>
  <c r="H936" i="3"/>
  <c r="AA936" i="3"/>
  <c r="AB935" i="3"/>
  <c r="X995" i="3"/>
  <c r="H995" i="3"/>
  <c r="I995" i="3"/>
  <c r="AB990" i="3"/>
  <c r="AA991" i="3"/>
  <c r="X931" i="3"/>
  <c r="I931" i="3"/>
  <c r="H931" i="3"/>
  <c r="AB926" i="3"/>
  <c r="AA927" i="3"/>
  <c r="AB843" i="3"/>
  <c r="AA844" i="3"/>
  <c r="X784" i="3"/>
  <c r="I784" i="3"/>
  <c r="H784" i="3"/>
  <c r="X982" i="3"/>
  <c r="I982" i="3"/>
  <c r="H982" i="3"/>
  <c r="AA978" i="3"/>
  <c r="AB977" i="3"/>
  <c r="X918" i="3"/>
  <c r="H918" i="3"/>
  <c r="I918" i="3"/>
  <c r="AB913" i="3"/>
  <c r="AA914" i="3"/>
  <c r="AB791" i="3"/>
  <c r="AA792" i="3"/>
  <c r="X732" i="3"/>
  <c r="I732" i="3"/>
  <c r="H732" i="3"/>
  <c r="AB907" i="3"/>
  <c r="AA908" i="3"/>
  <c r="X985" i="3"/>
  <c r="H985" i="3"/>
  <c r="I985" i="3"/>
  <c r="AA981" i="3"/>
  <c r="AB980" i="3"/>
  <c r="X921" i="3"/>
  <c r="H921" i="3"/>
  <c r="I921" i="3"/>
  <c r="AA917" i="3"/>
  <c r="AB916" i="3"/>
  <c r="AA804" i="3"/>
  <c r="AB803" i="3"/>
  <c r="X744" i="3"/>
  <c r="I744" i="3"/>
  <c r="H744" i="3"/>
  <c r="X852" i="3"/>
  <c r="I852" i="3"/>
  <c r="H852" i="3"/>
  <c r="X983" i="3"/>
  <c r="I983" i="3"/>
  <c r="H983" i="3"/>
  <c r="AB978" i="3"/>
  <c r="AA979" i="3"/>
  <c r="X919" i="3"/>
  <c r="H919" i="3"/>
  <c r="I919" i="3"/>
  <c r="AA915" i="3"/>
  <c r="AB914" i="3"/>
  <c r="AA796" i="3"/>
  <c r="AB795" i="3"/>
  <c r="X736" i="3"/>
  <c r="H736" i="3"/>
  <c r="I736" i="3"/>
  <c r="X970" i="3"/>
  <c r="H970" i="3"/>
  <c r="I970" i="3"/>
  <c r="AA966" i="3"/>
  <c r="AB965" i="3"/>
  <c r="X906" i="3"/>
  <c r="H906" i="3"/>
  <c r="I906" i="3"/>
  <c r="AB901" i="3"/>
  <c r="AA902" i="3"/>
  <c r="AA744" i="3"/>
  <c r="AB743" i="3"/>
  <c r="H678" i="3"/>
  <c r="X678" i="3"/>
  <c r="I678" i="3"/>
  <c r="X957" i="3"/>
  <c r="H957" i="3"/>
  <c r="I957" i="3"/>
  <c r="AB952" i="3"/>
  <c r="AA953" i="3"/>
  <c r="X893" i="3"/>
  <c r="I893" i="3"/>
  <c r="H893" i="3"/>
  <c r="AB888" i="3"/>
  <c r="AA889" i="3"/>
  <c r="X868" i="3"/>
  <c r="I868" i="3"/>
  <c r="H868" i="3"/>
  <c r="AB691" i="3"/>
  <c r="AA692" i="3"/>
  <c r="X804" i="3"/>
  <c r="H804" i="3"/>
  <c r="I804" i="3"/>
  <c r="X740" i="3"/>
  <c r="H740" i="3"/>
  <c r="I740" i="3"/>
  <c r="X859" i="3"/>
  <c r="I859" i="3"/>
  <c r="H859" i="3"/>
  <c r="AB854" i="3"/>
  <c r="AA855" i="3"/>
  <c r="X795" i="3"/>
  <c r="H795" i="3"/>
  <c r="I795" i="3"/>
  <c r="AB790" i="3"/>
  <c r="AA791" i="3"/>
  <c r="X731" i="3"/>
  <c r="I731" i="3"/>
  <c r="H731" i="3"/>
  <c r="AA727" i="3"/>
  <c r="AB726" i="3"/>
  <c r="X686" i="3"/>
  <c r="I686" i="3"/>
  <c r="H686" i="3"/>
  <c r="AB669" i="3"/>
  <c r="AA670" i="3"/>
  <c r="X610" i="3"/>
  <c r="I610" i="3"/>
  <c r="H610" i="3"/>
  <c r="AA549" i="3"/>
  <c r="AB548" i="3"/>
  <c r="X862" i="3"/>
  <c r="H862" i="3"/>
  <c r="I862" i="3"/>
  <c r="AA858" i="3"/>
  <c r="AB857" i="3"/>
  <c r="X798" i="3"/>
  <c r="H798" i="3"/>
  <c r="I798" i="3"/>
  <c r="AA794" i="3"/>
  <c r="AB793" i="3"/>
  <c r="X734" i="3"/>
  <c r="I734" i="3"/>
  <c r="H734" i="3"/>
  <c r="AA730" i="3"/>
  <c r="AB729" i="3"/>
  <c r="AB681" i="3"/>
  <c r="AA682" i="3"/>
  <c r="X622" i="3"/>
  <c r="I622" i="3"/>
  <c r="H622" i="3"/>
  <c r="AA597" i="3"/>
  <c r="AB596" i="3"/>
  <c r="X493" i="3"/>
  <c r="H493" i="3"/>
  <c r="I493" i="3"/>
  <c r="X809" i="3"/>
  <c r="H809" i="3"/>
  <c r="I809" i="3"/>
  <c r="AA805" i="3"/>
  <c r="AB804" i="3"/>
  <c r="X745" i="3"/>
  <c r="I745" i="3"/>
  <c r="H745" i="3"/>
  <c r="AA741" i="3"/>
  <c r="AB740" i="3"/>
  <c r="X666" i="3"/>
  <c r="I666" i="3"/>
  <c r="H666" i="3"/>
  <c r="X831" i="3"/>
  <c r="I831" i="3"/>
  <c r="H831" i="3"/>
  <c r="AA827" i="3"/>
  <c r="AB826" i="3"/>
  <c r="X767" i="3"/>
  <c r="H767" i="3"/>
  <c r="I767" i="3"/>
  <c r="AB762" i="3"/>
  <c r="AA763" i="3"/>
  <c r="X703" i="3"/>
  <c r="H703" i="3"/>
  <c r="I703" i="3"/>
  <c r="AB698" i="3"/>
  <c r="AA699" i="3"/>
  <c r="X834" i="3"/>
  <c r="I834" i="3"/>
  <c r="H834" i="3"/>
  <c r="AB829" i="3"/>
  <c r="AA830" i="3"/>
  <c r="X770" i="3"/>
  <c r="H770" i="3"/>
  <c r="I770" i="3"/>
  <c r="AB765" i="3"/>
  <c r="AA766" i="3"/>
  <c r="X706" i="3"/>
  <c r="I706" i="3"/>
  <c r="H706" i="3"/>
  <c r="AA702" i="3"/>
  <c r="AB701" i="3"/>
  <c r="X837" i="3"/>
  <c r="I837" i="3"/>
  <c r="H837" i="3"/>
  <c r="AA833" i="3"/>
  <c r="AB832" i="3"/>
  <c r="X773" i="3"/>
  <c r="H773" i="3"/>
  <c r="I773" i="3"/>
  <c r="AB768" i="3"/>
  <c r="AA769" i="3"/>
  <c r="X709" i="3"/>
  <c r="I709" i="3"/>
  <c r="H709" i="3"/>
  <c r="AB704" i="3"/>
  <c r="AA705" i="3"/>
  <c r="X625" i="3"/>
  <c r="I625" i="3"/>
  <c r="H625" i="3"/>
  <c r="AB620" i="3"/>
  <c r="AA621" i="3"/>
  <c r="X549" i="3"/>
  <c r="H549" i="3"/>
  <c r="I549" i="3"/>
  <c r="X660" i="3"/>
  <c r="H660" i="3"/>
  <c r="I660" i="3"/>
  <c r="AA656" i="3"/>
  <c r="AB655" i="3"/>
  <c r="X647" i="3"/>
  <c r="I647" i="3"/>
  <c r="H647" i="3"/>
  <c r="AB642" i="3"/>
  <c r="AA643" i="3"/>
  <c r="X677" i="3"/>
  <c r="I677" i="3"/>
  <c r="H677" i="3"/>
  <c r="AB672" i="3"/>
  <c r="AA673" i="3"/>
  <c r="X613" i="3"/>
  <c r="I613" i="3"/>
  <c r="H613" i="3"/>
  <c r="AB608" i="3"/>
  <c r="AA609" i="3"/>
  <c r="AB560" i="3"/>
  <c r="AA561" i="3"/>
  <c r="AA328" i="3"/>
  <c r="AB327" i="3"/>
  <c r="AB683" i="3"/>
  <c r="AA684" i="3"/>
  <c r="X624" i="3"/>
  <c r="H624" i="3"/>
  <c r="I624" i="3"/>
  <c r="AB619" i="3"/>
  <c r="AA620" i="3"/>
  <c r="X604" i="3"/>
  <c r="H604" i="3"/>
  <c r="I604" i="3"/>
  <c r="X545" i="3"/>
  <c r="H545" i="3"/>
  <c r="I545" i="3"/>
  <c r="X659" i="3"/>
  <c r="I659" i="3"/>
  <c r="H659" i="3"/>
  <c r="AA655" i="3"/>
  <c r="AB654" i="3"/>
  <c r="X596" i="3"/>
  <c r="H596" i="3"/>
  <c r="I596" i="3"/>
  <c r="AA592" i="3"/>
  <c r="AB591" i="3"/>
  <c r="X532" i="3"/>
  <c r="I532" i="3"/>
  <c r="H532" i="3"/>
  <c r="I473" i="3"/>
  <c r="X473" i="3"/>
  <c r="H473" i="3"/>
  <c r="X567" i="3"/>
  <c r="H567" i="3"/>
  <c r="I567" i="3"/>
  <c r="AB562" i="3"/>
  <c r="AA563" i="3"/>
  <c r="X602" i="3"/>
  <c r="I602" i="3"/>
  <c r="H602" i="3"/>
  <c r="AB597" i="3"/>
  <c r="AA598" i="3"/>
  <c r="X538" i="3"/>
  <c r="I538" i="3"/>
  <c r="H538" i="3"/>
  <c r="AA534" i="3"/>
  <c r="AB533" i="3"/>
  <c r="X497" i="3"/>
  <c r="H497" i="3"/>
  <c r="I497" i="3"/>
  <c r="AB603" i="3"/>
  <c r="AA604" i="3"/>
  <c r="X544" i="3"/>
  <c r="I544" i="3"/>
  <c r="H544" i="3"/>
  <c r="AB539" i="3"/>
  <c r="AA540" i="3"/>
  <c r="X520" i="3"/>
  <c r="I520" i="3"/>
  <c r="H520" i="3"/>
  <c r="X595" i="3"/>
  <c r="I595" i="3"/>
  <c r="H595" i="3"/>
  <c r="AB590" i="3"/>
  <c r="AA591" i="3"/>
  <c r="X531" i="3"/>
  <c r="I531" i="3"/>
  <c r="H531" i="3"/>
  <c r="I469" i="3"/>
  <c r="X469" i="3"/>
  <c r="H469" i="3"/>
  <c r="AA602" i="3"/>
  <c r="AB601" i="3"/>
  <c r="X542" i="3"/>
  <c r="H542" i="3"/>
  <c r="I542" i="3"/>
  <c r="AB537" i="3"/>
  <c r="AA538" i="3"/>
  <c r="X513" i="3"/>
  <c r="H513" i="3"/>
  <c r="I513" i="3"/>
  <c r="X512" i="3"/>
  <c r="H512" i="3"/>
  <c r="I512" i="3"/>
  <c r="AB507" i="3"/>
  <c r="AA508" i="3"/>
  <c r="X523" i="3"/>
  <c r="I523" i="3"/>
  <c r="H523" i="3"/>
  <c r="AA519" i="3"/>
  <c r="AB518" i="3"/>
  <c r="X459" i="3"/>
  <c r="I459" i="3"/>
  <c r="H459" i="3"/>
  <c r="AA455" i="3"/>
  <c r="AB454" i="3"/>
  <c r="H470" i="3"/>
  <c r="I470" i="3"/>
  <c r="X470" i="3"/>
  <c r="AB465" i="3"/>
  <c r="AA466" i="3"/>
  <c r="AB411" i="3"/>
  <c r="AA412" i="3"/>
  <c r="H476" i="3"/>
  <c r="X476" i="3"/>
  <c r="I476" i="3"/>
  <c r="AB471" i="3"/>
  <c r="AA472" i="3"/>
  <c r="AB435" i="3"/>
  <c r="AA436" i="3"/>
  <c r="X376" i="3"/>
  <c r="H376" i="3"/>
  <c r="I376" i="3"/>
  <c r="AA312" i="3"/>
  <c r="AB311" i="3"/>
  <c r="H487" i="3"/>
  <c r="I487" i="3"/>
  <c r="X487" i="3"/>
  <c r="AB482" i="3"/>
  <c r="AA483" i="3"/>
  <c r="I420" i="3"/>
  <c r="H420" i="3"/>
  <c r="X420" i="3"/>
  <c r="I498" i="3"/>
  <c r="X498" i="3"/>
  <c r="H498" i="3"/>
  <c r="AB493" i="3"/>
  <c r="AA494" i="3"/>
  <c r="H348" i="3"/>
  <c r="X348" i="3"/>
  <c r="I348" i="3"/>
  <c r="X431" i="3"/>
  <c r="H431" i="3"/>
  <c r="I431" i="3"/>
  <c r="AA427" i="3"/>
  <c r="AB426" i="3"/>
  <c r="X293" i="3"/>
  <c r="H293" i="3"/>
  <c r="I293" i="3"/>
  <c r="I442" i="3"/>
  <c r="H442" i="3"/>
  <c r="X442" i="3"/>
  <c r="AB437" i="3"/>
  <c r="AA438" i="3"/>
  <c r="H378" i="3"/>
  <c r="X378" i="3"/>
  <c r="I378" i="3"/>
  <c r="AB373" i="3"/>
  <c r="AA374" i="3"/>
  <c r="AB319" i="3"/>
  <c r="AA320" i="3"/>
  <c r="AB448" i="3"/>
  <c r="AA449" i="3"/>
  <c r="X389" i="3"/>
  <c r="H389" i="3"/>
  <c r="I389" i="3"/>
  <c r="AA385" i="3"/>
  <c r="AB384" i="3"/>
  <c r="AA364" i="3"/>
  <c r="AB363" i="3"/>
  <c r="X304" i="3"/>
  <c r="H304" i="3"/>
  <c r="I304" i="3"/>
  <c r="H395" i="3"/>
  <c r="I395" i="3"/>
  <c r="X395" i="3"/>
  <c r="AB390" i="3"/>
  <c r="AA391" i="3"/>
  <c r="H328" i="3"/>
  <c r="I328" i="3"/>
  <c r="X328" i="3"/>
  <c r="H406" i="3"/>
  <c r="I406" i="3"/>
  <c r="X406" i="3"/>
  <c r="AB401" i="3"/>
  <c r="AA402" i="3"/>
  <c r="AB215" i="3"/>
  <c r="AA216" i="3"/>
  <c r="X393" i="3"/>
  <c r="H393" i="3"/>
  <c r="I393" i="3"/>
  <c r="AB388" i="3"/>
  <c r="AA389" i="3"/>
  <c r="H320" i="3"/>
  <c r="X320" i="3"/>
  <c r="I320" i="3"/>
  <c r="H343" i="3"/>
  <c r="X343" i="3"/>
  <c r="I343" i="3"/>
  <c r="AB338" i="3"/>
  <c r="AA339" i="3"/>
  <c r="AA292" i="3"/>
  <c r="AB291" i="3"/>
  <c r="X354" i="3"/>
  <c r="I354" i="3"/>
  <c r="H354" i="3"/>
  <c r="AA350" i="3"/>
  <c r="AB349" i="3"/>
  <c r="I341" i="3"/>
  <c r="X341" i="3"/>
  <c r="H341" i="3"/>
  <c r="AB336" i="3"/>
  <c r="AA337" i="3"/>
  <c r="H287" i="3"/>
  <c r="I287" i="3"/>
  <c r="X287" i="3"/>
  <c r="X347" i="3"/>
  <c r="I347" i="3"/>
  <c r="H347" i="3"/>
  <c r="AA343" i="3"/>
  <c r="AB342" i="3"/>
  <c r="I358" i="3"/>
  <c r="H358" i="3"/>
  <c r="X358" i="3"/>
  <c r="AA354" i="3"/>
  <c r="AB353" i="3"/>
  <c r="H345" i="3"/>
  <c r="X345" i="3"/>
  <c r="I345" i="3"/>
  <c r="AB340" i="3"/>
  <c r="AA341" i="3"/>
  <c r="H255" i="3"/>
  <c r="X255" i="3"/>
  <c r="I255" i="3"/>
  <c r="AA251" i="3"/>
  <c r="AB250" i="3"/>
  <c r="AA200" i="3"/>
  <c r="AB199" i="3"/>
  <c r="AA156" i="3"/>
  <c r="AB155" i="3"/>
  <c r="X282" i="3"/>
  <c r="H282" i="3"/>
  <c r="I282" i="3"/>
  <c r="AB277" i="3"/>
  <c r="AA278" i="3"/>
  <c r="H218" i="3"/>
  <c r="I218" i="3"/>
  <c r="X218" i="3"/>
  <c r="AA214" i="3"/>
  <c r="AB213" i="3"/>
  <c r="I237" i="3"/>
  <c r="X237" i="3"/>
  <c r="H237" i="3"/>
  <c r="AB232" i="3"/>
  <c r="AA233" i="3"/>
  <c r="I203" i="3"/>
  <c r="X203" i="3"/>
  <c r="H203" i="3"/>
  <c r="H243" i="3"/>
  <c r="X243" i="3"/>
  <c r="I243" i="3"/>
  <c r="AA239" i="3"/>
  <c r="AB238" i="3"/>
  <c r="X254" i="3"/>
  <c r="H254" i="3"/>
  <c r="I254" i="3"/>
  <c r="AA250" i="3"/>
  <c r="AB249" i="3"/>
  <c r="AA196" i="3"/>
  <c r="AB195" i="3"/>
  <c r="H265" i="3"/>
  <c r="I265" i="3"/>
  <c r="X265" i="3"/>
  <c r="AB260" i="3"/>
  <c r="AA261" i="3"/>
  <c r="X180" i="3"/>
  <c r="I180" i="3"/>
  <c r="H180" i="3"/>
  <c r="X179" i="3"/>
  <c r="I179" i="3"/>
  <c r="H179" i="3"/>
  <c r="AA175" i="3"/>
  <c r="AB174" i="3"/>
  <c r="I198" i="3"/>
  <c r="X198" i="3"/>
  <c r="H198" i="3"/>
  <c r="AA194" i="3"/>
  <c r="AB193" i="3"/>
  <c r="AA91" i="3"/>
  <c r="AB90" i="3"/>
  <c r="AB196" i="3"/>
  <c r="AA197" i="3"/>
  <c r="AB159" i="3"/>
  <c r="AA160" i="3"/>
  <c r="I167" i="3"/>
  <c r="X167" i="3"/>
  <c r="H167" i="3"/>
  <c r="H202" i="3"/>
  <c r="I202" i="3"/>
  <c r="X202" i="3"/>
  <c r="AB197" i="3"/>
  <c r="AA198" i="3"/>
  <c r="X128" i="3"/>
  <c r="I128" i="3"/>
  <c r="H128" i="3"/>
  <c r="X173" i="3"/>
  <c r="H173" i="3"/>
  <c r="I173" i="3"/>
  <c r="AA169" i="3"/>
  <c r="AB168" i="3"/>
  <c r="X131" i="3"/>
  <c r="H131" i="3"/>
  <c r="I131" i="3"/>
  <c r="AA127" i="3"/>
  <c r="AB126" i="3"/>
  <c r="AB118" i="3"/>
  <c r="AA119" i="3"/>
  <c r="I107" i="3"/>
  <c r="H107" i="3"/>
  <c r="X107" i="3"/>
  <c r="X134" i="3"/>
  <c r="I134" i="3"/>
  <c r="H134" i="3"/>
  <c r="AB129" i="3"/>
  <c r="AA130" i="3"/>
  <c r="AA115" i="3"/>
  <c r="AB114" i="3"/>
  <c r="I135" i="3"/>
  <c r="X135" i="3"/>
  <c r="H135" i="3"/>
  <c r="AB130" i="3"/>
  <c r="AA131" i="3"/>
  <c r="AB125" i="3"/>
  <c r="AA126" i="3"/>
  <c r="I79" i="3"/>
  <c r="H79" i="3"/>
  <c r="X79" i="3"/>
  <c r="H154" i="3"/>
  <c r="I154" i="3"/>
  <c r="X154" i="3"/>
  <c r="AB149" i="3"/>
  <c r="AA150" i="3"/>
  <c r="AB68" i="3"/>
  <c r="AA69" i="3"/>
  <c r="H133" i="3"/>
  <c r="X133" i="3"/>
  <c r="I133" i="3"/>
  <c r="AA129" i="3"/>
  <c r="AB128" i="3"/>
  <c r="X106" i="3"/>
  <c r="H106" i="3"/>
  <c r="I106" i="3"/>
  <c r="AB101" i="3"/>
  <c r="AA102" i="3"/>
  <c r="AB120" i="3"/>
  <c r="AA121" i="3"/>
  <c r="X113" i="3"/>
  <c r="H113" i="3"/>
  <c r="I113" i="3"/>
  <c r="AA109" i="3"/>
  <c r="AB108" i="3"/>
  <c r="X116" i="3"/>
  <c r="H116" i="3"/>
  <c r="I116" i="3"/>
  <c r="AB111" i="3"/>
  <c r="AA112" i="3"/>
  <c r="I71" i="3"/>
  <c r="X71" i="3"/>
  <c r="H71" i="3"/>
  <c r="X68" i="3"/>
  <c r="H68" i="3"/>
  <c r="I68" i="3"/>
  <c r="AB63" i="3"/>
  <c r="AA64" i="3"/>
  <c r="X66" i="3"/>
  <c r="H66" i="3"/>
  <c r="I66" i="3"/>
  <c r="X60" i="3"/>
  <c r="H60" i="3"/>
  <c r="I60" i="3"/>
  <c r="I69" i="3"/>
  <c r="X69" i="3"/>
  <c r="H69" i="3"/>
  <c r="AB64" i="3"/>
  <c r="AA65" i="3"/>
  <c r="I72" i="3"/>
  <c r="X72" i="3"/>
  <c r="H72" i="3"/>
  <c r="AB67" i="3"/>
  <c r="AA68" i="3"/>
  <c r="H75" i="3"/>
  <c r="I75" i="3"/>
  <c r="X75" i="3"/>
  <c r="AA71" i="3"/>
  <c r="AB70" i="3"/>
  <c r="I78" i="3"/>
  <c r="H78" i="3"/>
  <c r="X78" i="3"/>
  <c r="AA74" i="3"/>
  <c r="AB73" i="3"/>
  <c r="AB15" i="3"/>
  <c r="AA16" i="3"/>
  <c r="H11" i="3"/>
  <c r="I11" i="3"/>
  <c r="K8" i="3"/>
  <c r="X11" i="3"/>
  <c r="X14" i="3"/>
  <c r="I14" i="3"/>
  <c r="H14" i="3"/>
  <c r="X872" i="3"/>
  <c r="H872" i="3"/>
  <c r="I872" i="3"/>
  <c r="X764" i="3"/>
  <c r="H764" i="3"/>
  <c r="I764" i="3"/>
  <c r="AA772" i="3"/>
  <c r="AB771" i="3"/>
  <c r="X932" i="3"/>
  <c r="H932" i="3"/>
  <c r="I932" i="3"/>
  <c r="AB1003" i="3"/>
  <c r="AA1004" i="3"/>
  <c r="X988" i="3"/>
  <c r="H988" i="3"/>
  <c r="I988" i="3"/>
  <c r="AB927" i="3"/>
  <c r="AA928" i="3"/>
  <c r="AB939" i="3"/>
  <c r="AA940" i="3"/>
  <c r="AA984" i="3"/>
  <c r="AB983" i="3"/>
  <c r="X980" i="3"/>
  <c r="H980" i="3"/>
  <c r="I980" i="3"/>
  <c r="X992" i="3"/>
  <c r="H992" i="3"/>
  <c r="I992" i="3"/>
  <c r="X972" i="3"/>
  <c r="H972" i="3"/>
  <c r="I972" i="3"/>
  <c r="X896" i="3"/>
  <c r="I896" i="3"/>
  <c r="H896" i="3"/>
  <c r="AA876" i="3"/>
  <c r="AB875" i="3"/>
  <c r="X955" i="3"/>
  <c r="I955" i="3"/>
  <c r="H955" i="3"/>
  <c r="AB950" i="3"/>
  <c r="AA951" i="3"/>
  <c r="X891" i="3"/>
  <c r="I891" i="3"/>
  <c r="H891" i="3"/>
  <c r="AA887" i="3"/>
  <c r="AB886" i="3"/>
  <c r="AB1001" i="3"/>
  <c r="AA1002" i="3"/>
  <c r="X942" i="3"/>
  <c r="I942" i="3"/>
  <c r="H942" i="3"/>
  <c r="AA938" i="3"/>
  <c r="AB937" i="3"/>
  <c r="X878" i="3"/>
  <c r="H878" i="3"/>
  <c r="I878" i="3"/>
  <c r="AA874" i="3"/>
  <c r="AB873" i="3"/>
  <c r="X828" i="3"/>
  <c r="H828" i="3"/>
  <c r="I828" i="3"/>
  <c r="AB1004" i="3"/>
  <c r="X945" i="3"/>
  <c r="I945" i="3"/>
  <c r="H945" i="3"/>
  <c r="AB940" i="3"/>
  <c r="AA941" i="3"/>
  <c r="X881" i="3"/>
  <c r="H881" i="3"/>
  <c r="I881" i="3"/>
  <c r="AB876" i="3"/>
  <c r="AA877" i="3"/>
  <c r="X840" i="3"/>
  <c r="H840" i="3"/>
  <c r="I840" i="3"/>
  <c r="X724" i="3"/>
  <c r="I724" i="3"/>
  <c r="H724" i="3"/>
  <c r="AA904" i="3"/>
  <c r="AB903" i="3"/>
  <c r="AB1002" i="3"/>
  <c r="AA1003" i="3"/>
  <c r="X943" i="3"/>
  <c r="I943" i="3"/>
  <c r="H943" i="3"/>
  <c r="AB938" i="3"/>
  <c r="AA939" i="3"/>
  <c r="X879" i="3"/>
  <c r="H879" i="3"/>
  <c r="I879" i="3"/>
  <c r="AA875" i="3"/>
  <c r="AB874" i="3"/>
  <c r="X832" i="3"/>
  <c r="H832" i="3"/>
  <c r="I832" i="3"/>
  <c r="AB895" i="3"/>
  <c r="AA896" i="3"/>
  <c r="X884" i="3"/>
  <c r="H884" i="3"/>
  <c r="I884" i="3"/>
  <c r="X994" i="3"/>
  <c r="H994" i="3"/>
  <c r="I994" i="3"/>
  <c r="AB989" i="3"/>
  <c r="AA990" i="3"/>
  <c r="X930" i="3"/>
  <c r="H930" i="3"/>
  <c r="I930" i="3"/>
  <c r="AB925" i="3"/>
  <c r="AA926" i="3"/>
  <c r="AA840" i="3"/>
  <c r="AB839" i="3"/>
  <c r="X780" i="3"/>
  <c r="H780" i="3"/>
  <c r="I780" i="3"/>
  <c r="X981" i="3"/>
  <c r="H981" i="3"/>
  <c r="I981" i="3"/>
  <c r="AB976" i="3"/>
  <c r="AA977" i="3"/>
  <c r="X917" i="3"/>
  <c r="I917" i="3"/>
  <c r="H917" i="3"/>
  <c r="AB912" i="3"/>
  <c r="AA913" i="3"/>
  <c r="AB787" i="3"/>
  <c r="AA788" i="3"/>
  <c r="X728" i="3"/>
  <c r="H728" i="3"/>
  <c r="I728" i="3"/>
  <c r="X819" i="3"/>
  <c r="H819" i="3"/>
  <c r="I819" i="3"/>
  <c r="AA815" i="3"/>
  <c r="AB814" i="3"/>
  <c r="X755" i="3"/>
  <c r="H755" i="3"/>
  <c r="I755" i="3"/>
  <c r="AB750" i="3"/>
  <c r="AA751" i="3"/>
  <c r="X691" i="3"/>
  <c r="H691" i="3"/>
  <c r="I691" i="3"/>
  <c r="X822" i="3"/>
  <c r="I822" i="3"/>
  <c r="H822" i="3"/>
  <c r="AA818" i="3"/>
  <c r="AB817" i="3"/>
  <c r="X758" i="3"/>
  <c r="I758" i="3"/>
  <c r="H758" i="3"/>
  <c r="AB753" i="3"/>
  <c r="AA754" i="3"/>
  <c r="X694" i="3"/>
  <c r="H694" i="3"/>
  <c r="I694" i="3"/>
  <c r="AB689" i="3"/>
  <c r="AA690" i="3"/>
  <c r="X833" i="3"/>
  <c r="I833" i="3"/>
  <c r="H833" i="3"/>
  <c r="AB828" i="3"/>
  <c r="AA829" i="3"/>
  <c r="X769" i="3"/>
  <c r="H769" i="3"/>
  <c r="I769" i="3"/>
  <c r="AA765" i="3"/>
  <c r="AB764" i="3"/>
  <c r="X705" i="3"/>
  <c r="I705" i="3"/>
  <c r="H705" i="3"/>
  <c r="AA701" i="3"/>
  <c r="AB700" i="3"/>
  <c r="AA642" i="3"/>
  <c r="AB641" i="3"/>
  <c r="X855" i="3"/>
  <c r="I855" i="3"/>
  <c r="H855" i="3"/>
  <c r="AB850" i="3"/>
  <c r="AA851" i="3"/>
  <c r="X791" i="3"/>
  <c r="I791" i="3"/>
  <c r="H791" i="3"/>
  <c r="AA787" i="3"/>
  <c r="AB786" i="3"/>
  <c r="X727" i="3"/>
  <c r="H727" i="3"/>
  <c r="I727" i="3"/>
  <c r="AB722" i="3"/>
  <c r="AA723" i="3"/>
  <c r="AB653" i="3"/>
  <c r="AA654" i="3"/>
  <c r="X858" i="3"/>
  <c r="H858" i="3"/>
  <c r="I858" i="3"/>
  <c r="AA854" i="3"/>
  <c r="AB853" i="3"/>
  <c r="X794" i="3"/>
  <c r="H794" i="3"/>
  <c r="I794" i="3"/>
  <c r="AA790" i="3"/>
  <c r="AB789" i="3"/>
  <c r="X730" i="3"/>
  <c r="H730" i="3"/>
  <c r="I730" i="3"/>
  <c r="AB725" i="3"/>
  <c r="AA726" i="3"/>
  <c r="AA685" i="3"/>
  <c r="AB684" i="3"/>
  <c r="AA666" i="3"/>
  <c r="AB665" i="3"/>
  <c r="X606" i="3"/>
  <c r="I606" i="3"/>
  <c r="H606" i="3"/>
  <c r="AB532" i="3"/>
  <c r="AA533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AB677" i="3"/>
  <c r="AA678" i="3"/>
  <c r="X618" i="3"/>
  <c r="H618" i="3"/>
  <c r="I618" i="3"/>
  <c r="AB580" i="3"/>
  <c r="AA581" i="3"/>
  <c r="X649" i="3"/>
  <c r="I649" i="3"/>
  <c r="H649" i="3"/>
  <c r="AA645" i="3"/>
  <c r="AB644" i="3"/>
  <c r="X525" i="3"/>
  <c r="H525" i="3"/>
  <c r="I525" i="3"/>
  <c r="X684" i="3"/>
  <c r="I684" i="3"/>
  <c r="H684" i="3"/>
  <c r="AB679" i="3"/>
  <c r="AA680" i="3"/>
  <c r="X620" i="3"/>
  <c r="H620" i="3"/>
  <c r="I620" i="3"/>
  <c r="AB615" i="3"/>
  <c r="AA616" i="3"/>
  <c r="AA589" i="3"/>
  <c r="AB588" i="3"/>
  <c r="X529" i="3"/>
  <c r="I529" i="3"/>
  <c r="H529" i="3"/>
  <c r="H461" i="3"/>
  <c r="I461" i="3"/>
  <c r="X461" i="3"/>
  <c r="X671" i="3"/>
  <c r="I671" i="3"/>
  <c r="H671" i="3"/>
  <c r="AA667" i="3"/>
  <c r="AB666" i="3"/>
  <c r="X607" i="3"/>
  <c r="H607" i="3"/>
  <c r="I607" i="3"/>
  <c r="AA537" i="3"/>
  <c r="AB536" i="3"/>
  <c r="X637" i="3"/>
  <c r="I637" i="3"/>
  <c r="H637" i="3"/>
  <c r="AA633" i="3"/>
  <c r="AB632" i="3"/>
  <c r="X597" i="3"/>
  <c r="H597" i="3"/>
  <c r="I597" i="3"/>
  <c r="X648" i="3"/>
  <c r="H648" i="3"/>
  <c r="I648" i="3"/>
  <c r="AB643" i="3"/>
  <c r="AA644" i="3"/>
  <c r="X683" i="3"/>
  <c r="I683" i="3"/>
  <c r="H683" i="3"/>
  <c r="AB678" i="3"/>
  <c r="AA679" i="3"/>
  <c r="X619" i="3"/>
  <c r="I619" i="3"/>
  <c r="H619" i="3"/>
  <c r="AB614" i="3"/>
  <c r="AA615" i="3"/>
  <c r="AB584" i="3"/>
  <c r="AA585" i="3"/>
  <c r="X556" i="3"/>
  <c r="I556" i="3"/>
  <c r="H556" i="3"/>
  <c r="AA552" i="3"/>
  <c r="AB551" i="3"/>
  <c r="X591" i="3"/>
  <c r="I591" i="3"/>
  <c r="H591" i="3"/>
  <c r="AB586" i="3"/>
  <c r="AA587" i="3"/>
  <c r="AA513" i="3"/>
  <c r="AB512" i="3"/>
  <c r="H453" i="3"/>
  <c r="I453" i="3"/>
  <c r="X453" i="3"/>
  <c r="X562" i="3"/>
  <c r="H562" i="3"/>
  <c r="I562" i="3"/>
  <c r="AA558" i="3"/>
  <c r="AB557" i="3"/>
  <c r="AA392" i="3"/>
  <c r="AB391" i="3"/>
  <c r="X568" i="3"/>
  <c r="H568" i="3"/>
  <c r="I568" i="3"/>
  <c r="AB563" i="3"/>
  <c r="AA564" i="3"/>
  <c r="X555" i="3"/>
  <c r="H555" i="3"/>
  <c r="I555" i="3"/>
  <c r="AA551" i="3"/>
  <c r="AB550" i="3"/>
  <c r="X566" i="3"/>
  <c r="H566" i="3"/>
  <c r="I566" i="3"/>
  <c r="AA562" i="3"/>
  <c r="AB561" i="3"/>
  <c r="I472" i="3"/>
  <c r="H472" i="3"/>
  <c r="X472" i="3"/>
  <c r="AA468" i="3"/>
  <c r="AB467" i="3"/>
  <c r="AA420" i="3"/>
  <c r="AB419" i="3"/>
  <c r="I483" i="3"/>
  <c r="X483" i="3"/>
  <c r="H483" i="3"/>
  <c r="AB478" i="3"/>
  <c r="AA479" i="3"/>
  <c r="H404" i="3"/>
  <c r="X404" i="3"/>
  <c r="I404" i="3"/>
  <c r="H494" i="3"/>
  <c r="I494" i="3"/>
  <c r="X494" i="3"/>
  <c r="AA490" i="3"/>
  <c r="AB489" i="3"/>
  <c r="H448" i="3"/>
  <c r="X448" i="3"/>
  <c r="I448" i="3"/>
  <c r="H500" i="3"/>
  <c r="I500" i="3"/>
  <c r="X500" i="3"/>
  <c r="AB495" i="3"/>
  <c r="AA496" i="3"/>
  <c r="X511" i="3"/>
  <c r="I511" i="3"/>
  <c r="H511" i="3"/>
  <c r="AB506" i="3"/>
  <c r="AA507" i="3"/>
  <c r="X522" i="3"/>
  <c r="H522" i="3"/>
  <c r="I522" i="3"/>
  <c r="AB517" i="3"/>
  <c r="AA518" i="3"/>
  <c r="H458" i="3"/>
  <c r="I458" i="3"/>
  <c r="X458" i="3"/>
  <c r="AB453" i="3"/>
  <c r="AA454" i="3"/>
  <c r="AB450" i="3"/>
  <c r="AA451" i="3"/>
  <c r="H391" i="3"/>
  <c r="X391" i="3"/>
  <c r="I391" i="3"/>
  <c r="AB386" i="3"/>
  <c r="AA387" i="3"/>
  <c r="H312" i="3"/>
  <c r="X312" i="3"/>
  <c r="I312" i="3"/>
  <c r="AB288" i="3"/>
  <c r="AA289" i="3"/>
  <c r="X402" i="3"/>
  <c r="H402" i="3"/>
  <c r="I402" i="3"/>
  <c r="AA398" i="3"/>
  <c r="AB397" i="3"/>
  <c r="X356" i="3"/>
  <c r="H356" i="3"/>
  <c r="I356" i="3"/>
  <c r="H413" i="3"/>
  <c r="X413" i="3"/>
  <c r="I413" i="3"/>
  <c r="AB408" i="3"/>
  <c r="AA409" i="3"/>
  <c r="X419" i="3"/>
  <c r="I419" i="3"/>
  <c r="H419" i="3"/>
  <c r="AB414" i="3"/>
  <c r="AA415" i="3"/>
  <c r="H430" i="3"/>
  <c r="X430" i="3"/>
  <c r="I430" i="3"/>
  <c r="AB425" i="3"/>
  <c r="AA426" i="3"/>
  <c r="H284" i="3"/>
  <c r="I284" i="3"/>
  <c r="X284" i="3"/>
  <c r="H417" i="3"/>
  <c r="I417" i="3"/>
  <c r="X417" i="3"/>
  <c r="AB412" i="3"/>
  <c r="AA413" i="3"/>
  <c r="X367" i="3"/>
  <c r="H367" i="3"/>
  <c r="I367" i="3"/>
  <c r="AB362" i="3"/>
  <c r="AA363" i="3"/>
  <c r="I303" i="3"/>
  <c r="H303" i="3"/>
  <c r="X303" i="3"/>
  <c r="AA299" i="3"/>
  <c r="AB298" i="3"/>
  <c r="I314" i="3"/>
  <c r="H314" i="3"/>
  <c r="X314" i="3"/>
  <c r="AA310" i="3"/>
  <c r="AB309" i="3"/>
  <c r="X292" i="3"/>
  <c r="I292" i="3"/>
  <c r="H292" i="3"/>
  <c r="AB239" i="3"/>
  <c r="AA240" i="3"/>
  <c r="I365" i="3"/>
  <c r="X365" i="3"/>
  <c r="H365" i="3"/>
  <c r="AB360" i="3"/>
  <c r="AA361" i="3"/>
  <c r="H301" i="3"/>
  <c r="I301" i="3"/>
  <c r="X301" i="3"/>
  <c r="I371" i="3"/>
  <c r="H371" i="3"/>
  <c r="X371" i="3"/>
  <c r="AA367" i="3"/>
  <c r="AB366" i="3"/>
  <c r="H307" i="3"/>
  <c r="I307" i="3"/>
  <c r="X307" i="3"/>
  <c r="AA303" i="3"/>
  <c r="AB302" i="3"/>
  <c r="X288" i="3"/>
  <c r="H288" i="3"/>
  <c r="I288" i="3"/>
  <c r="H318" i="3"/>
  <c r="X318" i="3"/>
  <c r="I318" i="3"/>
  <c r="AA314" i="3"/>
  <c r="AB313" i="3"/>
  <c r="AB255" i="3"/>
  <c r="AA256" i="3"/>
  <c r="H369" i="3"/>
  <c r="X369" i="3"/>
  <c r="I369" i="3"/>
  <c r="AB364" i="3"/>
  <c r="AA365" i="3"/>
  <c r="H305" i="3"/>
  <c r="I305" i="3"/>
  <c r="X305" i="3"/>
  <c r="AA301" i="3"/>
  <c r="AB300" i="3"/>
  <c r="I279" i="3"/>
  <c r="X279" i="3"/>
  <c r="H279" i="3"/>
  <c r="AA275" i="3"/>
  <c r="AB274" i="3"/>
  <c r="I215" i="3"/>
  <c r="X215" i="3"/>
  <c r="H215" i="3"/>
  <c r="H242" i="3"/>
  <c r="I242" i="3"/>
  <c r="X242" i="3"/>
  <c r="AB237" i="3"/>
  <c r="AA238" i="3"/>
  <c r="AB203" i="3"/>
  <c r="AA204" i="3"/>
  <c r="H261" i="3"/>
  <c r="I261" i="3"/>
  <c r="X261" i="3"/>
  <c r="AB256" i="3"/>
  <c r="AA257" i="3"/>
  <c r="I163" i="3"/>
  <c r="X163" i="3"/>
  <c r="H163" i="3"/>
  <c r="I267" i="3"/>
  <c r="X267" i="3"/>
  <c r="H267" i="3"/>
  <c r="AB262" i="3"/>
  <c r="AA263" i="3"/>
  <c r="H204" i="3"/>
  <c r="X204" i="3"/>
  <c r="I204" i="3"/>
  <c r="I188" i="3"/>
  <c r="H188" i="3"/>
  <c r="X188" i="3"/>
  <c r="I87" i="3"/>
  <c r="X87" i="3"/>
  <c r="H87" i="3"/>
  <c r="H278" i="3"/>
  <c r="X278" i="3"/>
  <c r="I278" i="3"/>
  <c r="AA274" i="3"/>
  <c r="AB273" i="3"/>
  <c r="X214" i="3"/>
  <c r="I214" i="3"/>
  <c r="H214" i="3"/>
  <c r="X289" i="3"/>
  <c r="I289" i="3"/>
  <c r="H289" i="3"/>
  <c r="AB284" i="3"/>
  <c r="AA285" i="3"/>
  <c r="H225" i="3"/>
  <c r="X225" i="3"/>
  <c r="I225" i="3"/>
  <c r="AA221" i="3"/>
  <c r="AB220" i="3"/>
  <c r="AB198" i="3"/>
  <c r="AA199" i="3"/>
  <c r="I132" i="3"/>
  <c r="H132" i="3"/>
  <c r="X132" i="3"/>
  <c r="X191" i="3"/>
  <c r="I191" i="3"/>
  <c r="H191" i="3"/>
  <c r="AB186" i="3"/>
  <c r="AA187" i="3"/>
  <c r="AB143" i="3"/>
  <c r="AA144" i="3"/>
  <c r="X197" i="3"/>
  <c r="I197" i="3"/>
  <c r="H197" i="3"/>
  <c r="AA193" i="3"/>
  <c r="AB192" i="3"/>
  <c r="AB150" i="3"/>
  <c r="AA151" i="3"/>
  <c r="H158" i="3"/>
  <c r="X158" i="3"/>
  <c r="I158" i="3"/>
  <c r="AB153" i="3"/>
  <c r="AA154" i="3"/>
  <c r="I159" i="3"/>
  <c r="X159" i="3"/>
  <c r="H159" i="3"/>
  <c r="AB154" i="3"/>
  <c r="AA155" i="3"/>
  <c r="X115" i="3"/>
  <c r="H115" i="3"/>
  <c r="I115" i="3"/>
  <c r="AB123" i="3"/>
  <c r="AA124" i="3"/>
  <c r="AA99" i="3"/>
  <c r="AB98" i="3"/>
  <c r="X157" i="3"/>
  <c r="H157" i="3"/>
  <c r="I157" i="3"/>
  <c r="AB152" i="3"/>
  <c r="AA153" i="3"/>
  <c r="I65" i="3"/>
  <c r="X65" i="3"/>
  <c r="H65" i="3"/>
  <c r="H96" i="3"/>
  <c r="X96" i="3"/>
  <c r="I96" i="3"/>
  <c r="AA92" i="3"/>
  <c r="AB91" i="3"/>
  <c r="H84" i="3"/>
  <c r="I84" i="3"/>
  <c r="X84" i="3"/>
  <c r="X94" i="3"/>
  <c r="I94" i="3"/>
  <c r="H94" i="3"/>
  <c r="AB89" i="3"/>
  <c r="AA90" i="3"/>
  <c r="AB80" i="3"/>
  <c r="AA81" i="3"/>
  <c r="AB76" i="3"/>
  <c r="AA77" i="3"/>
  <c r="AB43" i="3"/>
  <c r="AA44" i="3"/>
  <c r="AB85" i="3"/>
  <c r="AA86" i="3"/>
  <c r="AB39" i="3"/>
  <c r="AA40" i="3"/>
  <c r="AB45" i="3"/>
  <c r="AA46" i="3"/>
  <c r="AA52" i="3"/>
  <c r="AB51" i="3"/>
  <c r="X57" i="3"/>
  <c r="H57" i="3"/>
  <c r="I57" i="3"/>
  <c r="X35" i="3"/>
  <c r="H35" i="3"/>
  <c r="I35" i="3"/>
  <c r="AB30" i="3"/>
  <c r="AA31" i="3"/>
  <c r="I38" i="3"/>
  <c r="X38" i="3"/>
  <c r="H38" i="3"/>
  <c r="AB33" i="3"/>
  <c r="AA34" i="3"/>
  <c r="I31" i="3"/>
  <c r="H31" i="3"/>
  <c r="X31" i="3"/>
  <c r="AA27" i="3"/>
  <c r="AB26" i="3"/>
  <c r="H29" i="3"/>
  <c r="I29" i="3"/>
  <c r="X29" i="3"/>
  <c r="AA25" i="3"/>
  <c r="AB24" i="3"/>
  <c r="AA976" i="3"/>
  <c r="AB975" i="3"/>
  <c r="X1003" i="3"/>
  <c r="I1003" i="3"/>
  <c r="H1003" i="3"/>
  <c r="X929" i="3"/>
  <c r="I929" i="3"/>
  <c r="H929" i="3"/>
  <c r="X880" i="3"/>
  <c r="I880" i="3"/>
  <c r="H880" i="3"/>
  <c r="AA919" i="3"/>
  <c r="AB918" i="3"/>
  <c r="X984" i="3"/>
  <c r="I984" i="3"/>
  <c r="H984" i="3"/>
  <c r="X964" i="3"/>
  <c r="I964" i="3"/>
  <c r="H964" i="3"/>
  <c r="AB923" i="3"/>
  <c r="AA924" i="3"/>
  <c r="X976" i="3"/>
  <c r="H976" i="3"/>
  <c r="I976" i="3"/>
  <c r="AB931" i="3"/>
  <c r="AA932" i="3"/>
  <c r="X904" i="3"/>
  <c r="I904" i="3"/>
  <c r="H904" i="3"/>
  <c r="X979" i="3"/>
  <c r="H979" i="3"/>
  <c r="I979" i="3"/>
  <c r="AA975" i="3"/>
  <c r="AB974" i="3"/>
  <c r="X915" i="3"/>
  <c r="H915" i="3"/>
  <c r="I915" i="3"/>
  <c r="AA911" i="3"/>
  <c r="AB910" i="3"/>
  <c r="AB779" i="3"/>
  <c r="AA780" i="3"/>
  <c r="X720" i="3"/>
  <c r="H720" i="3"/>
  <c r="I720" i="3"/>
  <c r="X966" i="3"/>
  <c r="H966" i="3"/>
  <c r="I966" i="3"/>
  <c r="AA962" i="3"/>
  <c r="AB961" i="3"/>
  <c r="X902" i="3"/>
  <c r="H902" i="3"/>
  <c r="I902" i="3"/>
  <c r="AA898" i="3"/>
  <c r="AB897" i="3"/>
  <c r="AB727" i="3"/>
  <c r="AA728" i="3"/>
  <c r="AA916" i="3"/>
  <c r="AB915" i="3"/>
  <c r="X969" i="3"/>
  <c r="I969" i="3"/>
  <c r="H969" i="3"/>
  <c r="AA965" i="3"/>
  <c r="AB964" i="3"/>
  <c r="X905" i="3"/>
  <c r="H905" i="3"/>
  <c r="I905" i="3"/>
  <c r="AA901" i="3"/>
  <c r="AB900" i="3"/>
  <c r="AB739" i="3"/>
  <c r="AA740" i="3"/>
  <c r="X662" i="3"/>
  <c r="H662" i="3"/>
  <c r="I662" i="3"/>
  <c r="AB847" i="3"/>
  <c r="AA848" i="3"/>
  <c r="X788" i="3"/>
  <c r="H788" i="3"/>
  <c r="I788" i="3"/>
  <c r="X967" i="3"/>
  <c r="H967" i="3"/>
  <c r="I967" i="3"/>
  <c r="AA963" i="3"/>
  <c r="AB962" i="3"/>
  <c r="X903" i="3"/>
  <c r="H903" i="3"/>
  <c r="I903" i="3"/>
  <c r="AA899" i="3"/>
  <c r="AB898" i="3"/>
  <c r="AB731" i="3"/>
  <c r="AA732" i="3"/>
  <c r="X954" i="3"/>
  <c r="H954" i="3"/>
  <c r="I954" i="3"/>
  <c r="AA950" i="3"/>
  <c r="AB949" i="3"/>
  <c r="X890" i="3"/>
  <c r="H890" i="3"/>
  <c r="I890" i="3"/>
  <c r="AB885" i="3"/>
  <c r="AA886" i="3"/>
  <c r="AB1000" i="3"/>
  <c r="AA1001" i="3"/>
  <c r="X941" i="3"/>
  <c r="I941" i="3"/>
  <c r="H941" i="3"/>
  <c r="AA937" i="3"/>
  <c r="AB936" i="3"/>
  <c r="X877" i="3"/>
  <c r="I877" i="3"/>
  <c r="H877" i="3"/>
  <c r="AA873" i="3"/>
  <c r="AB872" i="3"/>
  <c r="X824" i="3"/>
  <c r="I824" i="3"/>
  <c r="H824" i="3"/>
  <c r="AA686" i="3"/>
  <c r="AB685" i="3"/>
  <c r="AB863" i="3"/>
  <c r="AA864" i="3"/>
  <c r="AB799" i="3"/>
  <c r="AA800" i="3"/>
  <c r="AB735" i="3"/>
  <c r="AA736" i="3"/>
  <c r="X843" i="3"/>
  <c r="H843" i="3"/>
  <c r="I843" i="3"/>
  <c r="AB838" i="3"/>
  <c r="AA839" i="3"/>
  <c r="X779" i="3"/>
  <c r="H779" i="3"/>
  <c r="I779" i="3"/>
  <c r="AB774" i="3"/>
  <c r="AA775" i="3"/>
  <c r="X715" i="3"/>
  <c r="H715" i="3"/>
  <c r="I715" i="3"/>
  <c r="AB710" i="3"/>
  <c r="AA711" i="3"/>
  <c r="AA606" i="3"/>
  <c r="AB605" i="3"/>
  <c r="AB528" i="3"/>
  <c r="AA529" i="3"/>
  <c r="X846" i="3"/>
  <c r="H846" i="3"/>
  <c r="I846" i="3"/>
  <c r="AB841" i="3"/>
  <c r="AA842" i="3"/>
  <c r="X782" i="3"/>
  <c r="I782" i="3"/>
  <c r="H782" i="3"/>
  <c r="AA778" i="3"/>
  <c r="AB777" i="3"/>
  <c r="X718" i="3"/>
  <c r="H718" i="3"/>
  <c r="I718" i="3"/>
  <c r="AB713" i="3"/>
  <c r="AA714" i="3"/>
  <c r="AA618" i="3"/>
  <c r="AB617" i="3"/>
  <c r="X857" i="3"/>
  <c r="I857" i="3"/>
  <c r="H857" i="3"/>
  <c r="AA853" i="3"/>
  <c r="AB852" i="3"/>
  <c r="X793" i="3"/>
  <c r="I793" i="3"/>
  <c r="H793" i="3"/>
  <c r="AA789" i="3"/>
  <c r="AB788" i="3"/>
  <c r="X729" i="3"/>
  <c r="H729" i="3"/>
  <c r="I729" i="3"/>
  <c r="AB724" i="3"/>
  <c r="AA725" i="3"/>
  <c r="AB661" i="3"/>
  <c r="AA662" i="3"/>
  <c r="AB488" i="3"/>
  <c r="AA489" i="3"/>
  <c r="X815" i="3"/>
  <c r="I815" i="3"/>
  <c r="H815" i="3"/>
  <c r="AB810" i="3"/>
  <c r="AA811" i="3"/>
  <c r="X751" i="3"/>
  <c r="H751" i="3"/>
  <c r="I751" i="3"/>
  <c r="AB746" i="3"/>
  <c r="AA747" i="3"/>
  <c r="X553" i="3"/>
  <c r="I553" i="3"/>
  <c r="H553" i="3"/>
  <c r="X818" i="3"/>
  <c r="H818" i="3"/>
  <c r="I818" i="3"/>
  <c r="AB813" i="3"/>
  <c r="AA814" i="3"/>
  <c r="X754" i="3"/>
  <c r="H754" i="3"/>
  <c r="I754" i="3"/>
  <c r="AB749" i="3"/>
  <c r="AA750" i="3"/>
  <c r="X690" i="3"/>
  <c r="I690" i="3"/>
  <c r="H690" i="3"/>
  <c r="X601" i="3"/>
  <c r="H601" i="3"/>
  <c r="I601" i="3"/>
  <c r="X821" i="3"/>
  <c r="I821" i="3"/>
  <c r="H821" i="3"/>
  <c r="AA817" i="3"/>
  <c r="AB816" i="3"/>
  <c r="X757" i="3"/>
  <c r="H757" i="3"/>
  <c r="I757" i="3"/>
  <c r="AB752" i="3"/>
  <c r="AA753" i="3"/>
  <c r="X693" i="3"/>
  <c r="H693" i="3"/>
  <c r="I693" i="3"/>
  <c r="AB688" i="3"/>
  <c r="AA689" i="3"/>
  <c r="X569" i="3"/>
  <c r="I569" i="3"/>
  <c r="H569" i="3"/>
  <c r="X673" i="3"/>
  <c r="H673" i="3"/>
  <c r="I673" i="3"/>
  <c r="AB668" i="3"/>
  <c r="AA669" i="3"/>
  <c r="X609" i="3"/>
  <c r="H609" i="3"/>
  <c r="I609" i="3"/>
  <c r="AB544" i="3"/>
  <c r="AA545" i="3"/>
  <c r="AA521" i="3"/>
  <c r="AB520" i="3"/>
  <c r="X644" i="3"/>
  <c r="I644" i="3"/>
  <c r="H644" i="3"/>
  <c r="AB639" i="3"/>
  <c r="AA640" i="3"/>
  <c r="X631" i="3"/>
  <c r="I631" i="3"/>
  <c r="H631" i="3"/>
  <c r="AA627" i="3"/>
  <c r="AB626" i="3"/>
  <c r="X573" i="3"/>
  <c r="H573" i="3"/>
  <c r="I573" i="3"/>
  <c r="X661" i="3"/>
  <c r="H661" i="3"/>
  <c r="I661" i="3"/>
  <c r="AA657" i="3"/>
  <c r="AB656" i="3"/>
  <c r="X672" i="3"/>
  <c r="I672" i="3"/>
  <c r="H672" i="3"/>
  <c r="AB667" i="3"/>
  <c r="AA668" i="3"/>
  <c r="X608" i="3"/>
  <c r="H608" i="3"/>
  <c r="I608" i="3"/>
  <c r="AA541" i="3"/>
  <c r="AB540" i="3"/>
  <c r="X643" i="3"/>
  <c r="I643" i="3"/>
  <c r="H643" i="3"/>
  <c r="AA639" i="3"/>
  <c r="AB638" i="3"/>
  <c r="X580" i="3"/>
  <c r="I580" i="3"/>
  <c r="H580" i="3"/>
  <c r="AA576" i="3"/>
  <c r="AB575" i="3"/>
  <c r="AB523" i="3"/>
  <c r="AA524" i="3"/>
  <c r="AB468" i="3"/>
  <c r="AA469" i="3"/>
  <c r="X551" i="3"/>
  <c r="H551" i="3"/>
  <c r="I551" i="3"/>
  <c r="AA547" i="3"/>
  <c r="AB546" i="3"/>
  <c r="X586" i="3"/>
  <c r="I586" i="3"/>
  <c r="H586" i="3"/>
  <c r="AA582" i="3"/>
  <c r="AB581" i="3"/>
  <c r="AC581" i="3" s="1"/>
  <c r="AA493" i="3"/>
  <c r="AB492" i="3"/>
  <c r="X592" i="3"/>
  <c r="I592" i="3"/>
  <c r="H592" i="3"/>
  <c r="AB587" i="3"/>
  <c r="AA588" i="3"/>
  <c r="AB516" i="3"/>
  <c r="AA517" i="3"/>
  <c r="X457" i="3"/>
  <c r="I457" i="3"/>
  <c r="H457" i="3"/>
  <c r="X579" i="3"/>
  <c r="I579" i="3"/>
  <c r="H579" i="3"/>
  <c r="AB574" i="3"/>
  <c r="AA575" i="3"/>
  <c r="AB521" i="3"/>
  <c r="AA522" i="3"/>
  <c r="AA465" i="3"/>
  <c r="AB464" i="3"/>
  <c r="X590" i="3"/>
  <c r="H590" i="3"/>
  <c r="I590" i="3"/>
  <c r="AA586" i="3"/>
  <c r="AB585" i="3"/>
  <c r="AB508" i="3"/>
  <c r="AA509" i="3"/>
  <c r="H496" i="3"/>
  <c r="I496" i="3"/>
  <c r="X496" i="3"/>
  <c r="AA492" i="3"/>
  <c r="AB491" i="3"/>
  <c r="X316" i="3"/>
  <c r="H316" i="3"/>
  <c r="I316" i="3"/>
  <c r="X507" i="3"/>
  <c r="H507" i="3"/>
  <c r="I507" i="3"/>
  <c r="AB502" i="3"/>
  <c r="AA503" i="3"/>
  <c r="X518" i="3"/>
  <c r="H518" i="3"/>
  <c r="I518" i="3"/>
  <c r="AB513" i="3"/>
  <c r="AA514" i="3"/>
  <c r="X454" i="3"/>
  <c r="I454" i="3"/>
  <c r="H454" i="3"/>
  <c r="X524" i="3"/>
  <c r="H524" i="3"/>
  <c r="I524" i="3"/>
  <c r="AB519" i="3"/>
  <c r="AA520" i="3"/>
  <c r="H460" i="3"/>
  <c r="X460" i="3"/>
  <c r="I460" i="3"/>
  <c r="AA456" i="3"/>
  <c r="AB455" i="3"/>
  <c r="H471" i="3"/>
  <c r="I471" i="3"/>
  <c r="X471" i="3"/>
  <c r="AB466" i="3"/>
  <c r="AA467" i="3"/>
  <c r="AB415" i="3"/>
  <c r="AA416" i="3"/>
  <c r="I482" i="3"/>
  <c r="X482" i="3"/>
  <c r="H482" i="3"/>
  <c r="AB477" i="3"/>
  <c r="AA478" i="3"/>
  <c r="X400" i="3"/>
  <c r="H400" i="3"/>
  <c r="I400" i="3"/>
  <c r="X415" i="3"/>
  <c r="H415" i="3"/>
  <c r="I415" i="3"/>
  <c r="AA411" i="3"/>
  <c r="AB410" i="3"/>
  <c r="H426" i="3"/>
  <c r="X426" i="3"/>
  <c r="I426" i="3"/>
  <c r="AB421" i="3"/>
  <c r="AA422" i="3"/>
  <c r="AA372" i="3"/>
  <c r="AB371" i="3"/>
  <c r="H220" i="3"/>
  <c r="I220" i="3"/>
  <c r="X220" i="3"/>
  <c r="I437" i="3"/>
  <c r="X437" i="3"/>
  <c r="H437" i="3"/>
  <c r="AA433" i="3"/>
  <c r="AB432" i="3"/>
  <c r="I373" i="3"/>
  <c r="X373" i="3"/>
  <c r="H373" i="3"/>
  <c r="AB299" i="3"/>
  <c r="AA300" i="3"/>
  <c r="H443" i="3"/>
  <c r="X443" i="3"/>
  <c r="I443" i="3"/>
  <c r="AA439" i="3"/>
  <c r="AB438" i="3"/>
  <c r="H379" i="3"/>
  <c r="X379" i="3"/>
  <c r="I379" i="3"/>
  <c r="AA375" i="3"/>
  <c r="AB374" i="3"/>
  <c r="AB323" i="3"/>
  <c r="AA324" i="3"/>
  <c r="AB449" i="3"/>
  <c r="AA450" i="3"/>
  <c r="H390" i="3"/>
  <c r="I390" i="3"/>
  <c r="X390" i="3"/>
  <c r="AA386" i="3"/>
  <c r="AB385" i="3"/>
  <c r="AA368" i="3"/>
  <c r="AB367" i="3"/>
  <c r="AC367" i="3" s="1"/>
  <c r="H308" i="3"/>
  <c r="X308" i="3"/>
  <c r="I308" i="3"/>
  <c r="AA148" i="3"/>
  <c r="AB147" i="3"/>
  <c r="X441" i="3"/>
  <c r="H441" i="3"/>
  <c r="I441" i="3"/>
  <c r="AB436" i="3"/>
  <c r="AA437" i="3"/>
  <c r="I377" i="3"/>
  <c r="X377" i="3"/>
  <c r="H377" i="3"/>
  <c r="AB315" i="3"/>
  <c r="AA316" i="3"/>
  <c r="X327" i="3"/>
  <c r="H327" i="3"/>
  <c r="I327" i="3"/>
  <c r="AB322" i="3"/>
  <c r="AA323" i="3"/>
  <c r="X232" i="3"/>
  <c r="H232" i="3"/>
  <c r="I232" i="3"/>
  <c r="X338" i="3"/>
  <c r="I338" i="3"/>
  <c r="H338" i="3"/>
  <c r="AB333" i="3"/>
  <c r="AA334" i="3"/>
  <c r="H276" i="3"/>
  <c r="I276" i="3"/>
  <c r="X276" i="3"/>
  <c r="I325" i="3"/>
  <c r="H325" i="3"/>
  <c r="X325" i="3"/>
  <c r="AA321" i="3"/>
  <c r="AB320" i="3"/>
  <c r="AB283" i="3"/>
  <c r="AA284" i="3"/>
  <c r="H224" i="3"/>
  <c r="X224" i="3"/>
  <c r="I224" i="3"/>
  <c r="X331" i="3"/>
  <c r="H331" i="3"/>
  <c r="I331" i="3"/>
  <c r="AA327" i="3"/>
  <c r="AB326" i="3"/>
  <c r="AB296" i="3"/>
  <c r="AA297" i="3"/>
  <c r="H248" i="3"/>
  <c r="I248" i="3"/>
  <c r="X248" i="3"/>
  <c r="I342" i="3"/>
  <c r="H342" i="3"/>
  <c r="X342" i="3"/>
  <c r="AB337" i="3"/>
  <c r="AA338" i="3"/>
  <c r="X329" i="3"/>
  <c r="H329" i="3"/>
  <c r="I329" i="3"/>
  <c r="AA325" i="3"/>
  <c r="AB324" i="3"/>
  <c r="I240" i="3"/>
  <c r="H240" i="3"/>
  <c r="X240" i="3"/>
  <c r="I239" i="3"/>
  <c r="H239" i="3"/>
  <c r="X239" i="3"/>
  <c r="AA235" i="3"/>
  <c r="AB234" i="3"/>
  <c r="AA208" i="3"/>
  <c r="AB207" i="3"/>
  <c r="X136" i="3"/>
  <c r="I136" i="3"/>
  <c r="H136" i="3"/>
  <c r="I266" i="3"/>
  <c r="X266" i="3"/>
  <c r="H266" i="3"/>
  <c r="AB261" i="3"/>
  <c r="AA262" i="3"/>
  <c r="H184" i="3"/>
  <c r="X184" i="3"/>
  <c r="I184" i="3"/>
  <c r="I285" i="3"/>
  <c r="H285" i="3"/>
  <c r="X285" i="3"/>
  <c r="AB280" i="3"/>
  <c r="AA281" i="3"/>
  <c r="H221" i="3"/>
  <c r="I221" i="3"/>
  <c r="X221" i="3"/>
  <c r="AA217" i="3"/>
  <c r="AB216" i="3"/>
  <c r="H291" i="3"/>
  <c r="I291" i="3"/>
  <c r="X291" i="3"/>
  <c r="AB286" i="3"/>
  <c r="AA287" i="3"/>
  <c r="I227" i="3"/>
  <c r="X227" i="3"/>
  <c r="H227" i="3"/>
  <c r="AA223" i="3"/>
  <c r="AB222" i="3"/>
  <c r="AB297" i="3"/>
  <c r="AA298" i="3"/>
  <c r="H238" i="3"/>
  <c r="I238" i="3"/>
  <c r="X238" i="3"/>
  <c r="AB233" i="3"/>
  <c r="AA234" i="3"/>
  <c r="X249" i="3"/>
  <c r="H249" i="3"/>
  <c r="I249" i="3"/>
  <c r="AB244" i="3"/>
  <c r="AA245" i="3"/>
  <c r="AB175" i="3"/>
  <c r="AA176" i="3"/>
  <c r="H182" i="3"/>
  <c r="X182" i="3"/>
  <c r="I182" i="3"/>
  <c r="AB177" i="3"/>
  <c r="AA178" i="3"/>
  <c r="I185" i="3"/>
  <c r="H185" i="3"/>
  <c r="X185" i="3"/>
  <c r="AB180" i="3"/>
  <c r="AA181" i="3"/>
  <c r="AA211" i="3"/>
  <c r="AB210" i="3"/>
  <c r="H186" i="3"/>
  <c r="I186" i="3"/>
  <c r="X186" i="3"/>
  <c r="AB181" i="3"/>
  <c r="AA182" i="3"/>
  <c r="AB102" i="3"/>
  <c r="AA103" i="3"/>
  <c r="H145" i="3"/>
  <c r="I145" i="3"/>
  <c r="X145" i="3"/>
  <c r="AA141" i="3"/>
  <c r="AB140" i="3"/>
  <c r="I138" i="3"/>
  <c r="X138" i="3"/>
  <c r="H138" i="3"/>
  <c r="AB133" i="3"/>
  <c r="AA134" i="3"/>
  <c r="I122" i="3"/>
  <c r="X122" i="3"/>
  <c r="H122" i="3"/>
  <c r="X90" i="3"/>
  <c r="I90" i="3"/>
  <c r="H90" i="3"/>
  <c r="X109" i="3"/>
  <c r="I109" i="3"/>
  <c r="H109" i="3"/>
  <c r="AB104" i="3"/>
  <c r="AA105" i="3"/>
  <c r="I33" i="3"/>
  <c r="H33" i="3"/>
  <c r="X33" i="3"/>
  <c r="H118" i="3"/>
  <c r="X118" i="3"/>
  <c r="I118" i="3"/>
  <c r="AB113" i="3"/>
  <c r="AA114" i="3"/>
  <c r="X17" i="3"/>
  <c r="H17" i="3"/>
  <c r="I17" i="3"/>
  <c r="I97" i="3"/>
  <c r="X97" i="3"/>
  <c r="H97" i="3"/>
  <c r="AA93" i="3"/>
  <c r="AB92" i="3"/>
  <c r="X100" i="3"/>
  <c r="H100" i="3"/>
  <c r="I100" i="3"/>
  <c r="AB95" i="3"/>
  <c r="AA96" i="3"/>
  <c r="AB66" i="3"/>
  <c r="AA67" i="3"/>
  <c r="I32" i="3"/>
  <c r="X32" i="3"/>
  <c r="H32" i="3"/>
  <c r="H28" i="3"/>
  <c r="I28" i="3"/>
  <c r="X28" i="3"/>
  <c r="H34" i="3"/>
  <c r="I34" i="3"/>
  <c r="X34" i="3"/>
  <c r="I40" i="3"/>
  <c r="H40" i="3"/>
  <c r="X40" i="3"/>
  <c r="AA37" i="3"/>
  <c r="AB36" i="3"/>
  <c r="X52" i="3"/>
  <c r="H52" i="3"/>
  <c r="I52" i="3"/>
  <c r="I59" i="3"/>
  <c r="X59" i="3"/>
  <c r="H59" i="3"/>
  <c r="AB54" i="3"/>
  <c r="AA55" i="3"/>
  <c r="H62" i="3"/>
  <c r="I62" i="3"/>
  <c r="X62" i="3"/>
  <c r="AA58" i="3"/>
  <c r="AB57" i="3"/>
  <c r="X55" i="3"/>
  <c r="H55" i="3"/>
  <c r="I55" i="3"/>
  <c r="AA51" i="3"/>
  <c r="AB50" i="3"/>
  <c r="H53" i="3"/>
  <c r="I53" i="3"/>
  <c r="X53" i="3"/>
  <c r="AB48" i="3"/>
  <c r="AA49" i="3"/>
  <c r="AB979" i="3"/>
  <c r="AA980" i="3"/>
  <c r="X968" i="3"/>
  <c r="H968" i="3"/>
  <c r="I968" i="3"/>
  <c r="AB967" i="3"/>
  <c r="AA968" i="3"/>
  <c r="AB934" i="3"/>
  <c r="AA935" i="3"/>
  <c r="AB870" i="3"/>
  <c r="AA871" i="3"/>
  <c r="X816" i="3"/>
  <c r="H816" i="3"/>
  <c r="I816" i="3"/>
  <c r="X990" i="3"/>
  <c r="H990" i="3"/>
  <c r="I990" i="3"/>
  <c r="X926" i="3"/>
  <c r="H926" i="3"/>
  <c r="I926" i="3"/>
  <c r="AB823" i="3"/>
  <c r="AA824" i="3"/>
  <c r="X993" i="3"/>
  <c r="H993" i="3"/>
  <c r="I993" i="3"/>
  <c r="AB719" i="3"/>
  <c r="AA720" i="3"/>
  <c r="X991" i="3"/>
  <c r="H991" i="3"/>
  <c r="I991" i="3"/>
  <c r="AB922" i="3"/>
  <c r="AA923" i="3"/>
  <c r="AB827" i="3"/>
  <c r="AA828" i="3"/>
  <c r="X768" i="3"/>
  <c r="I768" i="3"/>
  <c r="H768" i="3"/>
  <c r="X892" i="3"/>
  <c r="H892" i="3"/>
  <c r="I892" i="3"/>
  <c r="AA872" i="3"/>
  <c r="AB871" i="3"/>
  <c r="X978" i="3"/>
  <c r="H978" i="3"/>
  <c r="I978" i="3"/>
  <c r="AB973" i="3"/>
  <c r="AA974" i="3"/>
  <c r="X914" i="3"/>
  <c r="H914" i="3"/>
  <c r="I914" i="3"/>
  <c r="AA910" i="3"/>
  <c r="AB909" i="3"/>
  <c r="AB775" i="3"/>
  <c r="AA776" i="3"/>
  <c r="X716" i="3"/>
  <c r="H716" i="3"/>
  <c r="I716" i="3"/>
  <c r="X965" i="3"/>
  <c r="I965" i="3"/>
  <c r="H965" i="3"/>
  <c r="AA961" i="3"/>
  <c r="AB960" i="3"/>
  <c r="X901" i="3"/>
  <c r="H901" i="3"/>
  <c r="I901" i="3"/>
  <c r="AA897" i="3"/>
  <c r="AB896" i="3"/>
  <c r="AC896" i="3" s="1"/>
  <c r="AB723" i="3"/>
  <c r="AA724" i="3"/>
  <c r="X836" i="3"/>
  <c r="I836" i="3"/>
  <c r="H836" i="3"/>
  <c r="X867" i="3"/>
  <c r="I867" i="3"/>
  <c r="H867" i="3"/>
  <c r="AA863" i="3"/>
  <c r="AB862" i="3"/>
  <c r="X803" i="3"/>
  <c r="H803" i="3"/>
  <c r="I803" i="3"/>
  <c r="AA799" i="3"/>
  <c r="AB798" i="3"/>
  <c r="X739" i="3"/>
  <c r="H739" i="3"/>
  <c r="I739" i="3"/>
  <c r="AA735" i="3"/>
  <c r="AB734" i="3"/>
  <c r="X642" i="3"/>
  <c r="H642" i="3"/>
  <c r="I642" i="3"/>
  <c r="AA866" i="3"/>
  <c r="AB865" i="3"/>
  <c r="X806" i="3"/>
  <c r="I806" i="3"/>
  <c r="H806" i="3"/>
  <c r="AA802" i="3"/>
  <c r="AB801" i="3"/>
  <c r="AB737" i="3"/>
  <c r="AA738" i="3"/>
  <c r="X654" i="3"/>
  <c r="H654" i="3"/>
  <c r="I654" i="3"/>
  <c r="X817" i="3"/>
  <c r="H817" i="3"/>
  <c r="I817" i="3"/>
  <c r="AA813" i="3"/>
  <c r="AB812" i="3"/>
  <c r="X753" i="3"/>
  <c r="I753" i="3"/>
  <c r="H753" i="3"/>
  <c r="AB748" i="3"/>
  <c r="AA749" i="3"/>
  <c r="X689" i="3"/>
  <c r="I689" i="3"/>
  <c r="H689" i="3"/>
  <c r="X585" i="3"/>
  <c r="H585" i="3"/>
  <c r="I585" i="3"/>
  <c r="H444" i="3"/>
  <c r="X444" i="3"/>
  <c r="I444" i="3"/>
  <c r="X839" i="3"/>
  <c r="I839" i="3"/>
  <c r="H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X842" i="3"/>
  <c r="I842" i="3"/>
  <c r="H842" i="3"/>
  <c r="AA838" i="3"/>
  <c r="AB837" i="3"/>
  <c r="X778" i="3"/>
  <c r="H778" i="3"/>
  <c r="I778" i="3"/>
  <c r="AA774" i="3"/>
  <c r="AB773" i="3"/>
  <c r="X714" i="3"/>
  <c r="H714" i="3"/>
  <c r="I714" i="3"/>
  <c r="AA710" i="3"/>
  <c r="AB709" i="3"/>
  <c r="X845" i="3"/>
  <c r="I845" i="3"/>
  <c r="H845" i="3"/>
  <c r="AA841" i="3"/>
  <c r="AB840" i="3"/>
  <c r="X781" i="3"/>
  <c r="H781" i="3"/>
  <c r="I781" i="3"/>
  <c r="AA777" i="3"/>
  <c r="AB776" i="3"/>
  <c r="X717" i="3"/>
  <c r="H717" i="3"/>
  <c r="I717" i="3"/>
  <c r="AA713" i="3"/>
  <c r="AB712" i="3"/>
  <c r="AB613" i="3"/>
  <c r="AA614" i="3"/>
  <c r="X633" i="3"/>
  <c r="H633" i="3"/>
  <c r="I633" i="3"/>
  <c r="AB628" i="3"/>
  <c r="AA629" i="3"/>
  <c r="X581" i="3"/>
  <c r="H581" i="3"/>
  <c r="I581" i="3"/>
  <c r="H380" i="3"/>
  <c r="I380" i="3"/>
  <c r="X380" i="3"/>
  <c r="X668" i="3"/>
  <c r="I668" i="3"/>
  <c r="H668" i="3"/>
  <c r="AA664" i="3"/>
  <c r="AB663" i="3"/>
  <c r="X655" i="3"/>
  <c r="I655" i="3"/>
  <c r="H655" i="3"/>
  <c r="AA651" i="3"/>
  <c r="AB650" i="3"/>
  <c r="X685" i="3"/>
  <c r="H685" i="3"/>
  <c r="I685" i="3"/>
  <c r="AB680" i="3"/>
  <c r="AA681" i="3"/>
  <c r="X621" i="3"/>
  <c r="H621" i="3"/>
  <c r="I621" i="3"/>
  <c r="AB616" i="3"/>
  <c r="AA617" i="3"/>
  <c r="AB592" i="3"/>
  <c r="AA593" i="3"/>
  <c r="X533" i="3"/>
  <c r="H533" i="3"/>
  <c r="I533" i="3"/>
  <c r="I477" i="3"/>
  <c r="H477" i="3"/>
  <c r="X477" i="3"/>
  <c r="X632" i="3"/>
  <c r="H632" i="3"/>
  <c r="I632" i="3"/>
  <c r="AA628" i="3"/>
  <c r="AB627" i="3"/>
  <c r="X577" i="3"/>
  <c r="H577" i="3"/>
  <c r="I577" i="3"/>
  <c r="X667" i="3"/>
  <c r="H667" i="3"/>
  <c r="I667" i="3"/>
  <c r="AB662" i="3"/>
  <c r="AA663" i="3"/>
  <c r="AB504" i="3"/>
  <c r="AA505" i="3"/>
  <c r="AB599" i="3"/>
  <c r="AA600" i="3"/>
  <c r="X540" i="3"/>
  <c r="I540" i="3"/>
  <c r="H540" i="3"/>
  <c r="AB535" i="3"/>
  <c r="AA536" i="3"/>
  <c r="X505" i="3"/>
  <c r="H505" i="3"/>
  <c r="I505" i="3"/>
  <c r="X575" i="3"/>
  <c r="I575" i="3"/>
  <c r="H575" i="3"/>
  <c r="AB570" i="3"/>
  <c r="AA571" i="3"/>
  <c r="X546" i="3"/>
  <c r="H546" i="3"/>
  <c r="I546" i="3"/>
  <c r="AA542" i="3"/>
  <c r="AB541" i="3"/>
  <c r="AB524" i="3"/>
  <c r="AA525" i="3"/>
  <c r="AB370" i="3"/>
  <c r="AA371" i="3"/>
  <c r="X552" i="3"/>
  <c r="H552" i="3"/>
  <c r="I552" i="3"/>
  <c r="AA548" i="3"/>
  <c r="AB547" i="3"/>
  <c r="X603" i="3"/>
  <c r="I603" i="3"/>
  <c r="H603" i="3"/>
  <c r="AA599" i="3"/>
  <c r="AB598" i="3"/>
  <c r="X539" i="3"/>
  <c r="H539" i="3"/>
  <c r="I539" i="3"/>
  <c r="AB534" i="3"/>
  <c r="AA535" i="3"/>
  <c r="X501" i="3"/>
  <c r="H501" i="3"/>
  <c r="I501" i="3"/>
  <c r="X550" i="3"/>
  <c r="I550" i="3"/>
  <c r="H550" i="3"/>
  <c r="AB545" i="3"/>
  <c r="AA546" i="3"/>
  <c r="AB515" i="3"/>
  <c r="AA516" i="3"/>
  <c r="X456" i="3"/>
  <c r="H456" i="3"/>
  <c r="I456" i="3"/>
  <c r="AA452" i="3"/>
  <c r="AB451" i="3"/>
  <c r="AB526" i="3"/>
  <c r="AA527" i="3"/>
  <c r="H467" i="3"/>
  <c r="X467" i="3"/>
  <c r="I467" i="3"/>
  <c r="AB462" i="3"/>
  <c r="AA463" i="3"/>
  <c r="AB399" i="3"/>
  <c r="AA400" i="3"/>
  <c r="X478" i="3"/>
  <c r="I478" i="3"/>
  <c r="H478" i="3"/>
  <c r="AA474" i="3"/>
  <c r="AB473" i="3"/>
  <c r="AB443" i="3"/>
  <c r="AA444" i="3"/>
  <c r="I384" i="3"/>
  <c r="H384" i="3"/>
  <c r="X384" i="3"/>
  <c r="AA344" i="3"/>
  <c r="AB343" i="3"/>
  <c r="I484" i="3"/>
  <c r="X484" i="3"/>
  <c r="H484" i="3"/>
  <c r="AB479" i="3"/>
  <c r="AA480" i="3"/>
  <c r="X408" i="3"/>
  <c r="I408" i="3"/>
  <c r="H408" i="3"/>
  <c r="AB247" i="3"/>
  <c r="AA248" i="3"/>
  <c r="I495" i="3"/>
  <c r="H495" i="3"/>
  <c r="X495" i="3"/>
  <c r="AB490" i="3"/>
  <c r="AA491" i="3"/>
  <c r="X300" i="3"/>
  <c r="I300" i="3"/>
  <c r="H300" i="3"/>
  <c r="X506" i="3"/>
  <c r="H506" i="3"/>
  <c r="I506" i="3"/>
  <c r="AA502" i="3"/>
  <c r="AB501" i="3"/>
  <c r="H439" i="3"/>
  <c r="X439" i="3"/>
  <c r="I439" i="3"/>
  <c r="AA435" i="3"/>
  <c r="AB434" i="3"/>
  <c r="H375" i="3"/>
  <c r="X375" i="3"/>
  <c r="I375" i="3"/>
  <c r="AA308" i="3"/>
  <c r="AB307" i="3"/>
  <c r="I450" i="3"/>
  <c r="X450" i="3"/>
  <c r="H450" i="3"/>
  <c r="AA446" i="3"/>
  <c r="AB445" i="3"/>
  <c r="H386" i="3"/>
  <c r="X386" i="3"/>
  <c r="I386" i="3"/>
  <c r="AA382" i="3"/>
  <c r="AB381" i="3"/>
  <c r="AB351" i="3"/>
  <c r="AA352" i="3"/>
  <c r="H397" i="3"/>
  <c r="I397" i="3"/>
  <c r="X397" i="3"/>
  <c r="AB392" i="3"/>
  <c r="AC392" i="3" s="1"/>
  <c r="AA393" i="3"/>
  <c r="H372" i="3"/>
  <c r="I372" i="3"/>
  <c r="X372" i="3"/>
  <c r="X336" i="3"/>
  <c r="H336" i="3"/>
  <c r="I336" i="3"/>
  <c r="I403" i="3"/>
  <c r="H403" i="3"/>
  <c r="X403" i="3"/>
  <c r="AB398" i="3"/>
  <c r="AA399" i="3"/>
  <c r="I360" i="3"/>
  <c r="H360" i="3"/>
  <c r="X360" i="3"/>
  <c r="I414" i="3"/>
  <c r="X414" i="3"/>
  <c r="H414" i="3"/>
  <c r="AB409" i="3"/>
  <c r="AA410" i="3"/>
  <c r="I401" i="3"/>
  <c r="X401" i="3"/>
  <c r="H401" i="3"/>
  <c r="AB396" i="3"/>
  <c r="AA397" i="3"/>
  <c r="H352" i="3"/>
  <c r="X352" i="3"/>
  <c r="I352" i="3"/>
  <c r="H351" i="3"/>
  <c r="I351" i="3"/>
  <c r="X351" i="3"/>
  <c r="AA347" i="3"/>
  <c r="AB346" i="3"/>
  <c r="H362" i="3"/>
  <c r="I362" i="3"/>
  <c r="X362" i="3"/>
  <c r="AB357" i="3"/>
  <c r="AA358" i="3"/>
  <c r="X298" i="3"/>
  <c r="I298" i="3"/>
  <c r="H298" i="3"/>
  <c r="I349" i="3"/>
  <c r="H349" i="3"/>
  <c r="X349" i="3"/>
  <c r="AB344" i="3"/>
  <c r="AA345" i="3"/>
  <c r="I355" i="3"/>
  <c r="H355" i="3"/>
  <c r="X355" i="3"/>
  <c r="AA351" i="3"/>
  <c r="AB350" i="3"/>
  <c r="X295" i="3"/>
  <c r="H295" i="3"/>
  <c r="I295" i="3"/>
  <c r="X366" i="3"/>
  <c r="I366" i="3"/>
  <c r="H366" i="3"/>
  <c r="AB361" i="3"/>
  <c r="AA362" i="3"/>
  <c r="H302" i="3"/>
  <c r="X302" i="3"/>
  <c r="I302" i="3"/>
  <c r="H353" i="3"/>
  <c r="X353" i="3"/>
  <c r="I353" i="3"/>
  <c r="AB348" i="3"/>
  <c r="AA349" i="3"/>
  <c r="H263" i="3"/>
  <c r="I263" i="3"/>
  <c r="X263" i="3"/>
  <c r="AA259" i="3"/>
  <c r="AB258" i="3"/>
  <c r="I172" i="3"/>
  <c r="H172" i="3"/>
  <c r="X172" i="3"/>
  <c r="I290" i="3"/>
  <c r="H290" i="3"/>
  <c r="X290" i="3"/>
  <c r="AA286" i="3"/>
  <c r="AB285" i="3"/>
  <c r="I226" i="3"/>
  <c r="X226" i="3"/>
  <c r="H226" i="3"/>
  <c r="AA222" i="3"/>
  <c r="AB221" i="3"/>
  <c r="X245" i="3"/>
  <c r="H245" i="3"/>
  <c r="I245" i="3"/>
  <c r="AB240" i="3"/>
  <c r="AA241" i="3"/>
  <c r="H251" i="3"/>
  <c r="X251" i="3"/>
  <c r="I251" i="3"/>
  <c r="AA247" i="3"/>
  <c r="AB246" i="3"/>
  <c r="AB183" i="3"/>
  <c r="AA184" i="3"/>
  <c r="H262" i="3"/>
  <c r="I262" i="3"/>
  <c r="X262" i="3"/>
  <c r="AB257" i="3"/>
  <c r="AA258" i="3"/>
  <c r="H168" i="3"/>
  <c r="X168" i="3"/>
  <c r="I168" i="3"/>
  <c r="X273" i="3"/>
  <c r="I273" i="3"/>
  <c r="H273" i="3"/>
  <c r="AB268" i="3"/>
  <c r="AA269" i="3"/>
  <c r="AB206" i="3"/>
  <c r="AA207" i="3"/>
  <c r="H187" i="3"/>
  <c r="X187" i="3"/>
  <c r="I187" i="3"/>
  <c r="AB182" i="3"/>
  <c r="AA183" i="3"/>
  <c r="AB127" i="3"/>
  <c r="AA128" i="3"/>
  <c r="H206" i="3"/>
  <c r="I206" i="3"/>
  <c r="X206" i="3"/>
  <c r="AB201" i="3"/>
  <c r="AA202" i="3"/>
  <c r="X144" i="3"/>
  <c r="I144" i="3"/>
  <c r="H144" i="3"/>
  <c r="H175" i="3"/>
  <c r="X175" i="3"/>
  <c r="I175" i="3"/>
  <c r="AA171" i="3"/>
  <c r="AB170" i="3"/>
  <c r="I210" i="3"/>
  <c r="H210" i="3"/>
  <c r="X210" i="3"/>
  <c r="AA206" i="3"/>
  <c r="AB205" i="3"/>
  <c r="I181" i="3"/>
  <c r="X181" i="3"/>
  <c r="H181" i="3"/>
  <c r="AB176" i="3"/>
  <c r="AA177" i="3"/>
  <c r="X139" i="3"/>
  <c r="H139" i="3"/>
  <c r="I139" i="3"/>
  <c r="AA135" i="3"/>
  <c r="AB134" i="3"/>
  <c r="H142" i="3"/>
  <c r="I142" i="3"/>
  <c r="X142" i="3"/>
  <c r="AA138" i="3"/>
  <c r="AB137" i="3"/>
  <c r="I143" i="3"/>
  <c r="X143" i="3"/>
  <c r="H143" i="3"/>
  <c r="AA139" i="3"/>
  <c r="AB138" i="3"/>
  <c r="AB122" i="3"/>
  <c r="AA123" i="3"/>
  <c r="AA38" i="3"/>
  <c r="AB37" i="3"/>
  <c r="X162" i="3"/>
  <c r="I162" i="3"/>
  <c r="H162" i="3"/>
  <c r="AA158" i="3"/>
  <c r="AB157" i="3"/>
  <c r="X111" i="3"/>
  <c r="H111" i="3"/>
  <c r="I111" i="3"/>
  <c r="H141" i="3"/>
  <c r="X141" i="3"/>
  <c r="I141" i="3"/>
  <c r="AA137" i="3"/>
  <c r="AB136" i="3"/>
  <c r="AB109" i="3"/>
  <c r="AA110" i="3"/>
  <c r="I63" i="3"/>
  <c r="X63" i="3"/>
  <c r="H63" i="3"/>
  <c r="H58" i="3"/>
  <c r="I58" i="3"/>
  <c r="X58" i="3"/>
  <c r="AB28" i="3"/>
  <c r="AA29" i="3"/>
  <c r="AB12" i="3"/>
  <c r="AA13" i="3"/>
  <c r="X121" i="3"/>
  <c r="H121" i="3"/>
  <c r="I121" i="3"/>
  <c r="AA117" i="3"/>
  <c r="AB116" i="3"/>
  <c r="X124" i="3"/>
  <c r="H124" i="3"/>
  <c r="I124" i="3"/>
  <c r="AB119" i="3"/>
  <c r="AA120" i="3"/>
  <c r="I76" i="3"/>
  <c r="X76" i="3"/>
  <c r="H76" i="3"/>
  <c r="AB71" i="3"/>
  <c r="AA72" i="3"/>
  <c r="H74" i="3"/>
  <c r="X74" i="3"/>
  <c r="I74" i="3"/>
  <c r="AB69" i="3"/>
  <c r="AA70" i="3"/>
  <c r="H77" i="3"/>
  <c r="X77" i="3"/>
  <c r="I77" i="3"/>
  <c r="AB72" i="3"/>
  <c r="AA73" i="3"/>
  <c r="AB13" i="3"/>
  <c r="AA14" i="3"/>
  <c r="I80" i="3"/>
  <c r="X80" i="3"/>
  <c r="H80" i="3"/>
  <c r="AB75" i="3"/>
  <c r="AA76" i="3"/>
  <c r="AB19" i="3"/>
  <c r="AA20" i="3"/>
  <c r="H83" i="3"/>
  <c r="X83" i="3"/>
  <c r="I83" i="3"/>
  <c r="AA79" i="3"/>
  <c r="AB78" i="3"/>
  <c r="I25" i="3"/>
  <c r="H25" i="3"/>
  <c r="X25" i="3"/>
  <c r="H86" i="3"/>
  <c r="X86" i="3"/>
  <c r="I86" i="3"/>
  <c r="AB81" i="3"/>
  <c r="AA82" i="3"/>
  <c r="AB31" i="3"/>
  <c r="AA32" i="3"/>
  <c r="I19" i="3"/>
  <c r="H19" i="3"/>
  <c r="X19" i="3"/>
  <c r="AA15" i="3"/>
  <c r="AB14" i="3"/>
  <c r="X22" i="3"/>
  <c r="H22" i="3"/>
  <c r="I22" i="3"/>
  <c r="AB17" i="3"/>
  <c r="AA18" i="3"/>
  <c r="X15" i="3"/>
  <c r="H15" i="3"/>
  <c r="I15" i="3"/>
  <c r="I13" i="3"/>
  <c r="X13" i="3"/>
  <c r="H13" i="3"/>
  <c r="AB959" i="3"/>
  <c r="AA960" i="3"/>
  <c r="AA972" i="3"/>
  <c r="AB971" i="3"/>
  <c r="X956" i="3"/>
  <c r="H956" i="3"/>
  <c r="I956" i="3"/>
  <c r="X1004" i="3"/>
  <c r="I1004" i="3"/>
  <c r="H1004" i="3"/>
  <c r="X963" i="3"/>
  <c r="I963" i="3"/>
  <c r="H963" i="3"/>
  <c r="AB958" i="3"/>
  <c r="AA959" i="3"/>
  <c r="X899" i="3"/>
  <c r="I899" i="3"/>
  <c r="H899" i="3"/>
  <c r="AB894" i="3"/>
  <c r="AA895" i="3"/>
  <c r="AB715" i="3"/>
  <c r="AA716" i="3"/>
  <c r="X950" i="3"/>
  <c r="H950" i="3"/>
  <c r="I950" i="3"/>
  <c r="AB945" i="3"/>
  <c r="AA946" i="3"/>
  <c r="X886" i="3"/>
  <c r="H886" i="3"/>
  <c r="I886" i="3"/>
  <c r="AB881" i="3"/>
  <c r="AA882" i="3"/>
  <c r="X860" i="3"/>
  <c r="H860" i="3"/>
  <c r="I860" i="3"/>
  <c r="AB673" i="3"/>
  <c r="AA674" i="3"/>
  <c r="X953" i="3"/>
  <c r="H953" i="3"/>
  <c r="I953" i="3"/>
  <c r="AA949" i="3"/>
  <c r="AB948" i="3"/>
  <c r="X889" i="3"/>
  <c r="I889" i="3"/>
  <c r="H889" i="3"/>
  <c r="AB884" i="3"/>
  <c r="AA885" i="3"/>
  <c r="AA784" i="3"/>
  <c r="AB783" i="3"/>
  <c r="X756" i="3"/>
  <c r="I756" i="3"/>
  <c r="H756" i="3"/>
  <c r="AB911" i="3"/>
  <c r="AA912" i="3"/>
  <c r="X951" i="3"/>
  <c r="I951" i="3"/>
  <c r="H951" i="3"/>
  <c r="AB946" i="3"/>
  <c r="AA947" i="3"/>
  <c r="X887" i="3"/>
  <c r="I887" i="3"/>
  <c r="H887" i="3"/>
  <c r="AB882" i="3"/>
  <c r="AA883" i="3"/>
  <c r="X864" i="3"/>
  <c r="H864" i="3"/>
  <c r="I864" i="3"/>
  <c r="X1002" i="3"/>
  <c r="H1002" i="3"/>
  <c r="I1002" i="3"/>
  <c r="AB997" i="3"/>
  <c r="AA998" i="3"/>
  <c r="X938" i="3"/>
  <c r="I938" i="3"/>
  <c r="H938" i="3"/>
  <c r="AB933" i="3"/>
  <c r="AA934" i="3"/>
  <c r="X874" i="3"/>
  <c r="I874" i="3"/>
  <c r="H874" i="3"/>
  <c r="AB869" i="3"/>
  <c r="AA870" i="3"/>
  <c r="X812" i="3"/>
  <c r="H812" i="3"/>
  <c r="I812" i="3"/>
  <c r="X989" i="3"/>
  <c r="H989" i="3"/>
  <c r="I989" i="3"/>
  <c r="AB984" i="3"/>
  <c r="AA985" i="3"/>
  <c r="X925" i="3"/>
  <c r="H925" i="3"/>
  <c r="I925" i="3"/>
  <c r="AB920" i="3"/>
  <c r="AA921" i="3"/>
  <c r="AA820" i="3"/>
  <c r="AB819" i="3"/>
  <c r="X760" i="3"/>
  <c r="H760" i="3"/>
  <c r="I760" i="3"/>
  <c r="X772" i="3"/>
  <c r="I772" i="3"/>
  <c r="H772" i="3"/>
  <c r="X827" i="3"/>
  <c r="H827" i="3"/>
  <c r="I827" i="3"/>
  <c r="AB822" i="3"/>
  <c r="AA823" i="3"/>
  <c r="X763" i="3"/>
  <c r="H763" i="3"/>
  <c r="I763" i="3"/>
  <c r="AA759" i="3"/>
  <c r="AB758" i="3"/>
  <c r="X699" i="3"/>
  <c r="H699" i="3"/>
  <c r="I699" i="3"/>
  <c r="AA695" i="3"/>
  <c r="AB694" i="3"/>
  <c r="X830" i="3"/>
  <c r="H830" i="3"/>
  <c r="I830" i="3"/>
  <c r="AB825" i="3"/>
  <c r="AA826" i="3"/>
  <c r="X766" i="3"/>
  <c r="H766" i="3"/>
  <c r="I766" i="3"/>
  <c r="AA762" i="3"/>
  <c r="AB761" i="3"/>
  <c r="X702" i="3"/>
  <c r="H702" i="3"/>
  <c r="I702" i="3"/>
  <c r="AB697" i="3"/>
  <c r="AA698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B708" i="3"/>
  <c r="AA709" i="3"/>
  <c r="X614" i="3"/>
  <c r="I614" i="3"/>
  <c r="H614" i="3"/>
  <c r="AA565" i="3"/>
  <c r="AB564" i="3"/>
  <c r="X863" i="3"/>
  <c r="H863" i="3"/>
  <c r="I863" i="3"/>
  <c r="AB858" i="3"/>
  <c r="AA859" i="3"/>
  <c r="X799" i="3"/>
  <c r="H799" i="3"/>
  <c r="I799" i="3"/>
  <c r="AB794" i="3"/>
  <c r="AA795" i="3"/>
  <c r="X735" i="3"/>
  <c r="H735" i="3"/>
  <c r="I735" i="3"/>
  <c r="AB730" i="3"/>
  <c r="AA731" i="3"/>
  <c r="X626" i="3"/>
  <c r="I626" i="3"/>
  <c r="H626" i="3"/>
  <c r="X866" i="3"/>
  <c r="H866" i="3"/>
  <c r="I866" i="3"/>
  <c r="AB861" i="3"/>
  <c r="AA862" i="3"/>
  <c r="X802" i="3"/>
  <c r="I802" i="3"/>
  <c r="H802" i="3"/>
  <c r="AA798" i="3"/>
  <c r="AB797" i="3"/>
  <c r="X738" i="3"/>
  <c r="I738" i="3"/>
  <c r="H738" i="3"/>
  <c r="AB733" i="3"/>
  <c r="AA734" i="3"/>
  <c r="X638" i="3"/>
  <c r="I638" i="3"/>
  <c r="H638" i="3"/>
  <c r="AB864" i="3"/>
  <c r="AA865" i="3"/>
  <c r="X805" i="3"/>
  <c r="H805" i="3"/>
  <c r="I805" i="3"/>
  <c r="AB800" i="3"/>
  <c r="AC800" i="3" s="1"/>
  <c r="AA801" i="3"/>
  <c r="X741" i="3"/>
  <c r="H741" i="3"/>
  <c r="I741" i="3"/>
  <c r="AB736" i="3"/>
  <c r="AA737" i="3"/>
  <c r="X650" i="3"/>
  <c r="I650" i="3"/>
  <c r="H650" i="3"/>
  <c r="X630" i="3"/>
  <c r="H630" i="3"/>
  <c r="I630" i="3"/>
  <c r="X657" i="3"/>
  <c r="H657" i="3"/>
  <c r="I657" i="3"/>
  <c r="AB652" i="3"/>
  <c r="AA653" i="3"/>
  <c r="AC653" i="3" s="1"/>
  <c r="AA688" i="3"/>
  <c r="AB687" i="3"/>
  <c r="X628" i="3"/>
  <c r="I628" i="3"/>
  <c r="H628" i="3"/>
  <c r="AB623" i="3"/>
  <c r="AA624" i="3"/>
  <c r="X561" i="3"/>
  <c r="H561" i="3"/>
  <c r="I561" i="3"/>
  <c r="AB375" i="3"/>
  <c r="AC375" i="3" s="1"/>
  <c r="AA376" i="3"/>
  <c r="X679" i="3"/>
  <c r="H679" i="3"/>
  <c r="I679" i="3"/>
  <c r="AA675" i="3"/>
  <c r="AB674" i="3"/>
  <c r="X615" i="3"/>
  <c r="I615" i="3"/>
  <c r="H615" i="3"/>
  <c r="AA611" i="3"/>
  <c r="AB610" i="3"/>
  <c r="AB568" i="3"/>
  <c r="AA569" i="3"/>
  <c r="X645" i="3"/>
  <c r="H645" i="3"/>
  <c r="I645" i="3"/>
  <c r="AB640" i="3"/>
  <c r="AA641" i="3"/>
  <c r="X656" i="3"/>
  <c r="I656" i="3"/>
  <c r="H656" i="3"/>
  <c r="AB651" i="3"/>
  <c r="AA652" i="3"/>
  <c r="AB686" i="3"/>
  <c r="AA687" i="3"/>
  <c r="X627" i="3"/>
  <c r="I627" i="3"/>
  <c r="H627" i="3"/>
  <c r="AB622" i="3"/>
  <c r="AA623" i="3"/>
  <c r="X557" i="3"/>
  <c r="I557" i="3"/>
  <c r="H557" i="3"/>
  <c r="X564" i="3"/>
  <c r="I564" i="3"/>
  <c r="H564" i="3"/>
  <c r="AA560" i="3"/>
  <c r="AB559" i="3"/>
  <c r="AB423" i="3"/>
  <c r="AA424" i="3"/>
  <c r="X599" i="3"/>
  <c r="I599" i="3"/>
  <c r="H599" i="3"/>
  <c r="AA595" i="3"/>
  <c r="AB594" i="3"/>
  <c r="X535" i="3"/>
  <c r="H535" i="3"/>
  <c r="I535" i="3"/>
  <c r="AB530" i="3"/>
  <c r="AA531" i="3"/>
  <c r="X485" i="3"/>
  <c r="H485" i="3"/>
  <c r="I485" i="3"/>
  <c r="X570" i="3"/>
  <c r="H570" i="3"/>
  <c r="I570" i="3"/>
  <c r="AB565" i="3"/>
  <c r="AC565" i="3" s="1"/>
  <c r="AA566" i="3"/>
  <c r="I332" i="3"/>
  <c r="H332" i="3"/>
  <c r="X332" i="3"/>
  <c r="X576" i="3"/>
  <c r="I576" i="3"/>
  <c r="H576" i="3"/>
  <c r="AB571" i="3"/>
  <c r="AC571" i="3" s="1"/>
  <c r="AA572" i="3"/>
  <c r="AA453" i="3"/>
  <c r="AB452" i="3"/>
  <c r="X563" i="3"/>
  <c r="I563" i="3"/>
  <c r="H563" i="3"/>
  <c r="AA559" i="3"/>
  <c r="AB558" i="3"/>
  <c r="AB407" i="3"/>
  <c r="AA408" i="3"/>
  <c r="X574" i="3"/>
  <c r="I574" i="3"/>
  <c r="H574" i="3"/>
  <c r="AA570" i="3"/>
  <c r="AB569" i="3"/>
  <c r="X521" i="3"/>
  <c r="H521" i="3"/>
  <c r="I521" i="3"/>
  <c r="X480" i="3"/>
  <c r="I480" i="3"/>
  <c r="H480" i="3"/>
  <c r="AB475" i="3"/>
  <c r="AA476" i="3"/>
  <c r="X392" i="3"/>
  <c r="H392" i="3"/>
  <c r="I392" i="3"/>
  <c r="H491" i="3"/>
  <c r="I491" i="3"/>
  <c r="X491" i="3"/>
  <c r="AB486" i="3"/>
  <c r="AA487" i="3"/>
  <c r="X436" i="3"/>
  <c r="I436" i="3"/>
  <c r="H436" i="3"/>
  <c r="X502" i="3"/>
  <c r="I502" i="3"/>
  <c r="H502" i="3"/>
  <c r="AA498" i="3"/>
  <c r="AB497" i="3"/>
  <c r="X508" i="3"/>
  <c r="I508" i="3"/>
  <c r="H508" i="3"/>
  <c r="AA504" i="3"/>
  <c r="AB503" i="3"/>
  <c r="AC503" i="3" s="1"/>
  <c r="X519" i="3"/>
  <c r="I519" i="3"/>
  <c r="H519" i="3"/>
  <c r="AA515" i="3"/>
  <c r="AB514" i="3"/>
  <c r="AC514" i="3" s="1"/>
  <c r="H455" i="3"/>
  <c r="I455" i="3"/>
  <c r="X455" i="3"/>
  <c r="AB525" i="3"/>
  <c r="AA526" i="3"/>
  <c r="I466" i="3"/>
  <c r="H466" i="3"/>
  <c r="X466" i="3"/>
  <c r="AA462" i="3"/>
  <c r="AB461" i="3"/>
  <c r="AB395" i="3"/>
  <c r="AA396" i="3"/>
  <c r="X399" i="3"/>
  <c r="H399" i="3"/>
  <c r="I399" i="3"/>
  <c r="AB394" i="3"/>
  <c r="AA395" i="3"/>
  <c r="H344" i="3"/>
  <c r="X344" i="3"/>
  <c r="I344" i="3"/>
  <c r="X410" i="3"/>
  <c r="H410" i="3"/>
  <c r="I410" i="3"/>
  <c r="AB405" i="3"/>
  <c r="AA406" i="3"/>
  <c r="AA280" i="3"/>
  <c r="AB279" i="3"/>
  <c r="H421" i="3"/>
  <c r="I421" i="3"/>
  <c r="X421" i="3"/>
  <c r="AB416" i="3"/>
  <c r="AA417" i="3"/>
  <c r="H427" i="3"/>
  <c r="I427" i="3"/>
  <c r="X427" i="3"/>
  <c r="AB422" i="3"/>
  <c r="AA423" i="3"/>
  <c r="X236" i="3"/>
  <c r="H236" i="3"/>
  <c r="I236" i="3"/>
  <c r="X438" i="3"/>
  <c r="H438" i="3"/>
  <c r="I438" i="3"/>
  <c r="AB433" i="3"/>
  <c r="AA434" i="3"/>
  <c r="I374" i="3"/>
  <c r="H374" i="3"/>
  <c r="X374" i="3"/>
  <c r="AA304" i="3"/>
  <c r="AB303" i="3"/>
  <c r="H425" i="3"/>
  <c r="X425" i="3"/>
  <c r="I425" i="3"/>
  <c r="AB420" i="3"/>
  <c r="AA421" i="3"/>
  <c r="I192" i="3"/>
  <c r="X192" i="3"/>
  <c r="H192" i="3"/>
  <c r="H311" i="3"/>
  <c r="I311" i="3"/>
  <c r="X311" i="3"/>
  <c r="AA307" i="3"/>
  <c r="AB306" i="3"/>
  <c r="AB227" i="3"/>
  <c r="AA228" i="3"/>
  <c r="H322" i="3"/>
  <c r="X322" i="3"/>
  <c r="I322" i="3"/>
  <c r="AA318" i="3"/>
  <c r="AB317" i="3"/>
  <c r="AB271" i="3"/>
  <c r="AA272" i="3"/>
  <c r="H212" i="3"/>
  <c r="X212" i="3"/>
  <c r="I212" i="3"/>
  <c r="AA369" i="3"/>
  <c r="AB368" i="3"/>
  <c r="H309" i="3"/>
  <c r="X309" i="3"/>
  <c r="I309" i="3"/>
  <c r="AA305" i="3"/>
  <c r="AB304" i="3"/>
  <c r="AA220" i="3"/>
  <c r="AB219" i="3"/>
  <c r="I315" i="3"/>
  <c r="H315" i="3"/>
  <c r="X315" i="3"/>
  <c r="AA311" i="3"/>
  <c r="AB310" i="3"/>
  <c r="AB243" i="3"/>
  <c r="AA244" i="3"/>
  <c r="H326" i="3"/>
  <c r="I326" i="3"/>
  <c r="X326" i="3"/>
  <c r="AB321" i="3"/>
  <c r="AA322" i="3"/>
  <c r="H296" i="3"/>
  <c r="I296" i="3"/>
  <c r="X296" i="3"/>
  <c r="I228" i="3"/>
  <c r="X228" i="3"/>
  <c r="H228" i="3"/>
  <c r="AB372" i="3"/>
  <c r="AC372" i="3" s="1"/>
  <c r="AA373" i="3"/>
  <c r="H313" i="3"/>
  <c r="X313" i="3"/>
  <c r="I313" i="3"/>
  <c r="AB308" i="3"/>
  <c r="AA309" i="3"/>
  <c r="AB290" i="3"/>
  <c r="AA291" i="3"/>
  <c r="AA236" i="3"/>
  <c r="AB235" i="3"/>
  <c r="H152" i="3"/>
  <c r="I152" i="3"/>
  <c r="X152" i="3"/>
  <c r="AB282" i="3"/>
  <c r="AA283" i="3"/>
  <c r="X223" i="3"/>
  <c r="H223" i="3"/>
  <c r="I223" i="3"/>
  <c r="AA219" i="3"/>
  <c r="AB218" i="3"/>
  <c r="I250" i="3"/>
  <c r="X250" i="3"/>
  <c r="H250" i="3"/>
  <c r="AB245" i="3"/>
  <c r="AA246" i="3"/>
  <c r="AA180" i="3"/>
  <c r="AB179" i="3"/>
  <c r="X269" i="3"/>
  <c r="H269" i="3"/>
  <c r="I269" i="3"/>
  <c r="AB264" i="3"/>
  <c r="AA265" i="3"/>
  <c r="I196" i="3"/>
  <c r="H196" i="3"/>
  <c r="X196" i="3"/>
  <c r="H275" i="3"/>
  <c r="I275" i="3"/>
  <c r="X275" i="3"/>
  <c r="AA271" i="3"/>
  <c r="AB270" i="3"/>
  <c r="H286" i="3"/>
  <c r="X286" i="3"/>
  <c r="I286" i="3"/>
  <c r="AA282" i="3"/>
  <c r="AB281" i="3"/>
  <c r="H222" i="3"/>
  <c r="X222" i="3"/>
  <c r="I222" i="3"/>
  <c r="AA218" i="3"/>
  <c r="AB217" i="3"/>
  <c r="H297" i="3"/>
  <c r="X297" i="3"/>
  <c r="I297" i="3"/>
  <c r="AA293" i="3"/>
  <c r="AB292" i="3"/>
  <c r="I233" i="3"/>
  <c r="X233" i="3"/>
  <c r="H233" i="3"/>
  <c r="AA229" i="3"/>
  <c r="AB228" i="3"/>
  <c r="I166" i="3"/>
  <c r="X166" i="3"/>
  <c r="H166" i="3"/>
  <c r="X169" i="3"/>
  <c r="H169" i="3"/>
  <c r="I169" i="3"/>
  <c r="AB163" i="3"/>
  <c r="AA164" i="3"/>
  <c r="X199" i="3"/>
  <c r="H199" i="3"/>
  <c r="I199" i="3"/>
  <c r="AA195" i="3"/>
  <c r="AB194" i="3"/>
  <c r="H164" i="3"/>
  <c r="X164" i="3"/>
  <c r="I164" i="3"/>
  <c r="I155" i="3"/>
  <c r="X155" i="3"/>
  <c r="H155" i="3"/>
  <c r="AB106" i="3"/>
  <c r="AA107" i="3"/>
  <c r="H170" i="3"/>
  <c r="I170" i="3"/>
  <c r="X170" i="3"/>
  <c r="AB156" i="3"/>
  <c r="AA157" i="3"/>
  <c r="X112" i="3"/>
  <c r="H112" i="3"/>
  <c r="I112" i="3"/>
  <c r="H205" i="3"/>
  <c r="X205" i="3"/>
  <c r="I205" i="3"/>
  <c r="AB200" i="3"/>
  <c r="AA201" i="3"/>
  <c r="H140" i="3"/>
  <c r="I140" i="3"/>
  <c r="X140" i="3"/>
  <c r="H119" i="3"/>
  <c r="I119" i="3"/>
  <c r="X119" i="3"/>
  <c r="H129" i="3"/>
  <c r="X129" i="3"/>
  <c r="I129" i="3"/>
  <c r="I114" i="3"/>
  <c r="H114" i="3"/>
  <c r="X114" i="3"/>
  <c r="I99" i="3"/>
  <c r="X99" i="3"/>
  <c r="H99" i="3"/>
  <c r="AB162" i="3"/>
  <c r="AA163" i="3"/>
  <c r="I165" i="3"/>
  <c r="X165" i="3"/>
  <c r="H165" i="3"/>
  <c r="AA161" i="3"/>
  <c r="AB160" i="3"/>
  <c r="AB117" i="3"/>
  <c r="AA118" i="3"/>
  <c r="I93" i="3"/>
  <c r="X93" i="3"/>
  <c r="H93" i="3"/>
  <c r="AB53" i="3"/>
  <c r="AA54" i="3"/>
  <c r="I104" i="3"/>
  <c r="X104" i="3"/>
  <c r="H104" i="3"/>
  <c r="AB99" i="3"/>
  <c r="AC99" i="3" s="1"/>
  <c r="AA100" i="3"/>
  <c r="I102" i="3"/>
  <c r="X102" i="3"/>
  <c r="H102" i="3"/>
  <c r="AB97" i="3"/>
  <c r="AA98" i="3"/>
  <c r="AA75" i="3"/>
  <c r="AB74" i="3"/>
  <c r="AB60" i="3"/>
  <c r="AA61" i="3"/>
  <c r="AB59" i="3"/>
  <c r="AA60" i="3"/>
  <c r="AB55" i="3"/>
  <c r="AC55" i="3" s="1"/>
  <c r="AA56" i="3"/>
  <c r="AB61" i="3"/>
  <c r="AA62" i="3"/>
  <c r="X20" i="3"/>
  <c r="H20" i="3"/>
  <c r="I20" i="3"/>
  <c r="H43" i="3"/>
  <c r="I43" i="3"/>
  <c r="X43" i="3"/>
  <c r="AB38" i="3"/>
  <c r="AA39" i="3"/>
  <c r="H46" i="3"/>
  <c r="X46" i="3"/>
  <c r="I46" i="3"/>
  <c r="AB41" i="3"/>
  <c r="AA42" i="3"/>
  <c r="X39" i="3"/>
  <c r="H39" i="3"/>
  <c r="I39" i="3"/>
  <c r="AB34" i="3"/>
  <c r="AC34" i="3" s="1"/>
  <c r="AA35" i="3"/>
  <c r="X37" i="3"/>
  <c r="H37" i="3"/>
  <c r="I37" i="3"/>
  <c r="AB32" i="3"/>
  <c r="AA33" i="3"/>
  <c r="X928" i="3"/>
  <c r="I928" i="3"/>
  <c r="H928" i="3"/>
  <c r="AB998" i="3"/>
  <c r="AA999" i="3"/>
  <c r="X939" i="3"/>
  <c r="I939" i="3"/>
  <c r="H939" i="3"/>
  <c r="AB985" i="3"/>
  <c r="AA986" i="3"/>
  <c r="AA922" i="3"/>
  <c r="AB921" i="3"/>
  <c r="AB988" i="3"/>
  <c r="AA989" i="3"/>
  <c r="AB924" i="3"/>
  <c r="AA925" i="3"/>
  <c r="AA836" i="3"/>
  <c r="AB835" i="3"/>
  <c r="X776" i="3"/>
  <c r="H776" i="3"/>
  <c r="I776" i="3"/>
  <c r="AB986" i="3"/>
  <c r="AA987" i="3"/>
  <c r="X927" i="3"/>
  <c r="H927" i="3"/>
  <c r="I927" i="3"/>
  <c r="X742" i="3"/>
  <c r="I742" i="3"/>
  <c r="H742" i="3"/>
  <c r="X923" i="3"/>
  <c r="H923" i="3"/>
  <c r="I923" i="3"/>
  <c r="AA812" i="3"/>
  <c r="AB811" i="3"/>
  <c r="AB969" i="3"/>
  <c r="AA970" i="3"/>
  <c r="AA906" i="3"/>
  <c r="AB905" i="3"/>
  <c r="AB759" i="3"/>
  <c r="AA760" i="3"/>
  <c r="X700" i="3"/>
  <c r="I700" i="3"/>
  <c r="H700" i="3"/>
  <c r="X912" i="3"/>
  <c r="I912" i="3"/>
  <c r="H912" i="3"/>
  <c r="X977" i="3"/>
  <c r="I977" i="3"/>
  <c r="H977" i="3"/>
  <c r="AB972" i="3"/>
  <c r="AA973" i="3"/>
  <c r="X913" i="3"/>
  <c r="H913" i="3"/>
  <c r="I913" i="3"/>
  <c r="AB908" i="3"/>
  <c r="AA909" i="3"/>
  <c r="X712" i="3"/>
  <c r="H712" i="3"/>
  <c r="I712" i="3"/>
  <c r="X820" i="3"/>
  <c r="H820" i="3"/>
  <c r="I820" i="3"/>
  <c r="X924" i="3"/>
  <c r="I924" i="3"/>
  <c r="H924" i="3"/>
  <c r="X975" i="3"/>
  <c r="H975" i="3"/>
  <c r="I975" i="3"/>
  <c r="AB970" i="3"/>
  <c r="AA971" i="3"/>
  <c r="X911" i="3"/>
  <c r="I911" i="3"/>
  <c r="H911" i="3"/>
  <c r="AA907" i="3"/>
  <c r="AB906" i="3"/>
  <c r="AB763" i="3"/>
  <c r="AA764" i="3"/>
  <c r="X704" i="3"/>
  <c r="I704" i="3"/>
  <c r="H704" i="3"/>
  <c r="X916" i="3"/>
  <c r="H916" i="3"/>
  <c r="I916" i="3"/>
  <c r="AA880" i="3"/>
  <c r="AB879" i="3"/>
  <c r="X962" i="3"/>
  <c r="I962" i="3"/>
  <c r="H962" i="3"/>
  <c r="AB957" i="3"/>
  <c r="AA958" i="3"/>
  <c r="X898" i="3"/>
  <c r="I898" i="3"/>
  <c r="H898" i="3"/>
  <c r="AA894" i="3"/>
  <c r="AB893" i="3"/>
  <c r="AA869" i="3"/>
  <c r="AB868" i="3"/>
  <c r="AA712" i="3"/>
  <c r="AB711" i="3"/>
  <c r="X949" i="3"/>
  <c r="I949" i="3"/>
  <c r="H949" i="3"/>
  <c r="AA945" i="3"/>
  <c r="AB944" i="3"/>
  <c r="X885" i="3"/>
  <c r="I885" i="3"/>
  <c r="H885" i="3"/>
  <c r="AA881" i="3"/>
  <c r="AB880" i="3"/>
  <c r="X856" i="3"/>
  <c r="H856" i="3"/>
  <c r="I856" i="3"/>
  <c r="AA658" i="3"/>
  <c r="AB657" i="3"/>
  <c r="AC657" i="3" s="1"/>
  <c r="AB831" i="3"/>
  <c r="AA832" i="3"/>
  <c r="X708" i="3"/>
  <c r="I708" i="3"/>
  <c r="H708" i="3"/>
  <c r="X851" i="3"/>
  <c r="I851" i="3"/>
  <c r="H851" i="3"/>
  <c r="AB846" i="3"/>
  <c r="AA847" i="3"/>
  <c r="X787" i="3"/>
  <c r="H787" i="3"/>
  <c r="I787" i="3"/>
  <c r="AA783" i="3"/>
  <c r="AB782" i="3"/>
  <c r="X723" i="3"/>
  <c r="H723" i="3"/>
  <c r="I723" i="3"/>
  <c r="AB718" i="3"/>
  <c r="AA719" i="3"/>
  <c r="AB637" i="3"/>
  <c r="AA638" i="3"/>
  <c r="X854" i="3"/>
  <c r="I854" i="3"/>
  <c r="H854" i="3"/>
  <c r="AB849" i="3"/>
  <c r="AA850" i="3"/>
  <c r="X790" i="3"/>
  <c r="I790" i="3"/>
  <c r="H790" i="3"/>
  <c r="AB785" i="3"/>
  <c r="AA786" i="3"/>
  <c r="X726" i="3"/>
  <c r="I726" i="3"/>
  <c r="H726" i="3"/>
  <c r="AA722" i="3"/>
  <c r="AB721" i="3"/>
  <c r="AA650" i="3"/>
  <c r="AB649" i="3"/>
  <c r="X865" i="3"/>
  <c r="I865" i="3"/>
  <c r="H865" i="3"/>
  <c r="AA861" i="3"/>
  <c r="AB860" i="3"/>
  <c r="X801" i="3"/>
  <c r="H801" i="3"/>
  <c r="I801" i="3"/>
  <c r="AB796" i="3"/>
  <c r="AA797" i="3"/>
  <c r="X737" i="3"/>
  <c r="H737" i="3"/>
  <c r="I737" i="3"/>
  <c r="AA733" i="3"/>
  <c r="AB732" i="3"/>
  <c r="X634" i="3"/>
  <c r="H634" i="3"/>
  <c r="I634" i="3"/>
  <c r="X823" i="3"/>
  <c r="H823" i="3"/>
  <c r="I823" i="3"/>
  <c r="AA819" i="3"/>
  <c r="AB818" i="3"/>
  <c r="X759" i="3"/>
  <c r="I759" i="3"/>
  <c r="H759" i="3"/>
  <c r="AB754" i="3"/>
  <c r="AA755" i="3"/>
  <c r="X695" i="3"/>
  <c r="I695" i="3"/>
  <c r="H695" i="3"/>
  <c r="AA691" i="3"/>
  <c r="AB690" i="3"/>
  <c r="X826" i="3"/>
  <c r="I826" i="3"/>
  <c r="H826" i="3"/>
  <c r="AA822" i="3"/>
  <c r="AB821" i="3"/>
  <c r="X762" i="3"/>
  <c r="H762" i="3"/>
  <c r="I762" i="3"/>
  <c r="AA758" i="3"/>
  <c r="AB757" i="3"/>
  <c r="X698" i="3"/>
  <c r="H698" i="3"/>
  <c r="I698" i="3"/>
  <c r="AA694" i="3"/>
  <c r="AB693" i="3"/>
  <c r="X829" i="3"/>
  <c r="H829" i="3"/>
  <c r="I829" i="3"/>
  <c r="AB824" i="3"/>
  <c r="AA825" i="3"/>
  <c r="X765" i="3"/>
  <c r="H765" i="3"/>
  <c r="I765" i="3"/>
  <c r="AA761" i="3"/>
  <c r="AB760" i="3"/>
  <c r="X701" i="3"/>
  <c r="H701" i="3"/>
  <c r="I701" i="3"/>
  <c r="AA697" i="3"/>
  <c r="AB696" i="3"/>
  <c r="X681" i="3"/>
  <c r="H681" i="3"/>
  <c r="I681" i="3"/>
  <c r="AB676" i="3"/>
  <c r="AA677" i="3"/>
  <c r="X617" i="3"/>
  <c r="H617" i="3"/>
  <c r="I617" i="3"/>
  <c r="AB612" i="3"/>
  <c r="AA613" i="3"/>
  <c r="AA577" i="3"/>
  <c r="AB576" i="3"/>
  <c r="X652" i="3"/>
  <c r="H652" i="3"/>
  <c r="I652" i="3"/>
  <c r="AB647" i="3"/>
  <c r="AA648" i="3"/>
  <c r="X639" i="3"/>
  <c r="I639" i="3"/>
  <c r="H639" i="3"/>
  <c r="AB634" i="3"/>
  <c r="AA635" i="3"/>
  <c r="X669" i="3"/>
  <c r="H669" i="3"/>
  <c r="I669" i="3"/>
  <c r="AB664" i="3"/>
  <c r="AA665" i="3"/>
  <c r="X605" i="3"/>
  <c r="H605" i="3"/>
  <c r="I605" i="3"/>
  <c r="X680" i="3"/>
  <c r="I680" i="3"/>
  <c r="H680" i="3"/>
  <c r="AB675" i="3"/>
  <c r="AA676" i="3"/>
  <c r="X616" i="3"/>
  <c r="I616" i="3"/>
  <c r="H616" i="3"/>
  <c r="AB611" i="3"/>
  <c r="AA612" i="3"/>
  <c r="AB572" i="3"/>
  <c r="AA573" i="3"/>
  <c r="X651" i="3"/>
  <c r="I651" i="3"/>
  <c r="H651" i="3"/>
  <c r="AB646" i="3"/>
  <c r="AA647" i="3"/>
  <c r="X588" i="3"/>
  <c r="I588" i="3"/>
  <c r="H588" i="3"/>
  <c r="AB583" i="3"/>
  <c r="AA584" i="3"/>
  <c r="AA501" i="3"/>
  <c r="AB500" i="3"/>
  <c r="X559" i="3"/>
  <c r="H559" i="3"/>
  <c r="I559" i="3"/>
  <c r="AA555" i="3"/>
  <c r="AB554" i="3"/>
  <c r="X594" i="3"/>
  <c r="H594" i="3"/>
  <c r="I594" i="3"/>
  <c r="AB589" i="3"/>
  <c r="AA590" i="3"/>
  <c r="X530" i="3"/>
  <c r="H530" i="3"/>
  <c r="I530" i="3"/>
  <c r="H465" i="3"/>
  <c r="X465" i="3"/>
  <c r="I465" i="3"/>
  <c r="X600" i="3"/>
  <c r="H600" i="3"/>
  <c r="I600" i="3"/>
  <c r="AB595" i="3"/>
  <c r="AA596" i="3"/>
  <c r="X536" i="3"/>
  <c r="H536" i="3"/>
  <c r="I536" i="3"/>
  <c r="AB531" i="3"/>
  <c r="AA532" i="3"/>
  <c r="X489" i="3"/>
  <c r="I489" i="3"/>
  <c r="H489" i="3"/>
  <c r="X587" i="3"/>
  <c r="H587" i="3"/>
  <c r="I587" i="3"/>
  <c r="AB582" i="3"/>
  <c r="AA583" i="3"/>
  <c r="AB496" i="3"/>
  <c r="AA497" i="3"/>
  <c r="X598" i="3"/>
  <c r="I598" i="3"/>
  <c r="H598" i="3"/>
  <c r="AA594" i="3"/>
  <c r="AB593" i="3"/>
  <c r="X534" i="3"/>
  <c r="I534" i="3"/>
  <c r="H534" i="3"/>
  <c r="AA530" i="3"/>
  <c r="AB529" i="3"/>
  <c r="X481" i="3"/>
  <c r="I481" i="3"/>
  <c r="H481" i="3"/>
  <c r="X504" i="3"/>
  <c r="H504" i="3"/>
  <c r="I504" i="3"/>
  <c r="AA500" i="3"/>
  <c r="AB499" i="3"/>
  <c r="X515" i="3"/>
  <c r="H515" i="3"/>
  <c r="I515" i="3"/>
  <c r="AA511" i="3"/>
  <c r="AB510" i="3"/>
  <c r="I451" i="3"/>
  <c r="H451" i="3"/>
  <c r="X451" i="3"/>
  <c r="H462" i="3"/>
  <c r="I462" i="3"/>
  <c r="X462" i="3"/>
  <c r="AB457" i="3"/>
  <c r="AA458" i="3"/>
  <c r="AB379" i="3"/>
  <c r="AA380" i="3"/>
  <c r="AA528" i="3"/>
  <c r="AB527" i="3"/>
  <c r="I468" i="3"/>
  <c r="X468" i="3"/>
  <c r="H468" i="3"/>
  <c r="AB463" i="3"/>
  <c r="AA464" i="3"/>
  <c r="AA404" i="3"/>
  <c r="AB403" i="3"/>
  <c r="X479" i="3"/>
  <c r="H479" i="3"/>
  <c r="I479" i="3"/>
  <c r="AB474" i="3"/>
  <c r="AA475" i="3"/>
  <c r="AA448" i="3"/>
  <c r="AB447" i="3"/>
  <c r="X388" i="3"/>
  <c r="H388" i="3"/>
  <c r="I388" i="3"/>
  <c r="AB359" i="3"/>
  <c r="AA360" i="3"/>
  <c r="X490" i="3"/>
  <c r="I490" i="3"/>
  <c r="H490" i="3"/>
  <c r="AB485" i="3"/>
  <c r="AA486" i="3"/>
  <c r="I432" i="3"/>
  <c r="H432" i="3"/>
  <c r="X432" i="3"/>
  <c r="H423" i="3"/>
  <c r="I423" i="3"/>
  <c r="X423" i="3"/>
  <c r="AA419" i="3"/>
  <c r="AB418" i="3"/>
  <c r="I434" i="3"/>
  <c r="X434" i="3"/>
  <c r="H434" i="3"/>
  <c r="AA430" i="3"/>
  <c r="AB429" i="3"/>
  <c r="X445" i="3"/>
  <c r="I445" i="3"/>
  <c r="H445" i="3"/>
  <c r="AA441" i="3"/>
  <c r="AB440" i="3"/>
  <c r="H381" i="3"/>
  <c r="I381" i="3"/>
  <c r="X381" i="3"/>
  <c r="AB376" i="3"/>
  <c r="AA377" i="3"/>
  <c r="AB331" i="3"/>
  <c r="AA332" i="3"/>
  <c r="AB446" i="3"/>
  <c r="AA447" i="3"/>
  <c r="H387" i="3"/>
  <c r="X387" i="3"/>
  <c r="I387" i="3"/>
  <c r="AA383" i="3"/>
  <c r="AB382" i="3"/>
  <c r="AA356" i="3"/>
  <c r="AB355" i="3"/>
  <c r="AA296" i="3"/>
  <c r="AB295" i="3"/>
  <c r="H398" i="3"/>
  <c r="I398" i="3"/>
  <c r="X398" i="3"/>
  <c r="AB393" i="3"/>
  <c r="AA394" i="3"/>
  <c r="H340" i="3"/>
  <c r="I340" i="3"/>
  <c r="X340" i="3"/>
  <c r="H449" i="3"/>
  <c r="X449" i="3"/>
  <c r="I449" i="3"/>
  <c r="AA445" i="3"/>
  <c r="AB444" i="3"/>
  <c r="H385" i="3"/>
  <c r="I385" i="3"/>
  <c r="X385" i="3"/>
  <c r="AB380" i="3"/>
  <c r="AA381" i="3"/>
  <c r="AA348" i="3"/>
  <c r="AB347" i="3"/>
  <c r="I335" i="3"/>
  <c r="H335" i="3"/>
  <c r="X335" i="3"/>
  <c r="AB330" i="3"/>
  <c r="AA331" i="3"/>
  <c r="X264" i="3"/>
  <c r="I264" i="3"/>
  <c r="H264" i="3"/>
  <c r="X346" i="3"/>
  <c r="I346" i="3"/>
  <c r="H346" i="3"/>
  <c r="AA342" i="3"/>
  <c r="AB341" i="3"/>
  <c r="AA288" i="3"/>
  <c r="AB287" i="3"/>
  <c r="H333" i="3"/>
  <c r="X333" i="3"/>
  <c r="I333" i="3"/>
  <c r="AA329" i="3"/>
  <c r="AB328" i="3"/>
  <c r="H256" i="3"/>
  <c r="X256" i="3"/>
  <c r="I256" i="3"/>
  <c r="H339" i="3"/>
  <c r="X339" i="3"/>
  <c r="I339" i="3"/>
  <c r="AB334" i="3"/>
  <c r="AA335" i="3"/>
  <c r="I280" i="3"/>
  <c r="X280" i="3"/>
  <c r="H280" i="3"/>
  <c r="H350" i="3"/>
  <c r="I350" i="3"/>
  <c r="X350" i="3"/>
  <c r="AA346" i="3"/>
  <c r="AB345" i="3"/>
  <c r="X337" i="3"/>
  <c r="H337" i="3"/>
  <c r="I337" i="3"/>
  <c r="AB332" i="3"/>
  <c r="AA333" i="3"/>
  <c r="X272" i="3"/>
  <c r="H272" i="3"/>
  <c r="I272" i="3"/>
  <c r="H247" i="3"/>
  <c r="I247" i="3"/>
  <c r="X247" i="3"/>
  <c r="AA243" i="3"/>
  <c r="AB242" i="3"/>
  <c r="AB167" i="3"/>
  <c r="AA168" i="3"/>
  <c r="I274" i="3"/>
  <c r="H274" i="3"/>
  <c r="X274" i="3"/>
  <c r="AA270" i="3"/>
  <c r="AB269" i="3"/>
  <c r="X208" i="3"/>
  <c r="H208" i="3"/>
  <c r="I208" i="3"/>
  <c r="H229" i="3"/>
  <c r="I229" i="3"/>
  <c r="X229" i="3"/>
  <c r="AB224" i="3"/>
  <c r="AA225" i="3"/>
  <c r="AA295" i="3"/>
  <c r="AB294" i="3"/>
  <c r="X235" i="3"/>
  <c r="H235" i="3"/>
  <c r="I235" i="3"/>
  <c r="AB230" i="3"/>
  <c r="AA231" i="3"/>
  <c r="H246" i="3"/>
  <c r="I246" i="3"/>
  <c r="X246" i="3"/>
  <c r="AB241" i="3"/>
  <c r="AA242" i="3"/>
  <c r="AB211" i="3"/>
  <c r="AA212" i="3"/>
  <c r="X257" i="3"/>
  <c r="H257" i="3"/>
  <c r="I257" i="3"/>
  <c r="AA253" i="3"/>
  <c r="AB252" i="3"/>
  <c r="H171" i="3"/>
  <c r="I171" i="3"/>
  <c r="X171" i="3"/>
  <c r="AB166" i="3"/>
  <c r="AA167" i="3"/>
  <c r="AB158" i="3"/>
  <c r="AA159" i="3"/>
  <c r="X120" i="3"/>
  <c r="H120" i="3"/>
  <c r="I120" i="3"/>
  <c r="I190" i="3"/>
  <c r="H190" i="3"/>
  <c r="X190" i="3"/>
  <c r="AB185" i="3"/>
  <c r="AA186" i="3"/>
  <c r="AA140" i="3"/>
  <c r="AB139" i="3"/>
  <c r="I193" i="3"/>
  <c r="X193" i="3"/>
  <c r="H193" i="3"/>
  <c r="AB188" i="3"/>
  <c r="AA189" i="3"/>
  <c r="AA152" i="3"/>
  <c r="AB151" i="3"/>
  <c r="H194" i="3"/>
  <c r="X194" i="3"/>
  <c r="I194" i="3"/>
  <c r="AB189" i="3"/>
  <c r="AA190" i="3"/>
  <c r="H156" i="3"/>
  <c r="I156" i="3"/>
  <c r="X156" i="3"/>
  <c r="I126" i="3"/>
  <c r="X126" i="3"/>
  <c r="H126" i="3"/>
  <c r="I153" i="3"/>
  <c r="H153" i="3"/>
  <c r="X153" i="3"/>
  <c r="AB148" i="3"/>
  <c r="AA149" i="3"/>
  <c r="X42" i="3"/>
  <c r="H42" i="3"/>
  <c r="I42" i="3"/>
  <c r="H127" i="3"/>
  <c r="I127" i="3"/>
  <c r="X127" i="3"/>
  <c r="AA111" i="3"/>
  <c r="AB110" i="3"/>
  <c r="I91" i="3"/>
  <c r="X91" i="3"/>
  <c r="H91" i="3"/>
  <c r="I146" i="3"/>
  <c r="X146" i="3"/>
  <c r="H146" i="3"/>
  <c r="AB141" i="3"/>
  <c r="AA142" i="3"/>
  <c r="H98" i="3"/>
  <c r="X98" i="3"/>
  <c r="I98" i="3"/>
  <c r="AA94" i="3"/>
  <c r="AB93" i="3"/>
  <c r="AA89" i="3"/>
  <c r="AB88" i="3"/>
  <c r="H117" i="3"/>
  <c r="X117" i="3"/>
  <c r="I117" i="3"/>
  <c r="AB112" i="3"/>
  <c r="AA113" i="3"/>
  <c r="AA80" i="3"/>
  <c r="AB79" i="3"/>
  <c r="AB121" i="3"/>
  <c r="AA122" i="3"/>
  <c r="I85" i="3"/>
  <c r="X85" i="3"/>
  <c r="H85" i="3"/>
  <c r="I105" i="3"/>
  <c r="H105" i="3"/>
  <c r="X105" i="3"/>
  <c r="AB100" i="3"/>
  <c r="AA101" i="3"/>
  <c r="X108" i="3"/>
  <c r="I108" i="3"/>
  <c r="H108" i="3"/>
  <c r="AA104" i="3"/>
  <c r="AB103" i="3"/>
  <c r="I48" i="3"/>
  <c r="X48" i="3"/>
  <c r="H48" i="3"/>
  <c r="X44" i="3"/>
  <c r="H44" i="3"/>
  <c r="I44" i="3"/>
  <c r="X50" i="3"/>
  <c r="H50" i="3"/>
  <c r="I50" i="3"/>
  <c r="H64" i="3"/>
  <c r="I64" i="3"/>
  <c r="X64" i="3"/>
  <c r="I56" i="3"/>
  <c r="H56" i="3"/>
  <c r="X56" i="3"/>
  <c r="I67" i="3"/>
  <c r="X67" i="3"/>
  <c r="H67" i="3"/>
  <c r="AA53" i="3"/>
  <c r="AB52" i="3"/>
  <c r="X70" i="3"/>
  <c r="H70" i="3"/>
  <c r="I70" i="3"/>
  <c r="AB65" i="3"/>
  <c r="AA66" i="3"/>
  <c r="AA63" i="3"/>
  <c r="AB62" i="3"/>
  <c r="AA59" i="3"/>
  <c r="AB58" i="3"/>
  <c r="AC58" i="3" s="1"/>
  <c r="X61" i="3"/>
  <c r="I61" i="3"/>
  <c r="H61" i="3"/>
  <c r="AA57" i="3"/>
  <c r="AB56" i="3"/>
  <c r="AC56" i="3" s="1"/>
  <c r="X875" i="3"/>
  <c r="H875" i="3"/>
  <c r="I875" i="3"/>
  <c r="X910" i="3"/>
  <c r="H910" i="3"/>
  <c r="I910" i="3"/>
  <c r="AB951" i="3"/>
  <c r="AA952" i="3"/>
  <c r="X960" i="3"/>
  <c r="I960" i="3"/>
  <c r="H960" i="3"/>
  <c r="X940" i="3"/>
  <c r="I940" i="3"/>
  <c r="H940" i="3"/>
  <c r="X947" i="3"/>
  <c r="I947" i="3"/>
  <c r="H947" i="3"/>
  <c r="X883" i="3"/>
  <c r="H883" i="3"/>
  <c r="I883" i="3"/>
  <c r="AA879" i="3"/>
  <c r="AB878" i="3"/>
  <c r="X848" i="3"/>
  <c r="H848" i="3"/>
  <c r="I848" i="3"/>
  <c r="X998" i="3"/>
  <c r="I998" i="3"/>
  <c r="H998" i="3"/>
  <c r="AA930" i="3"/>
  <c r="AB929" i="3"/>
  <c r="X870" i="3"/>
  <c r="I870" i="3"/>
  <c r="H870" i="3"/>
  <c r="AB855" i="3"/>
  <c r="AA856" i="3"/>
  <c r="X796" i="3"/>
  <c r="I796" i="3"/>
  <c r="H796" i="3"/>
  <c r="X920" i="3"/>
  <c r="H920" i="3"/>
  <c r="I920" i="3"/>
  <c r="X1001" i="3"/>
  <c r="I1001" i="3"/>
  <c r="H1001" i="3"/>
  <c r="AB996" i="3"/>
  <c r="AA997" i="3"/>
  <c r="X937" i="3"/>
  <c r="I937" i="3"/>
  <c r="H937" i="3"/>
  <c r="AB932" i="3"/>
  <c r="AA933" i="3"/>
  <c r="X873" i="3"/>
  <c r="I873" i="3"/>
  <c r="H873" i="3"/>
  <c r="AB867" i="3"/>
  <c r="AA868" i="3"/>
  <c r="X808" i="3"/>
  <c r="I808" i="3"/>
  <c r="H808" i="3"/>
  <c r="AB751" i="3"/>
  <c r="AA752" i="3"/>
  <c r="X692" i="3"/>
  <c r="I692" i="3"/>
  <c r="H692" i="3"/>
  <c r="X908" i="3"/>
  <c r="H908" i="3"/>
  <c r="I908" i="3"/>
  <c r="H999" i="3"/>
  <c r="X999" i="3"/>
  <c r="I999" i="3"/>
  <c r="AB994" i="3"/>
  <c r="AA995" i="3"/>
  <c r="X935" i="3"/>
  <c r="H935" i="3"/>
  <c r="I935" i="3"/>
  <c r="AB930" i="3"/>
  <c r="AA931" i="3"/>
  <c r="X871" i="3"/>
  <c r="I871" i="3"/>
  <c r="H871" i="3"/>
  <c r="AB859" i="3"/>
  <c r="AC859" i="3" s="1"/>
  <c r="AA860" i="3"/>
  <c r="X800" i="3"/>
  <c r="I800" i="3"/>
  <c r="H800" i="3"/>
  <c r="X900" i="3"/>
  <c r="I900" i="3"/>
  <c r="H900" i="3"/>
  <c r="X986" i="3"/>
  <c r="I986" i="3"/>
  <c r="H986" i="3"/>
  <c r="AB981" i="3"/>
  <c r="AA982" i="3"/>
  <c r="X922" i="3"/>
  <c r="H922" i="3"/>
  <c r="I922" i="3"/>
  <c r="AB917" i="3"/>
  <c r="AA918" i="3"/>
  <c r="AA808" i="3"/>
  <c r="AB807" i="3"/>
  <c r="X748" i="3"/>
  <c r="I748" i="3"/>
  <c r="H748" i="3"/>
  <c r="AB919" i="3"/>
  <c r="AA920" i="3"/>
  <c r="X973" i="3"/>
  <c r="H973" i="3"/>
  <c r="I973" i="3"/>
  <c r="AA969" i="3"/>
  <c r="AB968" i="3"/>
  <c r="X909" i="3"/>
  <c r="I909" i="3"/>
  <c r="H909" i="3"/>
  <c r="AB904" i="3"/>
  <c r="AA905" i="3"/>
  <c r="AA756" i="3"/>
  <c r="AB755" i="3"/>
  <c r="X696" i="3"/>
  <c r="H696" i="3"/>
  <c r="I696" i="3"/>
  <c r="AA892" i="3"/>
  <c r="AB891" i="3"/>
  <c r="X811" i="3"/>
  <c r="I811" i="3"/>
  <c r="H811" i="3"/>
  <c r="AA807" i="3"/>
  <c r="AB806" i="3"/>
  <c r="X747" i="3"/>
  <c r="H747" i="3"/>
  <c r="I747" i="3"/>
  <c r="AB742" i="3"/>
  <c r="AA743" i="3"/>
  <c r="X674" i="3"/>
  <c r="H674" i="3"/>
  <c r="I674" i="3"/>
  <c r="X814" i="3"/>
  <c r="H814" i="3"/>
  <c r="I814" i="3"/>
  <c r="AB809" i="3"/>
  <c r="AA810" i="3"/>
  <c r="X750" i="3"/>
  <c r="I750" i="3"/>
  <c r="H750" i="3"/>
  <c r="AA746" i="3"/>
  <c r="AB745" i="3"/>
  <c r="X537" i="3"/>
  <c r="H537" i="3"/>
  <c r="I537" i="3"/>
  <c r="X825" i="3"/>
  <c r="H825" i="3"/>
  <c r="I825" i="3"/>
  <c r="AA821" i="3"/>
  <c r="AB820" i="3"/>
  <c r="X761" i="3"/>
  <c r="H761" i="3"/>
  <c r="I761" i="3"/>
  <c r="AA757" i="3"/>
  <c r="AB756" i="3"/>
  <c r="X697" i="3"/>
  <c r="H697" i="3"/>
  <c r="I697" i="3"/>
  <c r="AA693" i="3"/>
  <c r="AC693" i="3" s="1"/>
  <c r="AB692" i="3"/>
  <c r="X687" i="3"/>
  <c r="H687" i="3"/>
  <c r="I687" i="3"/>
  <c r="AA610" i="3"/>
  <c r="AB609" i="3"/>
  <c r="X847" i="3"/>
  <c r="I847" i="3"/>
  <c r="H847" i="3"/>
  <c r="AB842" i="3"/>
  <c r="AA843" i="3"/>
  <c r="X783" i="3"/>
  <c r="I783" i="3"/>
  <c r="H783" i="3"/>
  <c r="AB778" i="3"/>
  <c r="AA779" i="3"/>
  <c r="X719" i="3"/>
  <c r="H719" i="3"/>
  <c r="I719" i="3"/>
  <c r="AA715" i="3"/>
  <c r="AB714" i="3"/>
  <c r="AB621" i="3"/>
  <c r="AA622" i="3"/>
  <c r="X850" i="3"/>
  <c r="H850" i="3"/>
  <c r="I850" i="3"/>
  <c r="AA846" i="3"/>
  <c r="AB845" i="3"/>
  <c r="X786" i="3"/>
  <c r="H786" i="3"/>
  <c r="I786" i="3"/>
  <c r="AA782" i="3"/>
  <c r="AB781" i="3"/>
  <c r="X722" i="3"/>
  <c r="I722" i="3"/>
  <c r="H722" i="3"/>
  <c r="AA718" i="3"/>
  <c r="AB717" i="3"/>
  <c r="AA634" i="3"/>
  <c r="AB633" i="3"/>
  <c r="X853" i="3"/>
  <c r="I853" i="3"/>
  <c r="H853" i="3"/>
  <c r="AA849" i="3"/>
  <c r="AB848" i="3"/>
  <c r="X789" i="3"/>
  <c r="H789" i="3"/>
  <c r="I789" i="3"/>
  <c r="AA785" i="3"/>
  <c r="AB784" i="3"/>
  <c r="X725" i="3"/>
  <c r="I725" i="3"/>
  <c r="H725" i="3"/>
  <c r="AA721" i="3"/>
  <c r="AB720" i="3"/>
  <c r="AC720" i="3" s="1"/>
  <c r="AA646" i="3"/>
  <c r="AB645" i="3"/>
  <c r="AB625" i="3"/>
  <c r="AA626" i="3"/>
  <c r="X641" i="3"/>
  <c r="H641" i="3"/>
  <c r="I641" i="3"/>
  <c r="AB636" i="3"/>
  <c r="AA637" i="3"/>
  <c r="X676" i="3"/>
  <c r="H676" i="3"/>
  <c r="I676" i="3"/>
  <c r="AB671" i="3"/>
  <c r="AA672" i="3"/>
  <c r="X612" i="3"/>
  <c r="I612" i="3"/>
  <c r="H612" i="3"/>
  <c r="AB607" i="3"/>
  <c r="AA608" i="3"/>
  <c r="AB556" i="3"/>
  <c r="AA557" i="3"/>
  <c r="X663" i="3"/>
  <c r="I663" i="3"/>
  <c r="H663" i="3"/>
  <c r="AB658" i="3"/>
  <c r="AA659" i="3"/>
  <c r="X629" i="3"/>
  <c r="I629" i="3"/>
  <c r="H629" i="3"/>
  <c r="AA625" i="3"/>
  <c r="AB624" i="3"/>
  <c r="AB604" i="3"/>
  <c r="AA605" i="3"/>
  <c r="X565" i="3"/>
  <c r="H565" i="3"/>
  <c r="I565" i="3"/>
  <c r="AB439" i="3"/>
  <c r="AA440" i="3"/>
  <c r="X640" i="3"/>
  <c r="I640" i="3"/>
  <c r="H640" i="3"/>
  <c r="AA636" i="3"/>
  <c r="AB635" i="3"/>
  <c r="X675" i="3"/>
  <c r="I675" i="3"/>
  <c r="H675" i="3"/>
  <c r="AA671" i="3"/>
  <c r="AB670" i="3"/>
  <c r="X611" i="3"/>
  <c r="I611" i="3"/>
  <c r="H611" i="3"/>
  <c r="AB606" i="3"/>
  <c r="AA607" i="3"/>
  <c r="AB552" i="3"/>
  <c r="AC552" i="3" s="1"/>
  <c r="AA553" i="3"/>
  <c r="X548" i="3"/>
  <c r="I548" i="3"/>
  <c r="H548" i="3"/>
  <c r="AA544" i="3"/>
  <c r="AB543" i="3"/>
  <c r="X528" i="3"/>
  <c r="I528" i="3"/>
  <c r="H528" i="3"/>
  <c r="X583" i="3"/>
  <c r="H583" i="3"/>
  <c r="I583" i="3"/>
  <c r="AA579" i="3"/>
  <c r="AB578" i="3"/>
  <c r="AA481" i="3"/>
  <c r="AB480" i="3"/>
  <c r="H412" i="3"/>
  <c r="X412" i="3"/>
  <c r="I412" i="3"/>
  <c r="X554" i="3"/>
  <c r="I554" i="3"/>
  <c r="H554" i="3"/>
  <c r="AA550" i="3"/>
  <c r="AB549" i="3"/>
  <c r="X560" i="3"/>
  <c r="I560" i="3"/>
  <c r="H560" i="3"/>
  <c r="AA556" i="3"/>
  <c r="AB555" i="3"/>
  <c r="X547" i="3"/>
  <c r="H547" i="3"/>
  <c r="I547" i="3"/>
  <c r="AA543" i="3"/>
  <c r="AB542" i="3"/>
  <c r="X526" i="3"/>
  <c r="H526" i="3"/>
  <c r="I526" i="3"/>
  <c r="X558" i="3"/>
  <c r="H558" i="3"/>
  <c r="I558" i="3"/>
  <c r="AA554" i="3"/>
  <c r="AB553" i="3"/>
  <c r="I464" i="3"/>
  <c r="H464" i="3"/>
  <c r="X464" i="3"/>
  <c r="AB459" i="3"/>
  <c r="AA460" i="3"/>
  <c r="AA388" i="3"/>
  <c r="AB387" i="3"/>
  <c r="H475" i="3"/>
  <c r="I475" i="3"/>
  <c r="X475" i="3"/>
  <c r="AB470" i="3"/>
  <c r="AA471" i="3"/>
  <c r="AB431" i="3"/>
  <c r="AA432" i="3"/>
  <c r="I486" i="3"/>
  <c r="X486" i="3"/>
  <c r="H486" i="3"/>
  <c r="AB481" i="3"/>
  <c r="AA482" i="3"/>
  <c r="H416" i="3"/>
  <c r="X416" i="3"/>
  <c r="I416" i="3"/>
  <c r="H492" i="3"/>
  <c r="I492" i="3"/>
  <c r="X492" i="3"/>
  <c r="AB487" i="3"/>
  <c r="AA488" i="3"/>
  <c r="I440" i="3"/>
  <c r="H440" i="3"/>
  <c r="X440" i="3"/>
  <c r="X503" i="3"/>
  <c r="H503" i="3"/>
  <c r="I503" i="3"/>
  <c r="AA499" i="3"/>
  <c r="AB498" i="3"/>
  <c r="AB187" i="3"/>
  <c r="AA188" i="3"/>
  <c r="X514" i="3"/>
  <c r="H514" i="3"/>
  <c r="I514" i="3"/>
  <c r="AB509" i="3"/>
  <c r="AC509" i="3" s="1"/>
  <c r="AA510" i="3"/>
  <c r="H447" i="3"/>
  <c r="I447" i="3"/>
  <c r="X447" i="3"/>
  <c r="AB442" i="3"/>
  <c r="AA443" i="3"/>
  <c r="X383" i="3"/>
  <c r="H383" i="3"/>
  <c r="I383" i="3"/>
  <c r="AA379" i="3"/>
  <c r="AB378" i="3"/>
  <c r="AA340" i="3"/>
  <c r="AB339" i="3"/>
  <c r="H394" i="3"/>
  <c r="X394" i="3"/>
  <c r="I394" i="3"/>
  <c r="AA390" i="3"/>
  <c r="AB389" i="3"/>
  <c r="H324" i="3"/>
  <c r="I324" i="3"/>
  <c r="X324" i="3"/>
  <c r="X405" i="3"/>
  <c r="I405" i="3"/>
  <c r="H405" i="3"/>
  <c r="AB400" i="3"/>
  <c r="AC400" i="3" s="1"/>
  <c r="AA401" i="3"/>
  <c r="H368" i="3"/>
  <c r="I368" i="3"/>
  <c r="X368" i="3"/>
  <c r="H411" i="3"/>
  <c r="I411" i="3"/>
  <c r="X411" i="3"/>
  <c r="AA407" i="3"/>
  <c r="AB406" i="3"/>
  <c r="X422" i="3"/>
  <c r="H422" i="3"/>
  <c r="I422" i="3"/>
  <c r="AA418" i="3"/>
  <c r="AB417" i="3"/>
  <c r="I409" i="3"/>
  <c r="H409" i="3"/>
  <c r="X409" i="3"/>
  <c r="AA405" i="3"/>
  <c r="AB404" i="3"/>
  <c r="AA264" i="3"/>
  <c r="AB263" i="3"/>
  <c r="I359" i="3"/>
  <c r="H359" i="3"/>
  <c r="X359" i="3"/>
  <c r="AA355" i="3"/>
  <c r="AB354" i="3"/>
  <c r="I370" i="3"/>
  <c r="H370" i="3"/>
  <c r="X370" i="3"/>
  <c r="AA366" i="3"/>
  <c r="AB365" i="3"/>
  <c r="I306" i="3"/>
  <c r="X306" i="3"/>
  <c r="H306" i="3"/>
  <c r="AB301" i="3"/>
  <c r="AA302" i="3"/>
  <c r="H357" i="3"/>
  <c r="I357" i="3"/>
  <c r="X357" i="3"/>
  <c r="AB352" i="3"/>
  <c r="AA353" i="3"/>
  <c r="I363" i="3"/>
  <c r="X363" i="3"/>
  <c r="H363" i="3"/>
  <c r="AB358" i="3"/>
  <c r="AA359" i="3"/>
  <c r="I299" i="3"/>
  <c r="H299" i="3"/>
  <c r="X299" i="3"/>
  <c r="AB171" i="3"/>
  <c r="AA172" i="3"/>
  <c r="AB369" i="3"/>
  <c r="AA370" i="3"/>
  <c r="H310" i="3"/>
  <c r="I310" i="3"/>
  <c r="X310" i="3"/>
  <c r="AB305" i="3"/>
  <c r="AA306" i="3"/>
  <c r="AB223" i="3"/>
  <c r="AA224" i="3"/>
  <c r="I361" i="3"/>
  <c r="X361" i="3"/>
  <c r="H361" i="3"/>
  <c r="AB356" i="3"/>
  <c r="AA357" i="3"/>
  <c r="I209" i="3"/>
  <c r="X209" i="3"/>
  <c r="H209" i="3"/>
  <c r="X271" i="3"/>
  <c r="I271" i="3"/>
  <c r="H271" i="3"/>
  <c r="AB266" i="3"/>
  <c r="AA267" i="3"/>
  <c r="AB164" i="3"/>
  <c r="AA165" i="3"/>
  <c r="AA294" i="3"/>
  <c r="AB293" i="3"/>
  <c r="X234" i="3"/>
  <c r="H234" i="3"/>
  <c r="I234" i="3"/>
  <c r="AB229" i="3"/>
  <c r="AA230" i="3"/>
  <c r="I253" i="3"/>
  <c r="H253" i="3"/>
  <c r="X253" i="3"/>
  <c r="AA249" i="3"/>
  <c r="AB248" i="3"/>
  <c r="AA192" i="3"/>
  <c r="AB191" i="3"/>
  <c r="H259" i="3"/>
  <c r="X259" i="3"/>
  <c r="I259" i="3"/>
  <c r="AA255" i="3"/>
  <c r="AB254" i="3"/>
  <c r="X270" i="3"/>
  <c r="I270" i="3"/>
  <c r="H270" i="3"/>
  <c r="AA266" i="3"/>
  <c r="AB265" i="3"/>
  <c r="H200" i="3"/>
  <c r="X200" i="3"/>
  <c r="I200" i="3"/>
  <c r="H281" i="3"/>
  <c r="I281" i="3"/>
  <c r="X281" i="3"/>
  <c r="AA277" i="3"/>
  <c r="AB276" i="3"/>
  <c r="X217" i="3"/>
  <c r="I217" i="3"/>
  <c r="H217" i="3"/>
  <c r="AB212" i="3"/>
  <c r="AA213" i="3"/>
  <c r="I195" i="3"/>
  <c r="H195" i="3"/>
  <c r="X195" i="3"/>
  <c r="AA191" i="3"/>
  <c r="AB190" i="3"/>
  <c r="AB115" i="3"/>
  <c r="AA116" i="3"/>
  <c r="AB209" i="3"/>
  <c r="AA210" i="3"/>
  <c r="X183" i="3"/>
  <c r="H183" i="3"/>
  <c r="I183" i="3"/>
  <c r="AA179" i="3"/>
  <c r="AB178" i="3"/>
  <c r="H95" i="3"/>
  <c r="I95" i="3"/>
  <c r="X95" i="3"/>
  <c r="H189" i="3"/>
  <c r="I189" i="3"/>
  <c r="X189" i="3"/>
  <c r="AB184" i="3"/>
  <c r="AA185" i="3"/>
  <c r="AB135" i="3"/>
  <c r="AC135" i="3" s="1"/>
  <c r="AA136" i="3"/>
  <c r="X147" i="3"/>
  <c r="H147" i="3"/>
  <c r="I147" i="3"/>
  <c r="AB142" i="3"/>
  <c r="AA143" i="3"/>
  <c r="H150" i="3"/>
  <c r="X150" i="3"/>
  <c r="I150" i="3"/>
  <c r="AB145" i="3"/>
  <c r="AA146" i="3"/>
  <c r="AB94" i="3"/>
  <c r="AA95" i="3"/>
  <c r="H151" i="3"/>
  <c r="I151" i="3"/>
  <c r="X151" i="3"/>
  <c r="AB146" i="3"/>
  <c r="AA147" i="3"/>
  <c r="AB165" i="3"/>
  <c r="AA166" i="3"/>
  <c r="X149" i="3"/>
  <c r="H149" i="3"/>
  <c r="I149" i="3"/>
  <c r="AB144" i="3"/>
  <c r="AA145" i="3"/>
  <c r="X49" i="3"/>
  <c r="H49" i="3"/>
  <c r="AB124" i="3"/>
  <c r="AA125" i="3"/>
  <c r="I81" i="3"/>
  <c r="X81" i="3"/>
  <c r="H81" i="3"/>
  <c r="H26" i="3"/>
  <c r="X26" i="3"/>
  <c r="I26" i="3"/>
  <c r="AA88" i="3"/>
  <c r="AB87" i="3"/>
  <c r="AB27" i="3"/>
  <c r="AA28" i="3"/>
  <c r="X82" i="3"/>
  <c r="H82" i="3"/>
  <c r="I82" i="3"/>
  <c r="AA78" i="3"/>
  <c r="AB77" i="3"/>
  <c r="AB23" i="3"/>
  <c r="AA24" i="3"/>
  <c r="AB29" i="3"/>
  <c r="AA30" i="3"/>
  <c r="X88" i="3"/>
  <c r="H88" i="3"/>
  <c r="I88" i="3"/>
  <c r="AB83" i="3"/>
  <c r="AA84" i="3"/>
  <c r="AA36" i="3"/>
  <c r="AB35" i="3"/>
  <c r="AA87" i="3"/>
  <c r="AB86" i="3"/>
  <c r="X41" i="3"/>
  <c r="H41" i="3"/>
  <c r="I41" i="3"/>
  <c r="AA48" i="3"/>
  <c r="AB47" i="3"/>
  <c r="H27" i="3"/>
  <c r="I27" i="3"/>
  <c r="X27" i="3"/>
  <c r="AB22" i="3"/>
  <c r="AA23" i="3"/>
  <c r="H30" i="3"/>
  <c r="X30" i="3"/>
  <c r="I30" i="3"/>
  <c r="AB25" i="3"/>
  <c r="AA26" i="3"/>
  <c r="I23" i="3"/>
  <c r="X23" i="3"/>
  <c r="H23" i="3"/>
  <c r="AA19" i="3"/>
  <c r="AB18" i="3"/>
  <c r="H21" i="3"/>
  <c r="X21" i="3"/>
  <c r="I21" i="3"/>
  <c r="AB16" i="3"/>
  <c r="AA17" i="3"/>
  <c r="AB987" i="3"/>
  <c r="AA988" i="3"/>
  <c r="AB995" i="3"/>
  <c r="AA996" i="3"/>
  <c r="AB982" i="3"/>
  <c r="AA983" i="3"/>
  <c r="X752" i="3"/>
  <c r="I752" i="3"/>
  <c r="H752" i="3"/>
  <c r="X948" i="3"/>
  <c r="I948" i="3"/>
  <c r="H948" i="3"/>
  <c r="AA1000" i="3"/>
  <c r="AB999" i="3"/>
  <c r="AA994" i="3"/>
  <c r="AB993" i="3"/>
  <c r="X952" i="3"/>
  <c r="I952" i="3"/>
  <c r="H952" i="3"/>
  <c r="X888" i="3"/>
  <c r="H888" i="3"/>
  <c r="I888" i="3"/>
  <c r="AA768" i="3"/>
  <c r="AB767" i="3"/>
  <c r="X971" i="3"/>
  <c r="I971" i="3"/>
  <c r="H971" i="3"/>
  <c r="AB966" i="3"/>
  <c r="AA967" i="3"/>
  <c r="X907" i="3"/>
  <c r="H907" i="3"/>
  <c r="I907" i="3"/>
  <c r="AA903" i="3"/>
  <c r="AB902" i="3"/>
  <c r="AC902" i="3" s="1"/>
  <c r="AA748" i="3"/>
  <c r="AB747" i="3"/>
  <c r="X688" i="3"/>
  <c r="I688" i="3"/>
  <c r="H688" i="3"/>
  <c r="X958" i="3"/>
  <c r="I958" i="3"/>
  <c r="H958" i="3"/>
  <c r="AA954" i="3"/>
  <c r="AB953" i="3"/>
  <c r="X894" i="3"/>
  <c r="I894" i="3"/>
  <c r="H894" i="3"/>
  <c r="AA890" i="3"/>
  <c r="AB889" i="3"/>
  <c r="AB695" i="3"/>
  <c r="AA696" i="3"/>
  <c r="X961" i="3"/>
  <c r="I961" i="3"/>
  <c r="H961" i="3"/>
  <c r="AB956" i="3"/>
  <c r="AA957" i="3"/>
  <c r="X897" i="3"/>
  <c r="I897" i="3"/>
  <c r="H897" i="3"/>
  <c r="AB892" i="3"/>
  <c r="AA893" i="3"/>
  <c r="AB707" i="3"/>
  <c r="AA708" i="3"/>
  <c r="AB815" i="3"/>
  <c r="AA816" i="3"/>
  <c r="X959" i="3"/>
  <c r="I959" i="3"/>
  <c r="H959" i="3"/>
  <c r="AB954" i="3"/>
  <c r="AA955" i="3"/>
  <c r="X895" i="3"/>
  <c r="I895" i="3"/>
  <c r="H895" i="3"/>
  <c r="AB890" i="3"/>
  <c r="AA891" i="3"/>
  <c r="AB699" i="3"/>
  <c r="AA700" i="3"/>
  <c r="AB887" i="3"/>
  <c r="AA888" i="3"/>
  <c r="X876" i="3"/>
  <c r="H876" i="3"/>
  <c r="I876" i="3"/>
  <c r="X946" i="3"/>
  <c r="H946" i="3"/>
  <c r="I946" i="3"/>
  <c r="AB941" i="3"/>
  <c r="AA942" i="3"/>
  <c r="X882" i="3"/>
  <c r="H882" i="3"/>
  <c r="I882" i="3"/>
  <c r="AB877" i="3"/>
  <c r="AA878" i="3"/>
  <c r="X844" i="3"/>
  <c r="I844" i="3"/>
  <c r="H844" i="3"/>
  <c r="X997" i="3"/>
  <c r="I997" i="3"/>
  <c r="H997" i="3"/>
  <c r="AA993" i="3"/>
  <c r="AB992" i="3"/>
  <c r="X933" i="3"/>
  <c r="I933" i="3"/>
  <c r="H933" i="3"/>
  <c r="AA929" i="3"/>
  <c r="AB928" i="3"/>
  <c r="X869" i="3"/>
  <c r="I869" i="3"/>
  <c r="H869" i="3"/>
  <c r="AB851" i="3"/>
  <c r="AA852" i="3"/>
  <c r="X792" i="3"/>
  <c r="I792" i="3"/>
  <c r="H792" i="3"/>
  <c r="AB703" i="3"/>
  <c r="AA704" i="3"/>
  <c r="X835" i="3"/>
  <c r="H835" i="3"/>
  <c r="I835" i="3"/>
  <c r="AB830" i="3"/>
  <c r="AA831" i="3"/>
  <c r="X771" i="3"/>
  <c r="H771" i="3"/>
  <c r="I771" i="3"/>
  <c r="AB766" i="3"/>
  <c r="AA767" i="3"/>
  <c r="X707" i="3"/>
  <c r="I707" i="3"/>
  <c r="H707" i="3"/>
  <c r="AA703" i="3"/>
  <c r="AB702" i="3"/>
  <c r="X838" i="3"/>
  <c r="H838" i="3"/>
  <c r="I838" i="3"/>
  <c r="AA834" i="3"/>
  <c r="AB833" i="3"/>
  <c r="X774" i="3"/>
  <c r="H774" i="3"/>
  <c r="I774" i="3"/>
  <c r="AA770" i="3"/>
  <c r="AB769" i="3"/>
  <c r="X710" i="3"/>
  <c r="I710" i="3"/>
  <c r="H710" i="3"/>
  <c r="AB705" i="3"/>
  <c r="AA706" i="3"/>
  <c r="X849" i="3"/>
  <c r="H849" i="3"/>
  <c r="I849" i="3"/>
  <c r="AB844" i="3"/>
  <c r="AA845" i="3"/>
  <c r="X785" i="3"/>
  <c r="I785" i="3"/>
  <c r="H785" i="3"/>
  <c r="AB780" i="3"/>
  <c r="AA781" i="3"/>
  <c r="X721" i="3"/>
  <c r="I721" i="3"/>
  <c r="H721" i="3"/>
  <c r="AB716" i="3"/>
  <c r="AA717" i="3"/>
  <c r="AA630" i="3"/>
  <c r="AB629" i="3"/>
  <c r="X646" i="3"/>
  <c r="I646" i="3"/>
  <c r="H646" i="3"/>
  <c r="AB866" i="3"/>
  <c r="AA867" i="3"/>
  <c r="X807" i="3"/>
  <c r="H807" i="3"/>
  <c r="I807" i="3"/>
  <c r="AB802" i="3"/>
  <c r="AA803" i="3"/>
  <c r="X743" i="3"/>
  <c r="H743" i="3"/>
  <c r="I743" i="3"/>
  <c r="AB738" i="3"/>
  <c r="AA739" i="3"/>
  <c r="X658" i="3"/>
  <c r="I658" i="3"/>
  <c r="H658" i="3"/>
  <c r="X810" i="3"/>
  <c r="H810" i="3"/>
  <c r="I810" i="3"/>
  <c r="AA806" i="3"/>
  <c r="AB805" i="3"/>
  <c r="X746" i="3"/>
  <c r="I746" i="3"/>
  <c r="H746" i="3"/>
  <c r="AB741" i="3"/>
  <c r="AA742" i="3"/>
  <c r="X670" i="3"/>
  <c r="I670" i="3"/>
  <c r="H670" i="3"/>
  <c r="X813" i="3"/>
  <c r="I813" i="3"/>
  <c r="H813" i="3"/>
  <c r="AB808" i="3"/>
  <c r="AA809" i="3"/>
  <c r="X749" i="3"/>
  <c r="I749" i="3"/>
  <c r="H749" i="3"/>
  <c r="AA745" i="3"/>
  <c r="AB744" i="3"/>
  <c r="X682" i="3"/>
  <c r="H682" i="3"/>
  <c r="I682" i="3"/>
  <c r="X665" i="3"/>
  <c r="H665" i="3"/>
  <c r="I665" i="3"/>
  <c r="AB660" i="3"/>
  <c r="AA661" i="3"/>
  <c r="AB472" i="3"/>
  <c r="AA473" i="3"/>
  <c r="X636" i="3"/>
  <c r="I636" i="3"/>
  <c r="H636" i="3"/>
  <c r="AA632" i="3"/>
  <c r="AB631" i="3"/>
  <c r="X593" i="3"/>
  <c r="I593" i="3"/>
  <c r="H593" i="3"/>
  <c r="AA683" i="3"/>
  <c r="AB682" i="3"/>
  <c r="X623" i="3"/>
  <c r="H623" i="3"/>
  <c r="I623" i="3"/>
  <c r="AB618" i="3"/>
  <c r="AA619" i="3"/>
  <c r="AB600" i="3"/>
  <c r="AA601" i="3"/>
  <c r="X541" i="3"/>
  <c r="I541" i="3"/>
  <c r="H541" i="3"/>
  <c r="X509" i="3"/>
  <c r="H509" i="3"/>
  <c r="I509" i="3"/>
  <c r="X653" i="3"/>
  <c r="H653" i="3"/>
  <c r="I653" i="3"/>
  <c r="AB648" i="3"/>
  <c r="AA649" i="3"/>
  <c r="X664" i="3"/>
  <c r="H664" i="3"/>
  <c r="I664" i="3"/>
  <c r="AB659" i="3"/>
  <c r="AA660" i="3"/>
  <c r="AB456" i="3"/>
  <c r="AA457" i="3"/>
  <c r="X635" i="3"/>
  <c r="I635" i="3"/>
  <c r="H635" i="3"/>
  <c r="AB630" i="3"/>
  <c r="AA631" i="3"/>
  <c r="X589" i="3"/>
  <c r="I589" i="3"/>
  <c r="H589" i="3"/>
  <c r="X572" i="3"/>
  <c r="I572" i="3"/>
  <c r="H572" i="3"/>
  <c r="AB567" i="3"/>
  <c r="AA568" i="3"/>
  <c r="AB602" i="3"/>
  <c r="AA603" i="3"/>
  <c r="X543" i="3"/>
  <c r="H543" i="3"/>
  <c r="I543" i="3"/>
  <c r="AB538" i="3"/>
  <c r="AA539" i="3"/>
  <c r="X517" i="3"/>
  <c r="H517" i="3"/>
  <c r="I517" i="3"/>
  <c r="X578" i="3"/>
  <c r="H578" i="3"/>
  <c r="I578" i="3"/>
  <c r="AB573" i="3"/>
  <c r="AA574" i="3"/>
  <c r="AA461" i="3"/>
  <c r="AB460" i="3"/>
  <c r="X584" i="3"/>
  <c r="H584" i="3"/>
  <c r="I584" i="3"/>
  <c r="AB579" i="3"/>
  <c r="AA580" i="3"/>
  <c r="AA485" i="3"/>
  <c r="AB484" i="3"/>
  <c r="H428" i="3"/>
  <c r="I428" i="3"/>
  <c r="X428" i="3"/>
  <c r="H252" i="3"/>
  <c r="I252" i="3"/>
  <c r="X252" i="3"/>
  <c r="X571" i="3"/>
  <c r="I571" i="3"/>
  <c r="H571" i="3"/>
  <c r="AA567" i="3"/>
  <c r="AB566" i="3"/>
  <c r="X582" i="3"/>
  <c r="I582" i="3"/>
  <c r="H582" i="3"/>
  <c r="AA578" i="3"/>
  <c r="AB577" i="3"/>
  <c r="AA477" i="3"/>
  <c r="AB476" i="3"/>
  <c r="I396" i="3"/>
  <c r="H396" i="3"/>
  <c r="X396" i="3"/>
  <c r="X488" i="3"/>
  <c r="I488" i="3"/>
  <c r="H488" i="3"/>
  <c r="AB483" i="3"/>
  <c r="AA484" i="3"/>
  <c r="I424" i="3"/>
  <c r="H424" i="3"/>
  <c r="X424" i="3"/>
  <c r="H499" i="3"/>
  <c r="I499" i="3"/>
  <c r="X499" i="3"/>
  <c r="AB494" i="3"/>
  <c r="AA495" i="3"/>
  <c r="X364" i="3"/>
  <c r="I364" i="3"/>
  <c r="H364" i="3"/>
  <c r="I510" i="3"/>
  <c r="X510" i="3"/>
  <c r="H510" i="3"/>
  <c r="AB505" i="3"/>
  <c r="AA506" i="3"/>
  <c r="X516" i="3"/>
  <c r="I516" i="3"/>
  <c r="H516" i="3"/>
  <c r="AB511" i="3"/>
  <c r="AA512" i="3"/>
  <c r="X452" i="3"/>
  <c r="H452" i="3"/>
  <c r="I452" i="3"/>
  <c r="X527" i="3"/>
  <c r="I527" i="3"/>
  <c r="H527" i="3"/>
  <c r="AA523" i="3"/>
  <c r="AB522" i="3"/>
  <c r="I463" i="3"/>
  <c r="H463" i="3"/>
  <c r="X463" i="3"/>
  <c r="AB458" i="3"/>
  <c r="AA459" i="3"/>
  <c r="AA384" i="3"/>
  <c r="AB383" i="3"/>
  <c r="H474" i="3"/>
  <c r="I474" i="3"/>
  <c r="X474" i="3"/>
  <c r="AB469" i="3"/>
  <c r="AA470" i="3"/>
  <c r="AB427" i="3"/>
  <c r="AA428" i="3"/>
  <c r="I407" i="3"/>
  <c r="H407" i="3"/>
  <c r="X407" i="3"/>
  <c r="AA403" i="3"/>
  <c r="AB402" i="3"/>
  <c r="AB231" i="3"/>
  <c r="AA232" i="3"/>
  <c r="I418" i="3"/>
  <c r="H418" i="3"/>
  <c r="X418" i="3"/>
  <c r="AB413" i="3"/>
  <c r="AA414" i="3"/>
  <c r="I429" i="3"/>
  <c r="X429" i="3"/>
  <c r="H429" i="3"/>
  <c r="AA425" i="3"/>
  <c r="AB424" i="3"/>
  <c r="I268" i="3"/>
  <c r="X268" i="3"/>
  <c r="H268" i="3"/>
  <c r="H435" i="3"/>
  <c r="X435" i="3"/>
  <c r="I435" i="3"/>
  <c r="AB430" i="3"/>
  <c r="AA431" i="3"/>
  <c r="I201" i="3"/>
  <c r="H201" i="3"/>
  <c r="X201" i="3"/>
  <c r="X446" i="3"/>
  <c r="I446" i="3"/>
  <c r="H446" i="3"/>
  <c r="AB441" i="3"/>
  <c r="AA442" i="3"/>
  <c r="I382" i="3"/>
  <c r="H382" i="3"/>
  <c r="X382" i="3"/>
  <c r="AB377" i="3"/>
  <c r="AA378" i="3"/>
  <c r="AA336" i="3"/>
  <c r="AB335" i="3"/>
  <c r="X433" i="3"/>
  <c r="H433" i="3"/>
  <c r="I433" i="3"/>
  <c r="AA429" i="3"/>
  <c r="AB428" i="3"/>
  <c r="H319" i="3"/>
  <c r="X319" i="3"/>
  <c r="I319" i="3"/>
  <c r="AB314" i="3"/>
  <c r="AA315" i="3"/>
  <c r="AB259" i="3"/>
  <c r="AA260" i="3"/>
  <c r="H176" i="3"/>
  <c r="I176" i="3"/>
  <c r="X176" i="3"/>
  <c r="I330" i="3"/>
  <c r="H330" i="3"/>
  <c r="X330" i="3"/>
  <c r="AB325" i="3"/>
  <c r="AA326" i="3"/>
  <c r="I244" i="3"/>
  <c r="H244" i="3"/>
  <c r="X244" i="3"/>
  <c r="I317" i="3"/>
  <c r="H317" i="3"/>
  <c r="X317" i="3"/>
  <c r="AB312" i="3"/>
  <c r="AA313" i="3"/>
  <c r="AB251" i="3"/>
  <c r="AA252" i="3"/>
  <c r="H323" i="3"/>
  <c r="I323" i="3"/>
  <c r="X323" i="3"/>
  <c r="AB318" i="3"/>
  <c r="AA319" i="3"/>
  <c r="AB275" i="3"/>
  <c r="AA276" i="3"/>
  <c r="H216" i="3"/>
  <c r="X216" i="3"/>
  <c r="I216" i="3"/>
  <c r="H334" i="3"/>
  <c r="I334" i="3"/>
  <c r="X334" i="3"/>
  <c r="AB329" i="3"/>
  <c r="AA330" i="3"/>
  <c r="H260" i="3"/>
  <c r="X260" i="3"/>
  <c r="I260" i="3"/>
  <c r="X321" i="3"/>
  <c r="I321" i="3"/>
  <c r="H321" i="3"/>
  <c r="AA317" i="3"/>
  <c r="AB316" i="3"/>
  <c r="AA268" i="3"/>
  <c r="AB267" i="3"/>
  <c r="AA205" i="3"/>
  <c r="AB204" i="3"/>
  <c r="H231" i="3"/>
  <c r="I231" i="3"/>
  <c r="X231" i="3"/>
  <c r="AB226" i="3"/>
  <c r="AA227" i="3"/>
  <c r="X160" i="3"/>
  <c r="I160" i="3"/>
  <c r="H160" i="3"/>
  <c r="H258" i="3"/>
  <c r="I258" i="3"/>
  <c r="X258" i="3"/>
  <c r="AA254" i="3"/>
  <c r="AB253" i="3"/>
  <c r="X277" i="3"/>
  <c r="I277" i="3"/>
  <c r="H277" i="3"/>
  <c r="AA273" i="3"/>
  <c r="AB272" i="3"/>
  <c r="H213" i="3"/>
  <c r="I213" i="3"/>
  <c r="X213" i="3"/>
  <c r="H283" i="3"/>
  <c r="I283" i="3"/>
  <c r="X283" i="3"/>
  <c r="AA279" i="3"/>
  <c r="AB278" i="3"/>
  <c r="H219" i="3"/>
  <c r="I219" i="3"/>
  <c r="X219" i="3"/>
  <c r="AA215" i="3"/>
  <c r="AB214" i="3"/>
  <c r="AA132" i="3"/>
  <c r="AB131" i="3"/>
  <c r="H294" i="3"/>
  <c r="X294" i="3"/>
  <c r="I294" i="3"/>
  <c r="AB289" i="3"/>
  <c r="AA290" i="3"/>
  <c r="X230" i="3"/>
  <c r="H230" i="3"/>
  <c r="I230" i="3"/>
  <c r="AB225" i="3"/>
  <c r="AA226" i="3"/>
  <c r="I241" i="3"/>
  <c r="X241" i="3"/>
  <c r="H241" i="3"/>
  <c r="AA237" i="3"/>
  <c r="AB236" i="3"/>
  <c r="X211" i="3"/>
  <c r="I211" i="3"/>
  <c r="H211" i="3"/>
  <c r="AA162" i="3"/>
  <c r="AB161" i="3"/>
  <c r="H174" i="3"/>
  <c r="X174" i="3"/>
  <c r="I174" i="3"/>
  <c r="AA170" i="3"/>
  <c r="AB169" i="3"/>
  <c r="H177" i="3"/>
  <c r="I177" i="3"/>
  <c r="X177" i="3"/>
  <c r="AA173" i="3"/>
  <c r="AB172" i="3"/>
  <c r="H207" i="3"/>
  <c r="I207" i="3"/>
  <c r="X207" i="3"/>
  <c r="AA203" i="3"/>
  <c r="AB202" i="3"/>
  <c r="H161" i="3"/>
  <c r="I161" i="3"/>
  <c r="X161" i="3"/>
  <c r="H148" i="3"/>
  <c r="X148" i="3"/>
  <c r="I148" i="3"/>
  <c r="I178" i="3"/>
  <c r="X178" i="3"/>
  <c r="H178" i="3"/>
  <c r="AB173" i="3"/>
  <c r="AA174" i="3"/>
  <c r="AA83" i="3"/>
  <c r="AB82" i="3"/>
  <c r="AA209" i="3"/>
  <c r="AB208" i="3"/>
  <c r="H73" i="3"/>
  <c r="I73" i="3"/>
  <c r="X73" i="3"/>
  <c r="X137" i="3"/>
  <c r="H137" i="3"/>
  <c r="I137" i="3"/>
  <c r="AB132" i="3"/>
  <c r="AA133" i="3"/>
  <c r="X130" i="3"/>
  <c r="H130" i="3"/>
  <c r="I130" i="3"/>
  <c r="H125" i="3"/>
  <c r="I125" i="3"/>
  <c r="X125" i="3"/>
  <c r="X103" i="3"/>
  <c r="H103" i="3"/>
  <c r="I103" i="3"/>
  <c r="H123" i="3"/>
  <c r="I123" i="3"/>
  <c r="X123" i="3"/>
  <c r="AA45" i="3"/>
  <c r="AB44" i="3"/>
  <c r="X101" i="3"/>
  <c r="I101" i="3"/>
  <c r="H101" i="3"/>
  <c r="AB96" i="3"/>
  <c r="AA97" i="3"/>
  <c r="AB84" i="3"/>
  <c r="AA85" i="3"/>
  <c r="AB107" i="3"/>
  <c r="AA108" i="3"/>
  <c r="H110" i="3"/>
  <c r="X110" i="3"/>
  <c r="I110" i="3"/>
  <c r="AA106" i="3"/>
  <c r="AB105" i="3"/>
  <c r="I89" i="3"/>
  <c r="H89" i="3"/>
  <c r="X89" i="3"/>
  <c r="AB21" i="3"/>
  <c r="AA22" i="3"/>
  <c r="I92" i="3"/>
  <c r="X92" i="3"/>
  <c r="H92" i="3"/>
  <c r="H16" i="3"/>
  <c r="I16" i="3"/>
  <c r="X16" i="3"/>
  <c r="I12" i="3"/>
  <c r="H12" i="3"/>
  <c r="X12" i="3"/>
  <c r="X18" i="3"/>
  <c r="H18" i="3"/>
  <c r="I18" i="3"/>
  <c r="I24" i="3"/>
  <c r="H24" i="3"/>
  <c r="X24" i="3"/>
  <c r="AA21" i="3"/>
  <c r="AB20" i="3"/>
  <c r="X36" i="3"/>
  <c r="I36" i="3"/>
  <c r="H36" i="3"/>
  <c r="I51" i="3"/>
  <c r="X51" i="3"/>
  <c r="H51" i="3"/>
  <c r="AA47" i="3"/>
  <c r="AB46" i="3"/>
  <c r="H54" i="3"/>
  <c r="X54" i="3"/>
  <c r="I54" i="3"/>
  <c r="AA50" i="3"/>
  <c r="AB49" i="3"/>
  <c r="I47" i="3"/>
  <c r="X47" i="3"/>
  <c r="H47" i="3"/>
  <c r="AB42" i="3"/>
  <c r="AA43" i="3"/>
  <c r="X45" i="3"/>
  <c r="H45" i="3"/>
  <c r="I45" i="3"/>
  <c r="AB40" i="3"/>
  <c r="AA41" i="3"/>
  <c r="AK10" i="3" a="1"/>
  <c r="AJ11" i="3" a="1"/>
  <c r="AL10" i="3" a="1"/>
  <c r="AJ10" i="3" a="1"/>
  <c r="AO10" i="3" a="1"/>
  <c r="AM9" i="3" a="1"/>
  <c r="AL11" i="3" a="1"/>
  <c r="AN9" i="3" a="1"/>
  <c r="AN10" i="3" a="1"/>
  <c r="AK11" i="3" a="1"/>
  <c r="AM10" i="3" a="1"/>
  <c r="AN11" i="3" a="1"/>
  <c r="AO11" i="3" a="1"/>
  <c r="AJ9" i="3" a="1"/>
  <c r="AO9" i="3" a="1"/>
  <c r="AM11" i="3" a="1"/>
  <c r="AL9" i="3" a="1"/>
  <c r="AK9" i="3" a="1"/>
  <c r="AO11" i="3" l="1"/>
  <c r="AL9" i="3"/>
  <c r="AK9" i="3"/>
  <c r="AJ9" i="3"/>
  <c r="AJ11" i="3"/>
  <c r="AK11" i="3"/>
  <c r="AN11" i="3"/>
  <c r="AM11" i="3"/>
  <c r="AL11" i="3"/>
  <c r="AL10" i="3"/>
  <c r="AO10" i="3"/>
  <c r="AO9" i="3"/>
  <c r="AK10" i="3"/>
  <c r="AJ10" i="3"/>
  <c r="AM9" i="3"/>
  <c r="AN10" i="3"/>
  <c r="AN9" i="3"/>
  <c r="AM10" i="3"/>
  <c r="AC12" i="3"/>
  <c r="AC325" i="3"/>
  <c r="AC699" i="3"/>
  <c r="AC156" i="3"/>
  <c r="AC915" i="3"/>
  <c r="AC169" i="3"/>
  <c r="AC278" i="3"/>
  <c r="AC202" i="3"/>
  <c r="AC469" i="3"/>
  <c r="AC398" i="3"/>
  <c r="AC941" i="3"/>
  <c r="AC561" i="3"/>
  <c r="AC683" i="3"/>
  <c r="AC466" i="3"/>
  <c r="AC231" i="3"/>
  <c r="AC194" i="3"/>
  <c r="AC385" i="3"/>
  <c r="AC727" i="3"/>
  <c r="AC341" i="3"/>
  <c r="AC883" i="3"/>
  <c r="AC350" i="3"/>
  <c r="AC374" i="3"/>
  <c r="AC948" i="3"/>
  <c r="AC742" i="3"/>
  <c r="AC74" i="3"/>
  <c r="AC805" i="3"/>
  <c r="AC884" i="3"/>
  <c r="AC537" i="3"/>
  <c r="AC792" i="3"/>
  <c r="AC684" i="3"/>
  <c r="AC69" i="3"/>
  <c r="AC65" i="3"/>
  <c r="AC427" i="3"/>
  <c r="O7" i="3"/>
  <c r="R8" i="3"/>
  <c r="X8" i="3" s="1"/>
  <c r="M7" i="3"/>
  <c r="N7" i="3"/>
  <c r="F19" i="1" s="1"/>
  <c r="AC82" i="3"/>
  <c r="AC131" i="3"/>
  <c r="AC522" i="3"/>
  <c r="AC892" i="3"/>
  <c r="AC441" i="3"/>
  <c r="AC877" i="3"/>
  <c r="AC670" i="3"/>
  <c r="AC917" i="3"/>
  <c r="AC702" i="3"/>
  <c r="AC705" i="3"/>
  <c r="AC769" i="3"/>
  <c r="AC508" i="3"/>
  <c r="AC538" i="3"/>
  <c r="AC744" i="3"/>
  <c r="AC608" i="3"/>
  <c r="AC981" i="3"/>
  <c r="AC596" i="3"/>
  <c r="AC858" i="3"/>
  <c r="AC160" i="3"/>
  <c r="AC233" i="3"/>
  <c r="AC730" i="3"/>
  <c r="AC472" i="3"/>
  <c r="AC115" i="3"/>
  <c r="AC604" i="3"/>
  <c r="AC818" i="3"/>
  <c r="AC150" i="3"/>
  <c r="AC239" i="3"/>
  <c r="AC927" i="3"/>
  <c r="AC112" i="3"/>
  <c r="AC964" i="3"/>
  <c r="AC855" i="3"/>
  <c r="AC778" i="3"/>
  <c r="AC214" i="3"/>
  <c r="AC780" i="3"/>
  <c r="AC339" i="3"/>
  <c r="AC549" i="3"/>
  <c r="AC547" i="3"/>
  <c r="AC171" i="3"/>
  <c r="AC529" i="3"/>
  <c r="AC490" i="3"/>
  <c r="AC936" i="3"/>
  <c r="AC822" i="3"/>
  <c r="AC109" i="3"/>
  <c r="AC436" i="3"/>
  <c r="AC73" i="3"/>
  <c r="AC534" i="3"/>
  <c r="AC263" i="3"/>
  <c r="AC77" i="3"/>
  <c r="AC46" i="3"/>
  <c r="AC275" i="3"/>
  <c r="AC272" i="3"/>
  <c r="AC577" i="3"/>
  <c r="AC851" i="3"/>
  <c r="AC25" i="3"/>
  <c r="AC35" i="3"/>
  <c r="AC212" i="3"/>
  <c r="AC139" i="3"/>
  <c r="AC496" i="3"/>
  <c r="AC848" i="3"/>
  <c r="AC989" i="3"/>
  <c r="AC979" i="3"/>
  <c r="AC592" i="3"/>
  <c r="AC794" i="3"/>
  <c r="AC251" i="3"/>
  <c r="AC456" i="3"/>
  <c r="AC682" i="3"/>
  <c r="AC86" i="3"/>
  <c r="AC842" i="3"/>
  <c r="AC692" i="3"/>
  <c r="AC198" i="3"/>
  <c r="AC572" i="3"/>
  <c r="R18" i="1" a="1"/>
  <c r="AC573" i="3"/>
  <c r="AC618" i="3"/>
  <c r="AC100" i="3"/>
  <c r="AC759" i="3"/>
  <c r="AC32" i="3"/>
  <c r="AC433" i="3"/>
  <c r="AC911" i="3"/>
  <c r="AC585" i="3"/>
  <c r="AC629" i="3"/>
  <c r="AC265" i="3"/>
  <c r="AC303" i="3"/>
  <c r="AD18" i="1" a="1"/>
  <c r="AC555" i="3"/>
  <c r="AC784" i="3"/>
  <c r="AC810" i="3"/>
  <c r="AC376" i="3"/>
  <c r="AC182" i="3"/>
  <c r="AC808" i="3"/>
  <c r="AC144" i="3"/>
  <c r="AC365" i="3"/>
  <c r="AC627" i="3"/>
  <c r="AC236" i="3"/>
  <c r="AC424" i="3"/>
  <c r="AC387" i="3"/>
  <c r="AC148" i="3"/>
  <c r="AC446" i="3"/>
  <c r="AC531" i="3"/>
  <c r="AC611" i="3"/>
  <c r="AC924" i="3"/>
  <c r="AC200" i="3"/>
  <c r="AC667" i="3"/>
  <c r="AC107" i="3"/>
  <c r="AC334" i="3"/>
  <c r="AC579" i="3"/>
  <c r="AC480" i="3"/>
  <c r="AC714" i="3"/>
  <c r="AC444" i="3"/>
  <c r="AC417" i="3"/>
  <c r="AC739" i="3"/>
  <c r="AC928" i="3"/>
  <c r="AC404" i="3"/>
  <c r="AC527" i="3"/>
  <c r="AC824" i="3"/>
  <c r="AC151" i="3"/>
  <c r="AC20" i="3"/>
  <c r="AC566" i="3"/>
  <c r="AC831" i="3"/>
  <c r="AC471" i="3"/>
  <c r="AC310" i="3"/>
  <c r="AC257" i="3"/>
  <c r="AC40" i="3"/>
  <c r="AC208" i="3"/>
  <c r="AC352" i="3"/>
  <c r="AC645" i="3"/>
  <c r="AC380" i="3"/>
  <c r="AC811" i="3"/>
  <c r="AC835" i="3"/>
  <c r="AC119" i="3"/>
  <c r="AC409" i="3"/>
  <c r="AC479" i="3"/>
  <c r="AC468" i="3"/>
  <c r="AC53" i="3"/>
  <c r="AC925" i="3"/>
  <c r="AC368" i="3"/>
  <c r="AC662" i="3"/>
  <c r="AC383" i="3"/>
  <c r="AC18" i="3"/>
  <c r="AC582" i="3"/>
  <c r="AC281" i="3"/>
  <c r="AC541" i="3"/>
  <c r="AC962" i="3"/>
  <c r="AC158" i="3"/>
  <c r="AC94" i="3"/>
  <c r="AC439" i="3"/>
  <c r="AC849" i="3"/>
  <c r="AC968" i="3"/>
  <c r="AC103" i="3"/>
  <c r="A29" i="1" a="1"/>
  <c r="A36" i="1" s="1"/>
  <c r="AC316" i="3"/>
  <c r="AC377" i="3"/>
  <c r="AC305" i="3"/>
  <c r="AC406" i="3"/>
  <c r="AC984" i="3"/>
  <c r="AC587" i="3"/>
  <c r="AC887" i="3"/>
  <c r="AC211" i="3"/>
  <c r="AC664" i="3"/>
  <c r="AC779" i="3"/>
  <c r="AC52" i="3"/>
  <c r="AC451" i="3"/>
  <c r="M9" i="3"/>
  <c r="D56" i="1" s="1"/>
  <c r="AC895" i="3"/>
  <c r="AC449" i="3"/>
  <c r="AC540" i="3"/>
  <c r="L9" i="3"/>
  <c r="AC172" i="3"/>
  <c r="AC124" i="3"/>
  <c r="AC951" i="3"/>
  <c r="AC673" i="3"/>
  <c r="AC343" i="3"/>
  <c r="AC827" i="3"/>
  <c r="AC336" i="3"/>
  <c r="AC312" i="3"/>
  <c r="AC741" i="3"/>
  <c r="AC228" i="3"/>
  <c r="AC982" i="3"/>
  <c r="AC985" i="3"/>
  <c r="AC110" i="3"/>
  <c r="AC695" i="3"/>
  <c r="AC369" i="3"/>
  <c r="AC79" i="3"/>
  <c r="AC880" i="3"/>
  <c r="AC970" i="3"/>
  <c r="AC304" i="3"/>
  <c r="AC29" i="3"/>
  <c r="AC173" i="3"/>
  <c r="AC413" i="3"/>
  <c r="AC633" i="3"/>
  <c r="AC992" i="3"/>
  <c r="AC953" i="3"/>
  <c r="AC966" i="3"/>
  <c r="AC36" i="3"/>
  <c r="AC178" i="3"/>
  <c r="AC542" i="3"/>
  <c r="AC241" i="3"/>
  <c r="AC360" i="3"/>
  <c r="AC474" i="3"/>
  <c r="AC732" i="3"/>
  <c r="AC944" i="3"/>
  <c r="AC157" i="3"/>
  <c r="AC37" i="3"/>
  <c r="AC240" i="3"/>
  <c r="AC524" i="3"/>
  <c r="AC175" i="3"/>
  <c r="AC455" i="3"/>
  <c r="AC668" i="3"/>
  <c r="AC900" i="3"/>
  <c r="AC49" i="3"/>
  <c r="AC802" i="3"/>
  <c r="AC609" i="3"/>
  <c r="AC422" i="3"/>
  <c r="AC525" i="3"/>
  <c r="AC651" i="3"/>
  <c r="AC81" i="3"/>
  <c r="AC285" i="3"/>
  <c r="AC91" i="3"/>
  <c r="AC787" i="3"/>
  <c r="AC130" i="3"/>
  <c r="AC196" i="3"/>
  <c r="AC161" i="3"/>
  <c r="AC815" i="3"/>
  <c r="AC354" i="3"/>
  <c r="AC337" i="3"/>
  <c r="AC412" i="3"/>
  <c r="AC914" i="3"/>
  <c r="AC389" i="3"/>
  <c r="AC564" i="3"/>
  <c r="AC656" i="3"/>
  <c r="AC690" i="3"/>
  <c r="AC558" i="3"/>
  <c r="AC513" i="3"/>
  <c r="AC225" i="3"/>
  <c r="AC600" i="3"/>
  <c r="AC420" i="3"/>
  <c r="AC320" i="3"/>
  <c r="AC364" i="3"/>
  <c r="AC391" i="3"/>
  <c r="AC204" i="3"/>
  <c r="AC184" i="3"/>
  <c r="AC190" i="3"/>
  <c r="AC358" i="3"/>
  <c r="AC624" i="3"/>
  <c r="AC621" i="3"/>
  <c r="AC919" i="3"/>
  <c r="AC141" i="3"/>
  <c r="AC593" i="3"/>
  <c r="AC589" i="3"/>
  <c r="AC908" i="3"/>
  <c r="AC117" i="3"/>
  <c r="AC308" i="3"/>
  <c r="AC71" i="3"/>
  <c r="AC299" i="3"/>
  <c r="AC127" i="3"/>
  <c r="AC598" i="3"/>
  <c r="AC438" i="3"/>
  <c r="AC1004" i="3"/>
  <c r="AC287" i="3"/>
  <c r="AC576" i="3"/>
  <c r="AC754" i="3"/>
  <c r="AC847" i="3"/>
  <c r="AC763" i="3"/>
  <c r="AC946" i="3"/>
  <c r="AC221" i="3"/>
  <c r="AC344" i="3"/>
  <c r="AC516" i="3"/>
  <c r="AC297" i="3"/>
  <c r="AC301" i="3"/>
  <c r="AC755" i="3"/>
  <c r="AC402" i="3"/>
  <c r="AC833" i="3"/>
  <c r="AC830" i="3"/>
  <c r="AC708" i="3"/>
  <c r="AC956" i="3"/>
  <c r="AC16" i="3"/>
  <c r="AC229" i="3"/>
  <c r="AC544" i="3"/>
  <c r="AC930" i="3"/>
  <c r="AC711" i="3"/>
  <c r="AC906" i="3"/>
  <c r="AC102" i="3"/>
  <c r="AC261" i="3"/>
  <c r="AC93" i="3"/>
  <c r="AC96" i="3"/>
  <c r="AC289" i="3"/>
  <c r="AC187" i="3"/>
  <c r="AC494" i="3"/>
  <c r="AC483" i="3"/>
  <c r="AC999" i="3"/>
  <c r="AC146" i="3"/>
  <c r="AC448" i="3"/>
  <c r="AC595" i="3"/>
  <c r="AC60" i="3"/>
  <c r="AC731" i="3"/>
  <c r="AC324" i="3"/>
  <c r="AC519" i="3"/>
  <c r="AC256" i="3"/>
  <c r="AC259" i="3"/>
  <c r="AC248" i="3"/>
  <c r="AC904" i="3"/>
  <c r="AC932" i="3"/>
  <c r="AC345" i="3"/>
  <c r="AC328" i="3"/>
  <c r="AC463" i="3"/>
  <c r="AC292" i="3"/>
  <c r="AC686" i="3"/>
  <c r="AC772" i="3"/>
  <c r="AC31" i="3"/>
  <c r="AC361" i="3"/>
  <c r="AC840" i="3"/>
  <c r="AC92" i="3"/>
  <c r="AC216" i="3"/>
  <c r="AC335" i="3"/>
  <c r="AC42" i="3"/>
  <c r="AC987" i="3"/>
  <c r="AC347" i="3"/>
  <c r="AC393" i="3"/>
  <c r="AC382" i="3"/>
  <c r="AC452" i="3"/>
  <c r="AC788" i="3"/>
  <c r="AC511" i="3"/>
  <c r="AC142" i="3"/>
  <c r="AC253" i="3"/>
  <c r="AC458" i="3"/>
  <c r="AC648" i="3"/>
  <c r="AC738" i="3"/>
  <c r="AC164" i="3"/>
  <c r="AC348" i="3"/>
  <c r="AC921" i="3"/>
  <c r="AC217" i="3"/>
  <c r="AC235" i="3"/>
  <c r="AC870" i="3"/>
  <c r="AC176" i="3"/>
  <c r="AC898" i="3"/>
  <c r="AC666" i="3"/>
  <c r="AC84" i="3"/>
  <c r="AC430" i="3"/>
  <c r="AC476" i="3"/>
  <c r="AC867" i="3"/>
  <c r="AC498" i="3"/>
  <c r="AC13" i="3"/>
  <c r="AC1003" i="3"/>
  <c r="AC293" i="3"/>
  <c r="AC329" i="3"/>
  <c r="AC866" i="3"/>
  <c r="AC87" i="3"/>
  <c r="AC356" i="3"/>
  <c r="AC636" i="3"/>
  <c r="AC675" i="3"/>
  <c r="AC245" i="3"/>
  <c r="AC321" i="3"/>
  <c r="AC416" i="3"/>
  <c r="AC687" i="3"/>
  <c r="AC640" i="3"/>
  <c r="AC134" i="3"/>
  <c r="AC546" i="3"/>
  <c r="AC535" i="3"/>
  <c r="AC713" i="3"/>
  <c r="AC154" i="3"/>
  <c r="AC644" i="3"/>
  <c r="AC876" i="3"/>
  <c r="AC939" i="3"/>
  <c r="AC597" i="3"/>
  <c r="AC791" i="3"/>
  <c r="AC776" i="3"/>
  <c r="AC978" i="3"/>
  <c r="AC750" i="3"/>
  <c r="AC976" i="3"/>
  <c r="AC643" i="3"/>
  <c r="AC138" i="3"/>
  <c r="AC64" i="3"/>
  <c r="AC804" i="3"/>
  <c r="AC75" i="3"/>
  <c r="AC284" i="3"/>
  <c r="AC23" i="3"/>
  <c r="AC167" i="3"/>
  <c r="AC359" i="3"/>
  <c r="AC219" i="3"/>
  <c r="AC137" i="3"/>
  <c r="AC183" i="3"/>
  <c r="AC258" i="3"/>
  <c r="AC247" i="3"/>
  <c r="AC773" i="3"/>
  <c r="AC492" i="3"/>
  <c r="AC575" i="3"/>
  <c r="AC551" i="3"/>
  <c r="AC126" i="3"/>
  <c r="AC631" i="3"/>
  <c r="AC185" i="3"/>
  <c r="AC242" i="3"/>
  <c r="AC500" i="3"/>
  <c r="AC218" i="3"/>
  <c r="AC395" i="3"/>
  <c r="AC655" i="3"/>
  <c r="AC652" i="3"/>
  <c r="AC663" i="3"/>
  <c r="AC165" i="3"/>
  <c r="AC807" i="3"/>
  <c r="AC447" i="3"/>
  <c r="AC583" i="3"/>
  <c r="AC323" i="3"/>
  <c r="AC68" i="3"/>
  <c r="AC21" i="3"/>
  <c r="AC460" i="3"/>
  <c r="AC209" i="3"/>
  <c r="AC266" i="3"/>
  <c r="AC481" i="3"/>
  <c r="AC607" i="3"/>
  <c r="AC270" i="3"/>
  <c r="AC271" i="3"/>
  <c r="AC530" i="3"/>
  <c r="AC201" i="3"/>
  <c r="AC351" i="3"/>
  <c r="AC612" i="3"/>
  <c r="AC567" i="3"/>
  <c r="AC630" i="3"/>
  <c r="AC47" i="3"/>
  <c r="AC254" i="3"/>
  <c r="AC553" i="3"/>
  <c r="AC820" i="3"/>
  <c r="AC745" i="3"/>
  <c r="AC62" i="3"/>
  <c r="AC252" i="3"/>
  <c r="AC457" i="3"/>
  <c r="AC647" i="3"/>
  <c r="AC696" i="3"/>
  <c r="AC760" i="3"/>
  <c r="AC38" i="3"/>
  <c r="AC61" i="3"/>
  <c r="AC162" i="3"/>
  <c r="AC282" i="3"/>
  <c r="AC318" i="3"/>
  <c r="AC486" i="3"/>
  <c r="AC475" i="3"/>
  <c r="AC423" i="3"/>
  <c r="AC694" i="3"/>
  <c r="AC920" i="3"/>
  <c r="AC716" i="3"/>
  <c r="AC958" i="3"/>
  <c r="AC72" i="3"/>
  <c r="AC381" i="3"/>
  <c r="AC399" i="3"/>
  <c r="AC545" i="3"/>
  <c r="AC570" i="3"/>
  <c r="AC628" i="3"/>
  <c r="AC865" i="3"/>
  <c r="AC909" i="3"/>
  <c r="AC105" i="3"/>
  <c r="AC140" i="3"/>
  <c r="AC181" i="3"/>
  <c r="AC639" i="3"/>
  <c r="AC520" i="3"/>
  <c r="AC688" i="3"/>
  <c r="AC724" i="3"/>
  <c r="AC528" i="3"/>
  <c r="AC775" i="3"/>
  <c r="AC685" i="3"/>
  <c r="AC1000" i="3"/>
  <c r="AC918" i="3"/>
  <c r="AC33" i="3"/>
  <c r="AC143" i="3"/>
  <c r="AC273" i="3"/>
  <c r="AC362" i="3"/>
  <c r="AC453" i="3"/>
  <c r="AC584" i="3"/>
  <c r="AC536" i="3"/>
  <c r="AC588" i="3"/>
  <c r="AC679" i="3"/>
  <c r="AC789" i="3"/>
  <c r="AC828" i="3"/>
  <c r="AC940" i="3"/>
  <c r="AC873" i="3"/>
  <c r="AC67" i="3"/>
  <c r="AC63" i="3"/>
  <c r="AC111" i="3"/>
  <c r="AC128" i="3"/>
  <c r="AC149" i="3"/>
  <c r="AC125" i="3"/>
  <c r="AC197" i="3"/>
  <c r="AC159" i="3"/>
  <c r="AC342" i="3"/>
  <c r="AC311" i="3"/>
  <c r="AC518" i="3"/>
  <c r="AC603" i="3"/>
  <c r="AC327" i="3"/>
  <c r="AC826" i="3"/>
  <c r="AC740" i="3"/>
  <c r="AC854" i="3"/>
  <c r="AC888" i="3"/>
  <c r="AC926" i="3"/>
  <c r="AC963" i="3"/>
  <c r="AC717" i="3"/>
  <c r="AC995" i="3"/>
  <c r="AC88" i="3"/>
  <c r="AC294" i="3"/>
  <c r="AC355" i="3"/>
  <c r="AC440" i="3"/>
  <c r="AC821" i="3"/>
  <c r="AC721" i="3"/>
  <c r="AC637" i="3"/>
  <c r="AC893" i="3"/>
  <c r="AC797" i="3"/>
  <c r="AC674" i="3"/>
  <c r="AC715" i="3"/>
  <c r="AC78" i="3"/>
  <c r="AC205" i="3"/>
  <c r="AC346" i="3"/>
  <c r="AC443" i="3"/>
  <c r="AC812" i="3"/>
  <c r="AC50" i="3"/>
  <c r="AC113" i="3"/>
  <c r="AC104" i="3"/>
  <c r="AC333" i="3"/>
  <c r="AC322" i="3"/>
  <c r="AC421" i="3"/>
  <c r="AC523" i="3"/>
  <c r="AC816" i="3"/>
  <c r="AC747" i="3"/>
  <c r="AC852" i="3"/>
  <c r="AC605" i="3"/>
  <c r="AC774" i="3"/>
  <c r="AC923" i="3"/>
  <c r="AC39" i="3"/>
  <c r="AC80" i="3"/>
  <c r="AC386" i="3"/>
  <c r="AC786" i="3"/>
  <c r="AC121" i="3"/>
  <c r="AC129" i="3"/>
  <c r="AC118" i="3"/>
  <c r="AC249" i="3"/>
  <c r="AC277" i="3"/>
  <c r="AC250" i="3"/>
  <c r="AC591" i="3"/>
  <c r="AC704" i="3"/>
  <c r="AC793" i="3"/>
  <c r="AC669" i="3"/>
  <c r="AC913" i="3"/>
  <c r="AC935" i="3"/>
  <c r="AC942" i="3"/>
  <c r="AC660" i="3"/>
  <c r="AC83" i="3"/>
  <c r="AC442" i="3"/>
  <c r="AC806" i="3"/>
  <c r="AC994" i="3"/>
  <c r="AC646" i="3"/>
  <c r="AC635" i="3"/>
  <c r="AC860" i="3"/>
  <c r="AC905" i="3"/>
  <c r="AC986" i="3"/>
  <c r="AC97" i="3"/>
  <c r="AC279" i="3"/>
  <c r="AC594" i="3"/>
  <c r="AC622" i="3"/>
  <c r="AC697" i="3"/>
  <c r="AC933" i="3"/>
  <c r="AC971" i="3"/>
  <c r="AC396" i="3"/>
  <c r="AC307" i="3"/>
  <c r="AC473" i="3"/>
  <c r="AC462" i="3"/>
  <c r="AC770" i="3"/>
  <c r="AC737" i="3"/>
  <c r="AC798" i="3"/>
  <c r="AC871" i="3"/>
  <c r="AC719" i="3"/>
  <c r="AC66" i="3"/>
  <c r="AC521" i="3"/>
  <c r="AC813" i="3"/>
  <c r="AC746" i="3"/>
  <c r="AC606" i="3"/>
  <c r="AC736" i="3"/>
  <c r="AC885" i="3"/>
  <c r="AC26" i="3"/>
  <c r="AC123" i="3"/>
  <c r="AC192" i="3"/>
  <c r="AC186" i="3"/>
  <c r="AC300" i="3"/>
  <c r="AC298" i="3"/>
  <c r="AC414" i="3"/>
  <c r="AC506" i="3"/>
  <c r="AC614" i="3"/>
  <c r="AC616" i="3"/>
  <c r="AC677" i="3"/>
  <c r="AC764" i="3"/>
  <c r="AC753" i="3"/>
  <c r="AC839" i="3"/>
  <c r="AC903" i="3"/>
  <c r="AC1002" i="3"/>
  <c r="AC950" i="3"/>
  <c r="AC771" i="3"/>
  <c r="AC70" i="3"/>
  <c r="AC120" i="3"/>
  <c r="AC174" i="3"/>
  <c r="AC291" i="3"/>
  <c r="AC215" i="3"/>
  <c r="AC601" i="3"/>
  <c r="AC619" i="3"/>
  <c r="AC672" i="3"/>
  <c r="AC832" i="3"/>
  <c r="AC829" i="3"/>
  <c r="AC907" i="3"/>
  <c r="AC955" i="3"/>
  <c r="AC703" i="3"/>
  <c r="AC276" i="3"/>
  <c r="AC431" i="3"/>
  <c r="AC671" i="3"/>
  <c r="AC845" i="3"/>
  <c r="AC756" i="3"/>
  <c r="AC929" i="3"/>
  <c r="AC878" i="3"/>
  <c r="AC188" i="3"/>
  <c r="AC332" i="3"/>
  <c r="AC331" i="3"/>
  <c r="AC418" i="3"/>
  <c r="AC634" i="3"/>
  <c r="AC718" i="3"/>
  <c r="AC879" i="3"/>
  <c r="AC988" i="3"/>
  <c r="AC41" i="3"/>
  <c r="AC163" i="3"/>
  <c r="AC179" i="3"/>
  <c r="AC243" i="3"/>
  <c r="AC461" i="3"/>
  <c r="AC568" i="3"/>
  <c r="AC894" i="3"/>
  <c r="AC972" i="3"/>
  <c r="AC116" i="3"/>
  <c r="AC28" i="3"/>
  <c r="AC206" i="3"/>
  <c r="AC246" i="3"/>
  <c r="AC801" i="3"/>
  <c r="AC244" i="3"/>
  <c r="AC415" i="3"/>
  <c r="AC491" i="3"/>
  <c r="AC841" i="3"/>
  <c r="AC735" i="3"/>
  <c r="AC974" i="3"/>
  <c r="AC975" i="3"/>
  <c r="AC27" i="3"/>
  <c r="AC85" i="3"/>
  <c r="AC89" i="3"/>
  <c r="AC152" i="3"/>
  <c r="AC220" i="3"/>
  <c r="AC366" i="3"/>
  <c r="AC419" i="3"/>
  <c r="AC557" i="3"/>
  <c r="AC512" i="3"/>
  <c r="AC632" i="3"/>
  <c r="AC615" i="3"/>
  <c r="AC728" i="3"/>
  <c r="AC532" i="3"/>
  <c r="AC641" i="3"/>
  <c r="AC814" i="3"/>
  <c r="AC1001" i="3"/>
  <c r="AC90" i="3"/>
  <c r="AC260" i="3"/>
  <c r="AC213" i="3"/>
  <c r="AC353" i="3"/>
  <c r="AC363" i="3"/>
  <c r="AC426" i="3"/>
  <c r="AC454" i="3"/>
  <c r="AC602" i="3"/>
  <c r="AC590" i="3"/>
  <c r="AC539" i="3"/>
  <c r="AC560" i="3"/>
  <c r="AC681" i="3"/>
  <c r="AC548" i="3"/>
  <c r="AC790" i="3"/>
  <c r="AC691" i="3"/>
  <c r="AC965" i="3"/>
  <c r="AC795" i="3"/>
  <c r="AC943" i="3"/>
  <c r="AC899" i="3"/>
  <c r="AC890" i="3"/>
  <c r="AC767" i="3"/>
  <c r="AC993" i="3"/>
  <c r="AC22" i="3"/>
  <c r="AC378" i="3"/>
  <c r="AC459" i="3"/>
  <c r="AC578" i="3"/>
  <c r="AC543" i="3"/>
  <c r="AC556" i="3"/>
  <c r="AC996" i="3"/>
  <c r="AC189" i="3"/>
  <c r="AC166" i="3"/>
  <c r="AC224" i="3"/>
  <c r="AC485" i="3"/>
  <c r="AC403" i="3"/>
  <c r="AC499" i="3"/>
  <c r="AC676" i="3"/>
  <c r="AC757" i="3"/>
  <c r="AC998" i="3"/>
  <c r="AC59" i="3"/>
  <c r="AC610" i="3"/>
  <c r="AC623" i="3"/>
  <c r="AC836" i="3"/>
  <c r="AC825" i="3"/>
  <c r="AC945" i="3"/>
  <c r="AC136" i="3"/>
  <c r="AC122" i="3"/>
  <c r="AC269" i="3"/>
  <c r="AC501" i="3"/>
  <c r="AC707" i="3"/>
  <c r="AC934" i="3"/>
  <c r="AC54" i="3"/>
  <c r="AC95" i="3"/>
  <c r="AC133" i="3"/>
  <c r="AC210" i="3"/>
  <c r="AC177" i="3"/>
  <c r="AC286" i="3"/>
  <c r="AC502" i="3"/>
  <c r="AC574" i="3"/>
  <c r="AC488" i="3"/>
  <c r="AC710" i="3"/>
  <c r="AC961" i="3"/>
  <c r="AC931" i="3"/>
  <c r="AC51" i="3"/>
  <c r="AC44" i="3"/>
  <c r="AC153" i="3"/>
  <c r="AC203" i="3"/>
  <c r="AC288" i="3"/>
  <c r="AC725" i="3"/>
  <c r="AC723" i="3"/>
  <c r="AC938" i="3"/>
  <c r="AC886" i="3"/>
  <c r="AC983" i="3"/>
  <c r="AC15" i="3"/>
  <c r="AC108" i="3"/>
  <c r="AC101" i="3"/>
  <c r="AC401" i="3"/>
  <c r="AC390" i="3"/>
  <c r="AC437" i="3"/>
  <c r="AC493" i="3"/>
  <c r="AC482" i="3"/>
  <c r="AC533" i="3"/>
  <c r="AC620" i="3"/>
  <c r="AC766" i="3"/>
  <c r="AC762" i="3"/>
  <c r="AC729" i="3"/>
  <c r="AC743" i="3"/>
  <c r="AC796" i="3"/>
  <c r="AC980" i="3"/>
  <c r="AC226" i="3"/>
  <c r="AC428" i="3"/>
  <c r="AC145" i="3"/>
  <c r="AC191" i="3"/>
  <c r="AC267" i="3"/>
  <c r="AC470" i="3"/>
  <c r="AC625" i="3"/>
  <c r="AC230" i="3"/>
  <c r="AC554" i="3"/>
  <c r="AC846" i="3"/>
  <c r="AC969" i="3"/>
  <c r="AC227" i="3"/>
  <c r="AC405" i="3"/>
  <c r="AC394" i="3"/>
  <c r="AC407" i="3"/>
  <c r="AC733" i="3"/>
  <c r="AC758" i="3"/>
  <c r="AC819" i="3"/>
  <c r="AC869" i="3"/>
  <c r="AC783" i="3"/>
  <c r="AC959" i="3"/>
  <c r="AC17" i="3"/>
  <c r="AC14" i="3"/>
  <c r="AC268" i="3"/>
  <c r="AC357" i="3"/>
  <c r="AC445" i="3"/>
  <c r="AC599" i="3"/>
  <c r="AC613" i="3"/>
  <c r="AC709" i="3"/>
  <c r="AC706" i="3"/>
  <c r="AC748" i="3"/>
  <c r="AC734" i="3"/>
  <c r="AC922" i="3"/>
  <c r="AC48" i="3"/>
  <c r="AC207" i="3"/>
  <c r="AC296" i="3"/>
  <c r="AC410" i="3"/>
  <c r="AC752" i="3"/>
  <c r="AC749" i="3"/>
  <c r="AC777" i="3"/>
  <c r="AC799" i="3"/>
  <c r="AC872" i="3"/>
  <c r="AC24" i="3"/>
  <c r="AC30" i="3"/>
  <c r="AC43" i="3"/>
  <c r="AC274" i="3"/>
  <c r="AC255" i="3"/>
  <c r="AC309" i="3"/>
  <c r="AC425" i="3"/>
  <c r="AC517" i="3"/>
  <c r="AC467" i="3"/>
  <c r="AC580" i="3"/>
  <c r="AC856" i="3"/>
  <c r="AC853" i="3"/>
  <c r="AC722" i="3"/>
  <c r="AC700" i="3"/>
  <c r="AC689" i="3"/>
  <c r="AC937" i="3"/>
  <c r="AC193" i="3"/>
  <c r="AC155" i="3"/>
  <c r="AC349" i="3"/>
  <c r="AC338" i="3"/>
  <c r="AC388" i="3"/>
  <c r="AC384" i="3"/>
  <c r="AC319" i="3"/>
  <c r="AC411" i="3"/>
  <c r="AC765" i="3"/>
  <c r="AC726" i="3"/>
  <c r="AC952" i="3"/>
  <c r="AC803" i="3"/>
  <c r="AC977" i="3"/>
  <c r="AC844" i="3"/>
  <c r="AC990" i="3"/>
  <c r="AC947" i="3"/>
  <c r="AC991" i="3"/>
  <c r="AC781" i="3"/>
  <c r="AC809" i="3"/>
  <c r="AC429" i="3"/>
  <c r="AC379" i="3"/>
  <c r="AC106" i="3"/>
  <c r="AC306" i="3"/>
  <c r="AC761" i="3"/>
  <c r="AC170" i="3"/>
  <c r="AC515" i="3"/>
  <c r="AC505" i="3"/>
  <c r="AC712" i="3"/>
  <c r="AC960" i="3"/>
  <c r="AC973" i="3"/>
  <c r="AC967" i="3"/>
  <c r="AC57" i="3"/>
  <c r="AC222" i="3"/>
  <c r="AC280" i="3"/>
  <c r="AC326" i="3"/>
  <c r="AC315" i="3"/>
  <c r="AC432" i="3"/>
  <c r="AC371" i="3"/>
  <c r="AC477" i="3"/>
  <c r="AC626" i="3"/>
  <c r="AC661" i="3"/>
  <c r="AC617" i="3"/>
  <c r="AC838" i="3"/>
  <c r="AC864" i="3"/>
  <c r="AC949" i="3"/>
  <c r="AC910" i="3"/>
  <c r="AC237" i="3"/>
  <c r="AC313" i="3"/>
  <c r="AC302" i="3"/>
  <c r="AC397" i="3"/>
  <c r="AC450" i="3"/>
  <c r="AC489" i="3"/>
  <c r="AC586" i="3"/>
  <c r="AC817" i="3"/>
  <c r="AC751" i="3"/>
  <c r="AC912" i="3"/>
  <c r="AC874" i="3"/>
  <c r="AC875" i="3"/>
  <c r="AC114" i="3"/>
  <c r="AC238" i="3"/>
  <c r="AC435" i="3"/>
  <c r="AC507" i="3"/>
  <c r="AC563" i="3"/>
  <c r="AC654" i="3"/>
  <c r="AC768" i="3"/>
  <c r="AC857" i="3"/>
  <c r="AC843" i="3"/>
  <c r="AC132" i="3"/>
  <c r="AC484" i="3"/>
  <c r="AC659" i="3"/>
  <c r="AC954" i="3"/>
  <c r="AC891" i="3"/>
  <c r="AC330" i="3"/>
  <c r="AC295" i="3"/>
  <c r="AC510" i="3"/>
  <c r="AC649" i="3"/>
  <c r="AC785" i="3"/>
  <c r="AC782" i="3"/>
  <c r="AC658" i="3"/>
  <c r="AC868" i="3"/>
  <c r="AC957" i="3"/>
  <c r="AC264" i="3"/>
  <c r="AC290" i="3"/>
  <c r="AC317" i="3"/>
  <c r="AC497" i="3"/>
  <c r="AC487" i="3"/>
  <c r="AC569" i="3"/>
  <c r="AC559" i="3"/>
  <c r="AC861" i="3"/>
  <c r="AC997" i="3"/>
  <c r="AC882" i="3"/>
  <c r="AC881" i="3"/>
  <c r="AC19" i="3"/>
  <c r="AC434" i="3"/>
  <c r="AC526" i="3"/>
  <c r="AC370" i="3"/>
  <c r="AC504" i="3"/>
  <c r="AC650" i="3"/>
  <c r="AC837" i="3"/>
  <c r="AC834" i="3"/>
  <c r="AC862" i="3"/>
  <c r="AC823" i="3"/>
  <c r="AC180" i="3"/>
  <c r="AC223" i="3"/>
  <c r="AC234" i="3"/>
  <c r="AC283" i="3"/>
  <c r="AC147" i="3"/>
  <c r="AC464" i="3"/>
  <c r="AC638" i="3"/>
  <c r="AC863" i="3"/>
  <c r="AC897" i="3"/>
  <c r="AC45" i="3"/>
  <c r="AC76" i="3"/>
  <c r="AC98" i="3"/>
  <c r="AC262" i="3"/>
  <c r="AC314" i="3"/>
  <c r="AC408" i="3"/>
  <c r="AC495" i="3"/>
  <c r="AC478" i="3"/>
  <c r="AC550" i="3"/>
  <c r="AC678" i="3"/>
  <c r="AC680" i="3"/>
  <c r="AC665" i="3"/>
  <c r="AC850" i="3"/>
  <c r="AC168" i="3"/>
  <c r="AC195" i="3"/>
  <c r="AC232" i="3"/>
  <c r="AC199" i="3"/>
  <c r="AC340" i="3"/>
  <c r="AC373" i="3"/>
  <c r="AC465" i="3"/>
  <c r="AC562" i="3"/>
  <c r="AC642" i="3"/>
  <c r="AC701" i="3"/>
  <c r="AC698" i="3"/>
  <c r="AC889" i="3"/>
  <c r="AC901" i="3"/>
  <c r="AC916" i="3"/>
  <c r="D67" i="1" l="1"/>
  <c r="R18" i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7" i="3"/>
  <c r="W8" i="3" s="1"/>
  <c r="S154" i="1"/>
  <c r="Z154" i="1" s="1"/>
  <c r="S290" i="1"/>
  <c r="Z290" i="1" s="1"/>
  <c r="S106" i="1"/>
  <c r="Z106" i="1" s="1"/>
  <c r="S34" i="1"/>
  <c r="Z34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7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<sst xmlns="http://schemas.openxmlformats.org/spreadsheetml/2006/main" count="486" uniqueCount="284">
  <si>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</si>
  <si>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</si>
  <si>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</si>
  <si>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</si>
  <si>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</si>
  <si>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</si>
  <si>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</si>
  <si>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</si>
  <si>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</si>
  <si>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</si>
  <si>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</si>
  <si>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</si>
  <si>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</si>
  <si>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</si>
  <si>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</si>
  <si>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</si>
  <si>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</si>
  <si>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</si>
  <si>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</si>
  <si>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</si>
  <si>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</si>
  <si>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</si>
  <si>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</si>
  <si>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</si>
  <si>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</si>
  <si>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</si>
  <si>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</si>
  <si>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</si>
  <si>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</si>
  <si>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</si>
  <si>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</si>
  <si>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</si>
  <si>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</si>
  <si>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</si>
  <si>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</si>
  <si>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</si>
  <si>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</si>
  <si>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</si>
  <si>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</si>
  <si>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</si>
  <si>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</si>
  <si>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</si>
  <si>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</si>
  <si>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</si>
  <si>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</si>
  <si>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</si>
  <si>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</si>
  <si>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</si>
  <si>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</si>
  <si>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</si>
  <si>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</si>
  <si>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</si>
  <si>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</si>
  <si>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</si>
  <si>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</si>
  <si>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</si>
  <si>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</si>
  <si>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</si>
  <si>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</si>
  <si>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</si>
  <si>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</si>
  <si>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</si>
  <si>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</si>
  <si>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</si>
  <si>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</si>
  <si>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</si>
  <si>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</si>
  <si>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</si>
  <si>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</si>
  <si>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</si>
  <si>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</si>
  <si>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</si>
  <si>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</si>
  <si>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</si>
  <si>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</si>
  <si>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</si>
  <si>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</si>
  <si>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</si>
  <si>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</si>
  <si>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</si>
  <si>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</si>
  <si>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</si>
  <si>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</si>
  <si>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</si>
  <si>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</si>
  <si>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</si>
  <si>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</si>
  <si>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</si>
  <si>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</si>
  <si>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</si>
  <si>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</si>
  <si>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</si>
  <si>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</si>
  <si>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</si>
  <si>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</si>
  <si>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</si>
  <si>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</si>
  <si>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</si>
  <si>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</si>
  <si>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</si>
  <si>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</si>
  <si>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</si>
  <si>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</si>
  <si>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</si>
  <si>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</si>
  <si>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</si>
  <si>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</si>
  <si>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</si>
  <si>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</si>
  <si>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</si>
  <si>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</si>
  <si>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</si>
  <si>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</si>
  <si>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</si>
  <si>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</si>
  <si>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</si>
  <si>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</si>
  <si>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</si>
  <si>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</si>
  <si>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</si>
  <si>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</si>
  <si>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</si>
  <si>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</si>
  <si>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</si>
  <si>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</si>
  <si>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</si>
  <si>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</si>
  <si>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</si>
  <si>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</si>
  <si>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</si>
  <si>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</si>
  <si>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</si>
  <si>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</si>
  <si>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</si>
  <si>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</si>
  <si>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</si>
  <si>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</si>
  <si>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</si>
  <si>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</si>
  <si>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</si>
  <si>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</si>
  <si>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</si>
  <si>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</si>
  <si>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</si>
  <si>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</si>
  <si>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</si>
  <si>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</si>
  <si>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</si>
  <si>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</si>
  <si>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</si>
  <si>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</si>
  <si>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</si>
  <si>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</si>
  <si>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</si>
  <si>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</si>
  <si>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</si>
  <si>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</si>
  <si>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</si>
  <si>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</si>
  <si>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</si>
  <si>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</si>
  <si>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</si>
  <si>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</si>
  <si>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</si>
  <si>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</si>
  <si>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</si>
  <si>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</si>
  <si>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</si>
  <si>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</si>
  <si>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</si>
  <si>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</si>
  <si>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</si>
  <si>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</si>
  <si>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</si>
  <si>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</si>
  <si>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</si>
  <si>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</si>
  <si>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</si>
  <si>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</si>
  <si>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</si>
  <si>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</si>
  <si>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</si>
  <si>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</si>
  <si>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</si>
  <si>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</si>
  <si>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</si>
  <si>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</si>
  <si>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</si>
  <si>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</si>
  <si>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</si>
  <si>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</si>
  <si>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</si>
  <si>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</si>
  <si>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</si>
  <si>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</si>
  <si>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</si>
  <si>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</si>
  <si>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</si>
  <si>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</si>
  <si>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</si>
  <si>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</si>
  <si>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</si>
  <si>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</si>
  <si>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</si>
  <si>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</si>
  <si>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</si>
  <si>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</si>
  <si>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</si>
  <si>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</si>
  <si>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</si>
  <si>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</si>
  <si>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</si>
  <si>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</si>
  <si>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</si>
  <si>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</si>
  <si>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</si>
  <si>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</si>
  <si>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</si>
  <si>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</si>
  <si>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</si>
  <si>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</si>
  <si>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</si>
  <si>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</si>
  <si>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</si>
  <si>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</si>
  <si>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</si>
  <si>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</si>
  <si>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</si>
  <si>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</si>
  <si>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</si>
  <si>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</si>
  <si>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</si>
  <si>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</si>
  <si>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</si>
  <si>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</si>
  <si>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</si>
  <si>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</si>
  <si>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</si>
  <si>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</si>
  <si>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</si>
  <si>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</si>
  <si>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</si>
  <si>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</si>
  <si>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</si>
  <si>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</si>
  <si>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</si>
  <si>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</si>
  <si>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</si>
  <si>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</si>
  <si>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</si>
  <si>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</si>
  <si>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</si>
  <si>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</si>
  <si>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</si>
  <si>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</si>
  <si>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</si>
  <si>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</si>
  <si>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</si>
  <si>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</si>
  <si>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</si>
  <si>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</si>
  <si>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</si>
  <si>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</si>
  <si>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</si>
  <si>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</si>
  <si>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</si>
  <si>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</si>
  <si>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</si>
  <si>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</si>
  <si>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</si>
  <si>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</si>
  <si>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</si>
  <si>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linocln</t>
  </si>
  <si>
    <t>pukekohe</t>
  </si>
  <si>
    <t>hastings</t>
  </si>
  <si>
    <t>gore</t>
  </si>
  <si>
    <t>levin</t>
  </si>
  <si>
    <t>In</t>
  </si>
  <si>
    <t>Out</t>
  </si>
  <si>
    <t>Check</t>
  </si>
  <si>
    <t>Early_harvest</t>
  </si>
  <si>
    <t>Maturity_harvest</t>
  </si>
  <si>
    <t>Green_manure</t>
  </si>
  <si>
    <t>SandyClayLoam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</si>
</sst>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6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2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186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Residues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36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Soil 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118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50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145.6</c:v>
                </c:pt>
                <c:pt idx="1">
                  <c:v>0</c:v>
                </c:pt>
                <c:pt idx="2">
                  <c:v>2.026289583284667</c:v>
                </c:pt>
                <c:pt idx="3">
                  <c:v>2.026289583284667</c:v>
                </c:pt>
                <c:pt idx="4">
                  <c:v>2.026289583284667</c:v>
                </c:pt>
                <c:pt idx="5">
                  <c:v>2.026289583284667</c:v>
                </c:pt>
                <c:pt idx="6">
                  <c:v>2.026289583284667</c:v>
                </c:pt>
                <c:pt idx="7">
                  <c:v>2.026289583284667</c:v>
                </c:pt>
                <c:pt idx="8">
                  <c:v>2.026289583284667</c:v>
                </c:pt>
                <c:pt idx="9">
                  <c:v>2.026289583284667</c:v>
                </c:pt>
                <c:pt idx="10">
                  <c:v>2.026289583284667</c:v>
                </c:pt>
                <c:pt idx="11">
                  <c:v>2.026289583284667</c:v>
                </c:pt>
                <c:pt idx="12">
                  <c:v>2.026289583284667</c:v>
                </c:pt>
                <c:pt idx="13">
                  <c:v>2.026289583284667</c:v>
                </c:pt>
                <c:pt idx="14">
                  <c:v>2.026289583284667</c:v>
                </c:pt>
                <c:pt idx="15">
                  <c:v>2.026289583284667</c:v>
                </c:pt>
                <c:pt idx="16">
                  <c:v>2.0735733315503353</c:v>
                </c:pt>
                <c:pt idx="17">
                  <c:v>2.1513855493116947</c:v>
                </c:pt>
                <c:pt idx="18">
                  <c:v>2.2304832977741338</c:v>
                </c:pt>
                <c:pt idx="19">
                  <c:v>2.3149305638677991</c:v>
                </c:pt>
                <c:pt idx="20">
                  <c:v>2.4046513196343935</c:v>
                </c:pt>
                <c:pt idx="21">
                  <c:v>2.501620832506255</c:v>
                </c:pt>
                <c:pt idx="22">
                  <c:v>2.6048410138743985</c:v>
                </c:pt>
                <c:pt idx="23">
                  <c:v>2.702923485952367</c:v>
                </c:pt>
                <c:pt idx="24">
                  <c:v>2.8004082425420838</c:v>
                </c:pt>
                <c:pt idx="25">
                  <c:v>2.9021459133889906</c:v>
                </c:pt>
                <c:pt idx="26">
                  <c:v>3.0064016689173978</c:v>
                </c:pt>
                <c:pt idx="27">
                  <c:v>3.1130646489057789</c:v>
                </c:pt>
                <c:pt idx="28">
                  <c:v>3.2200508062765505</c:v>
                </c:pt>
                <c:pt idx="29">
                  <c:v>3.3318092218458655</c:v>
                </c:pt>
                <c:pt idx="30">
                  <c:v>3.4494922403842119</c:v>
                </c:pt>
                <c:pt idx="31">
                  <c:v>3.5669569281702875</c:v>
                </c:pt>
                <c:pt idx="32">
                  <c:v>3.6847436838983509</c:v>
                </c:pt>
                <c:pt idx="33">
                  <c:v>3.8003254920921443</c:v>
                </c:pt>
                <c:pt idx="34">
                  <c:v>3.921413233888726</c:v>
                </c:pt>
                <c:pt idx="35">
                  <c:v>4.0507462447642792</c:v>
                </c:pt>
                <c:pt idx="36">
                  <c:v>4.1893486471540928</c:v>
                </c:pt>
                <c:pt idx="37">
                  <c:v>4.3313156114683427</c:v>
                </c:pt>
                <c:pt idx="38">
                  <c:v>4.4724452245557256</c:v>
                </c:pt>
                <c:pt idx="39">
                  <c:v>4.6167081137226011</c:v>
                </c:pt>
                <c:pt idx="40">
                  <c:v>4.7657297550632975</c:v>
                </c:pt>
                <c:pt idx="41">
                  <c:v>4.9120689489622595</c:v>
                </c:pt>
                <c:pt idx="42">
                  <c:v>5.0601551077699609</c:v>
                </c:pt>
                <c:pt idx="43">
                  <c:v>5.2220596999167599</c:v>
                </c:pt>
                <c:pt idx="44">
                  <c:v>5.3880366380138645</c:v>
                </c:pt>
                <c:pt idx="45">
                  <c:v>5.5652586319202522</c:v>
                </c:pt>
                <c:pt idx="46">
                  <c:v>5.7367544038053966</c:v>
                </c:pt>
                <c:pt idx="47">
                  <c:v>5.9080993106644009</c:v>
                </c:pt>
                <c:pt idx="48">
                  <c:v>6.0828578445542565</c:v>
                </c:pt>
                <c:pt idx="49">
                  <c:v>6.2692612448365406</c:v>
                </c:pt>
                <c:pt idx="50">
                  <c:v>6.4709529403938149</c:v>
                </c:pt>
                <c:pt idx="51">
                  <c:v>6.6634850863948198</c:v>
                </c:pt>
                <c:pt idx="52">
                  <c:v>6.8428767776836574</c:v>
                </c:pt>
                <c:pt idx="53">
                  <c:v>7.0172570605133409</c:v>
                </c:pt>
                <c:pt idx="54">
                  <c:v>7.2040542060993289</c:v>
                </c:pt>
                <c:pt idx="55">
                  <c:v>7.3876849775958604</c:v>
                </c:pt>
                <c:pt idx="56">
                  <c:v>7.5767257632849994</c:v>
                </c:pt>
                <c:pt idx="57">
                  <c:v>7.7658355080123336</c:v>
                </c:pt>
                <c:pt idx="58">
                  <c:v>7.9435146095252112</c:v>
                </c:pt>
                <c:pt idx="59">
                  <c:v>8.128480962882751</c:v>
                </c:pt>
                <c:pt idx="60">
                  <c:v>8.3216638154764695</c:v>
                </c:pt>
                <c:pt idx="61">
                  <c:v>8.51740149887606</c:v>
                </c:pt>
                <c:pt idx="62">
                  <c:v>8.7211768099296378</c:v>
                </c:pt>
                <c:pt idx="63">
                  <c:v>8.9393161076042578</c:v>
                </c:pt>
                <c:pt idx="64">
                  <c:v>9.1760313898446739</c:v>
                </c:pt>
                <c:pt idx="65">
                  <c:v>9.4195135057114072</c:v>
                </c:pt>
                <c:pt idx="66">
                  <c:v>9.6713961290808097</c:v>
                </c:pt>
                <c:pt idx="67">
                  <c:v>9.9231631504095503</c:v>
                </c:pt>
                <c:pt idx="68">
                  <c:v>10.174094743298031</c:v>
                </c:pt>
                <c:pt idx="69">
                  <c:v>10.40916673083912</c:v>
                </c:pt>
                <c:pt idx="70">
                  <c:v>10.651835245461614</c:v>
                </c:pt>
                <c:pt idx="71">
                  <c:v>10.877020116604237</c:v>
                </c:pt>
                <c:pt idx="72">
                  <c:v>11.109655126271177</c:v>
                </c:pt>
                <c:pt idx="73">
                  <c:v>11.369277071892537</c:v>
                </c:pt>
                <c:pt idx="74">
                  <c:v>11.619727038430462</c:v>
                </c:pt>
                <c:pt idx="75">
                  <c:v>11.882467409648141</c:v>
                </c:pt>
                <c:pt idx="76">
                  <c:v>12.155818538498815</c:v>
                </c:pt>
                <c:pt idx="77">
                  <c:v>12.419660764114807</c:v>
                </c:pt>
                <c:pt idx="78">
                  <c:v>12.676871506330469</c:v>
                </c:pt>
                <c:pt idx="79">
                  <c:v>12.944394234386008</c:v>
                </c:pt>
                <c:pt idx="80">
                  <c:v>13.225542981175868</c:v>
                </c:pt>
                <c:pt idx="81">
                  <c:v>13.494219943269753</c:v>
                </c:pt>
                <c:pt idx="82">
                  <c:v>13.773132918359519</c:v>
                </c:pt>
                <c:pt idx="83">
                  <c:v>14.051367194279958</c:v>
                </c:pt>
                <c:pt idx="84">
                  <c:v>14.340177829695367</c:v>
                </c:pt>
                <c:pt idx="85">
                  <c:v>14.639428197136636</c:v>
                </c:pt>
                <c:pt idx="86">
                  <c:v>14.911422403826544</c:v>
                </c:pt>
                <c:pt idx="87">
                  <c:v>15.161687908477383</c:v>
                </c:pt>
                <c:pt idx="88">
                  <c:v>15.423219716535739</c:v>
                </c:pt>
                <c:pt idx="89">
                  <c:v>15.716404384679816</c:v>
                </c:pt>
                <c:pt idx="90">
                  <c:v>16.043940857286078</c:v>
                </c:pt>
                <c:pt idx="91">
                  <c:v>16.374945545920514</c:v>
                </c:pt>
                <c:pt idx="92">
                  <c:v>16.708750775812494</c:v>
                </c:pt>
                <c:pt idx="93">
                  <c:v>17.030467341386256</c:v>
                </c:pt>
                <c:pt idx="94">
                  <c:v>17.367411153316098</c:v>
                </c:pt>
                <c:pt idx="95">
                  <c:v>17.66911652412594</c:v>
                </c:pt>
                <c:pt idx="96">
                  <c:v>17.952419240982771</c:v>
                </c:pt>
                <c:pt idx="97">
                  <c:v>18.259033526148773</c:v>
                </c:pt>
                <c:pt idx="98">
                  <c:v>18.582571476838648</c:v>
                </c:pt>
                <c:pt idx="99">
                  <c:v>18.883621320940236</c:v>
                </c:pt>
                <c:pt idx="100">
                  <c:v>19.251303926085118</c:v>
                </c:pt>
                <c:pt idx="101">
                  <c:v>19.665781252062249</c:v>
                </c:pt>
                <c:pt idx="102">
                  <c:v>20.070587644245506</c:v>
                </c:pt>
                <c:pt idx="103">
                  <c:v>20.45606067754051</c:v>
                </c:pt>
                <c:pt idx="104">
                  <c:v>20.838721499095385</c:v>
                </c:pt>
                <c:pt idx="105">
                  <c:v>21.264342879015928</c:v>
                </c:pt>
                <c:pt idx="106">
                  <c:v>21.660192907948129</c:v>
                </c:pt>
                <c:pt idx="107">
                  <c:v>22.108344726468591</c:v>
                </c:pt>
                <c:pt idx="108">
                  <c:v>22.553822515952419</c:v>
                </c:pt>
                <c:pt idx="109">
                  <c:v>23.010799832954497</c:v>
                </c:pt>
                <c:pt idx="110">
                  <c:v>23.428997730696032</c:v>
                </c:pt>
                <c:pt idx="111">
                  <c:v>23.845727669666353</c:v>
                </c:pt>
                <c:pt idx="112">
                  <c:v>24.305182642374501</c:v>
                </c:pt>
                <c:pt idx="113">
                  <c:v>24.780550472249324</c:v>
                </c:pt>
                <c:pt idx="114">
                  <c:v>25.281238432117714</c:v>
                </c:pt>
                <c:pt idx="115">
                  <c:v>25.790199911278375</c:v>
                </c:pt>
                <c:pt idx="116">
                  <c:v>26.316723126211496</c:v>
                </c:pt>
                <c:pt idx="117">
                  <c:v>26.85764298155603</c:v>
                </c:pt>
                <c:pt idx="118">
                  <c:v>27.441076528539639</c:v>
                </c:pt>
                <c:pt idx="119">
                  <c:v>28.029072317007731</c:v>
                </c:pt>
                <c:pt idx="120">
                  <c:v>28.619417908478773</c:v>
                </c:pt>
                <c:pt idx="121">
                  <c:v>29.191546539911087</c:v>
                </c:pt>
                <c:pt idx="122">
                  <c:v>29.765640660571549</c:v>
                </c:pt>
                <c:pt idx="123">
                  <c:v>30.361286290585038</c:v>
                </c:pt>
                <c:pt idx="124">
                  <c:v>30.966433965126342</c:v>
                </c:pt>
                <c:pt idx="125">
                  <c:v>31.596340726570048</c:v>
                </c:pt>
                <c:pt idx="126">
                  <c:v>32.213262914107034</c:v>
                </c:pt>
                <c:pt idx="127">
                  <c:v>32.869956741315839</c:v>
                </c:pt>
                <c:pt idx="128">
                  <c:v>33.506389364659874</c:v>
                </c:pt>
                <c:pt idx="129">
                  <c:v>34.180302945779523</c:v>
                </c:pt>
                <c:pt idx="130">
                  <c:v>34.850648500452415</c:v>
                </c:pt>
                <c:pt idx="131">
                  <c:v>35.466349211119123</c:v>
                </c:pt>
                <c:pt idx="132">
                  <c:v>36.095117005303301</c:v>
                </c:pt>
                <c:pt idx="133">
                  <c:v>36.718659008295589</c:v>
                </c:pt>
                <c:pt idx="134">
                  <c:v>37.351463871524757</c:v>
                </c:pt>
                <c:pt idx="135">
                  <c:v>38.001257613883361</c:v>
                </c:pt>
                <c:pt idx="136">
                  <c:v>38.696911473019547</c:v>
                </c:pt>
                <c:pt idx="137">
                  <c:v>39.440198815992851</c:v>
                </c:pt>
                <c:pt idx="138">
                  <c:v>40.212960164417268</c:v>
                </c:pt>
                <c:pt idx="139">
                  <c:v>41.03247806005399</c:v>
                </c:pt>
                <c:pt idx="140">
                  <c:v>41.867416625464976</c:v>
                </c:pt>
                <c:pt idx="141">
                  <c:v>42.743294424524969</c:v>
                </c:pt>
                <c:pt idx="142">
                  <c:v>43.61439773589256</c:v>
                </c:pt>
                <c:pt idx="143">
                  <c:v>44.495851577503473</c:v>
                </c:pt>
                <c:pt idx="144">
                  <c:v>45.341743722188802</c:v>
                </c:pt>
                <c:pt idx="145">
                  <c:v>46.197839276678842</c:v>
                </c:pt>
                <c:pt idx="146">
                  <c:v>47.08847436856707</c:v>
                </c:pt>
                <c:pt idx="147">
                  <c:v>48.002354801422541</c:v>
                </c:pt>
                <c:pt idx="148">
                  <c:v>48.906999562687353</c:v>
                </c:pt>
                <c:pt idx="149">
                  <c:v>49.834930876143801</c:v>
                </c:pt>
                <c:pt idx="150">
                  <c:v>50.870952587237852</c:v>
                </c:pt>
                <c:pt idx="151">
                  <c:v>51.940579069761512</c:v>
                </c:pt>
                <c:pt idx="152">
                  <c:v>53.059818033067749</c:v>
                </c:pt>
                <c:pt idx="153">
                  <c:v>54.189437560717622</c:v>
                </c:pt>
                <c:pt idx="154">
                  <c:v>55.287533483232835</c:v>
                </c:pt>
                <c:pt idx="155">
                  <c:v>56.480263508996785</c:v>
                </c:pt>
                <c:pt idx="156">
                  <c:v>57.628324795096141</c:v>
                </c:pt>
                <c:pt idx="157">
                  <c:v>58.821390807458066</c:v>
                </c:pt>
                <c:pt idx="158">
                  <c:v>60.058934573929406</c:v>
                </c:pt>
                <c:pt idx="159">
                  <c:v>61.390962728041409</c:v>
                </c:pt>
                <c:pt idx="160">
                  <c:v>62.697252197089547</c:v>
                </c:pt>
                <c:pt idx="161">
                  <c:v>64.056861421978226</c:v>
                </c:pt>
                <c:pt idx="162">
                  <c:v>65.498877135179086</c:v>
                </c:pt>
                <c:pt idx="163">
                  <c:v>67.002230926499436</c:v>
                </c:pt>
                <c:pt idx="164">
                  <c:v>68.509807065833002</c:v>
                </c:pt>
                <c:pt idx="165">
                  <c:v>69.995844985460749</c:v>
                </c:pt>
                <c:pt idx="166">
                  <c:v>71.485440627950467</c:v>
                </c:pt>
                <c:pt idx="167">
                  <c:v>72.984057580596286</c:v>
                </c:pt>
                <c:pt idx="168">
                  <c:v>74.482446157713653</c:v>
                </c:pt>
                <c:pt idx="169">
                  <c:v>76.034148927645916</c:v>
                </c:pt>
                <c:pt idx="170">
                  <c:v>77.635945160245299</c:v>
                </c:pt>
                <c:pt idx="171">
                  <c:v>79.358391177550061</c:v>
                </c:pt>
                <c:pt idx="172">
                  <c:v>81.037034326394803</c:v>
                </c:pt>
                <c:pt idx="173">
                  <c:v>82.717297343881825</c:v>
                </c:pt>
                <c:pt idx="174">
                  <c:v>84.507823139638845</c:v>
                </c:pt>
                <c:pt idx="175">
                  <c:v>86.397600569004808</c:v>
                </c:pt>
                <c:pt idx="176">
                  <c:v>88.394065563738707</c:v>
                </c:pt>
                <c:pt idx="177">
                  <c:v>90.390653950900074</c:v>
                </c:pt>
                <c:pt idx="178">
                  <c:v>92.351395028287115</c:v>
                </c:pt>
                <c:pt idx="179">
                  <c:v>94.315865342130465</c:v>
                </c:pt>
                <c:pt idx="180">
                  <c:v>96.378514472311025</c:v>
                </c:pt>
                <c:pt idx="181">
                  <c:v>98.36568445176357</c:v>
                </c:pt>
                <c:pt idx="182">
                  <c:v>100.38161355777969</c:v>
                </c:pt>
                <c:pt idx="183">
                  <c:v>102.44932432725265</c:v>
                </c:pt>
                <c:pt idx="184">
                  <c:v>104.47468350352786</c:v>
                </c:pt>
                <c:pt idx="185">
                  <c:v>106.70937700109857</c:v>
                </c:pt>
                <c:pt idx="186">
                  <c:v>109.02174071192127</c:v>
                </c:pt>
                <c:pt idx="187">
                  <c:v>111.15887470986787</c:v>
                </c:pt>
                <c:pt idx="188">
                  <c:v>113.38677511500163</c:v>
                </c:pt>
                <c:pt idx="189">
                  <c:v>115.77209769272666</c:v>
                </c:pt>
                <c:pt idx="190">
                  <c:v>118.15419666530916</c:v>
                </c:pt>
                <c:pt idx="191">
                  <c:v>120.46196660419476</c:v>
                </c:pt>
                <c:pt idx="192">
                  <c:v>122.70372022456043</c:v>
                </c:pt>
                <c:pt idx="193">
                  <c:v>124.97265677166874</c:v>
                </c:pt>
                <c:pt idx="194">
                  <c:v>127.42072002576568</c:v>
                </c:pt>
                <c:pt idx="195">
                  <c:v>129.74245493198413</c:v>
                </c:pt>
                <c:pt idx="196">
                  <c:v>132.00329375840045</c:v>
                </c:pt>
                <c:pt idx="197">
                  <c:v>134.23859091609319</c:v>
                </c:pt>
                <c:pt idx="198">
                  <c:v>136.61363565614994</c:v>
                </c:pt>
                <c:pt idx="199">
                  <c:v>139.07672069570648</c:v>
                </c:pt>
                <c:pt idx="200">
                  <c:v>141.65325710567407</c:v>
                </c:pt>
                <c:pt idx="201">
                  <c:v>144.06471329081361</c:v>
                </c:pt>
                <c:pt idx="202">
                  <c:v>146.61029289270937</c:v>
                </c:pt>
                <c:pt idx="203">
                  <c:v>149.24267637471431</c:v>
                </c:pt>
                <c:pt idx="204">
                  <c:v>152.09679983677546</c:v>
                </c:pt>
                <c:pt idx="205">
                  <c:v>154.78516083420845</c:v>
                </c:pt>
                <c:pt idx="206">
                  <c:v>157.4771646833897</c:v>
                </c:pt>
                <c:pt idx="207">
                  <c:v>160.28961248574143</c:v>
                </c:pt>
                <c:pt idx="208">
                  <c:v>163.04111537968168</c:v>
                </c:pt>
                <c:pt idx="209">
                  <c:v>165.64402848592408</c:v>
                </c:pt>
                <c:pt idx="210">
                  <c:v>168.25564526724861</c:v>
                </c:pt>
                <c:pt idx="211">
                  <c:v>170.82574750064052</c:v>
                </c:pt>
                <c:pt idx="212">
                  <c:v>173.44412286814267</c:v>
                </c:pt>
                <c:pt idx="213">
                  <c:v>176.14789259984525</c:v>
                </c:pt>
                <c:pt idx="214">
                  <c:v>178.72610046357423</c:v>
                </c:pt>
                <c:pt idx="215">
                  <c:v>181.3744102076916</c:v>
                </c:pt>
                <c:pt idx="216">
                  <c:v>184.07565056025962</c:v>
                </c:pt>
                <c:pt idx="217">
                  <c:v>186.65648616874356</c:v>
                </c:pt>
                <c:pt idx="218">
                  <c:v>189.31097981726569</c:v>
                </c:pt>
                <c:pt idx="219">
                  <c:v>191.96773502268979</c:v>
                </c:pt>
                <c:pt idx="220">
                  <c:v>194.58982512664596</c:v>
                </c:pt>
                <c:pt idx="221">
                  <c:v>197.12336983442813</c:v>
                </c:pt>
                <c:pt idx="222">
                  <c:v>199.61599070842368</c:v>
                </c:pt>
                <c:pt idx="223">
                  <c:v>202.16994625375867</c:v>
                </c:pt>
                <c:pt idx="224">
                  <c:v>204.77555788746787</c:v>
                </c:pt>
                <c:pt idx="225">
                  <c:v>207.25034184446835</c:v>
                </c:pt>
                <c:pt idx="226">
                  <c:v>209.59960143890888</c:v>
                </c:pt>
                <c:pt idx="227">
                  <c:v>211.90909090909088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24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143.83962661801661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50.626388012632596</c:v>
                </c:pt>
                <c:pt idx="2">
                  <c:v>51.366725651340047</c:v>
                </c:pt>
                <c:pt idx="3">
                  <c:v>52.225966194795426</c:v>
                </c:pt>
                <c:pt idx="4">
                  <c:v>53.167748503895105</c:v>
                </c:pt>
                <c:pt idx="5">
                  <c:v>54.162680154343619</c:v>
                </c:pt>
                <c:pt idx="6">
                  <c:v>55.225465141339299</c:v>
                </c:pt>
                <c:pt idx="7">
                  <c:v>56.367523304616412</c:v>
                </c:pt>
                <c:pt idx="8">
                  <c:v>57.160592372168871</c:v>
                </c:pt>
                <c:pt idx="9">
                  <c:v>58.145821867974057</c:v>
                </c:pt>
                <c:pt idx="10">
                  <c:v>58.827193278480777</c:v>
                </c:pt>
                <c:pt idx="11">
                  <c:v>59.855292204709166</c:v>
                </c:pt>
                <c:pt idx="12">
                  <c:v>60.871976665966052</c:v>
                </c:pt>
                <c:pt idx="13">
                  <c:v>62.121635270834474</c:v>
                </c:pt>
                <c:pt idx="14">
                  <c:v>63.467548014194094</c:v>
                </c:pt>
                <c:pt idx="15">
                  <c:v>64.302731961739809</c:v>
                </c:pt>
                <c:pt idx="16">
                  <c:v>64.938052903794031</c:v>
                </c:pt>
                <c:pt idx="17">
                  <c:v>66.144551229632896</c:v>
                </c:pt>
                <c:pt idx="18">
                  <c:v>66.373206895292455</c:v>
                </c:pt>
                <c:pt idx="19">
                  <c:v>65.554851339455809</c:v>
                </c:pt>
                <c:pt idx="20">
                  <c:v>66.313216580758208</c:v>
                </c:pt>
                <c:pt idx="21">
                  <c:v>67.258085302335274</c:v>
                </c:pt>
                <c:pt idx="22">
                  <c:v>67.748913478908236</c:v>
                </c:pt>
                <c:pt idx="23">
                  <c:v>68.384611353993449</c:v>
                </c:pt>
                <c:pt idx="24">
                  <c:v>68.251931710250204</c:v>
                </c:pt>
                <c:pt idx="25">
                  <c:v>68.811744168231883</c:v>
                </c:pt>
                <c:pt idx="26">
                  <c:v>67.749940234176407</c:v>
                </c:pt>
                <c:pt idx="27">
                  <c:v>68.522741596585675</c:v>
                </c:pt>
                <c:pt idx="28">
                  <c:v>69.417272148050756</c:v>
                </c:pt>
                <c:pt idx="29">
                  <c:v>69.872578583561804</c:v>
                </c:pt>
                <c:pt idx="30">
                  <c:v>70.132492071829517</c:v>
                </c:pt>
                <c:pt idx="31">
                  <c:v>71.172794356267076</c:v>
                </c:pt>
                <c:pt idx="32">
                  <c:v>71.415260320457989</c:v>
                </c:pt>
                <c:pt idx="33">
                  <c:v>72.074155294816833</c:v>
                </c:pt>
                <c:pt idx="34">
                  <c:v>72.270509646727277</c:v>
                </c:pt>
                <c:pt idx="35">
                  <c:v>72.928376358371153</c:v>
                </c:pt>
                <c:pt idx="36">
                  <c:v>72.886431055749057</c:v>
                </c:pt>
                <c:pt idx="37">
                  <c:v>73.001478013410349</c:v>
                </c:pt>
                <c:pt idx="38">
                  <c:v>73.292006008876882</c:v>
                </c:pt>
                <c:pt idx="39">
                  <c:v>72.989641519195899</c:v>
                </c:pt>
                <c:pt idx="40">
                  <c:v>72.673020223290195</c:v>
                </c:pt>
                <c:pt idx="41">
                  <c:v>72.402782431886877</c:v>
                </c:pt>
                <c:pt idx="42">
                  <c:v>72.184571026670056</c:v>
                </c:pt>
                <c:pt idx="43">
                  <c:v>73.016591462233919</c:v>
                </c:pt>
                <c:pt idx="44">
                  <c:v>72.105442734195066</c:v>
                </c:pt>
                <c:pt idx="45">
                  <c:v>71.089725913355011</c:v>
                </c:pt>
                <c:pt idx="46">
                  <c:v>70.214325654497983</c:v>
                </c:pt>
                <c:pt idx="47">
                  <c:v>67.917405629576777</c:v>
                </c:pt>
                <c:pt idx="48">
                  <c:v>66.841072638444899</c:v>
                </c:pt>
                <c:pt idx="49">
                  <c:v>65.505617085750202</c:v>
                </c:pt>
                <c:pt idx="50">
                  <c:v>63.785037095411198</c:v>
                </c:pt>
                <c:pt idx="51">
                  <c:v>63.211029520250392</c:v>
                </c:pt>
                <c:pt idx="52">
                  <c:v>62.819885871689792</c:v>
                </c:pt>
                <c:pt idx="53">
                  <c:v>61.898319153804998</c:v>
                </c:pt>
                <c:pt idx="54">
                  <c:v>60.769727435975817</c:v>
                </c:pt>
                <c:pt idx="55">
                  <c:v>59.580830687239391</c:v>
                </c:pt>
                <c:pt idx="56">
                  <c:v>58.964277179864766</c:v>
                </c:pt>
                <c:pt idx="57">
                  <c:v>57.971410409778557</c:v>
                </c:pt>
                <c:pt idx="58">
                  <c:v>57.97396425585714</c:v>
                </c:pt>
                <c:pt idx="59">
                  <c:v>57.275051394682933</c:v>
                </c:pt>
                <c:pt idx="60">
                  <c:v>56.977210565156795</c:v>
                </c:pt>
                <c:pt idx="61">
                  <c:v>56.624520184827539</c:v>
                </c:pt>
                <c:pt idx="62">
                  <c:v>56.434336139286046</c:v>
                </c:pt>
                <c:pt idx="63">
                  <c:v>56.369324986796066</c:v>
                </c:pt>
                <c:pt idx="64">
                  <c:v>55.38222531136023</c:v>
                </c:pt>
                <c:pt idx="65">
                  <c:v>53.644938743826351</c:v>
                </c:pt>
                <c:pt idx="66">
                  <c:v>52.805073231161295</c:v>
                </c:pt>
                <c:pt idx="67">
                  <c:v>52.220356753866291</c:v>
                </c:pt>
                <c:pt idx="68">
                  <c:v>51.885500068307884</c:v>
                </c:pt>
                <c:pt idx="69">
                  <c:v>51.594230973847161</c:v>
                </c:pt>
                <c:pt idx="70">
                  <c:v>50.207262657003582</c:v>
                </c:pt>
                <c:pt idx="71">
                  <c:v>49.591186976521172</c:v>
                </c:pt>
                <c:pt idx="72">
                  <c:v>48.811331078179371</c:v>
                </c:pt>
                <c:pt idx="73">
                  <c:v>47.971910078097345</c:v>
                </c:pt>
                <c:pt idx="74">
                  <c:v>47.360137557192822</c:v>
                </c:pt>
                <c:pt idx="75">
                  <c:v>46.214775690524476</c:v>
                </c:pt>
                <c:pt idx="76">
                  <c:v>46.27016238067737</c:v>
                </c:pt>
                <c:pt idx="77">
                  <c:v>46.322040708115267</c:v>
                </c:pt>
                <c:pt idx="78">
                  <c:v>45.466068346786436</c:v>
                </c:pt>
                <c:pt idx="79">
                  <c:v>44.145517752859483</c:v>
                </c:pt>
                <c:pt idx="80">
                  <c:v>42.248036699785246</c:v>
                </c:pt>
                <c:pt idx="81">
                  <c:v>41.825150850983448</c:v>
                </c:pt>
                <c:pt idx="82">
                  <c:v>41.724470127062411</c:v>
                </c:pt>
                <c:pt idx="83">
                  <c:v>40.76079766145196</c:v>
                </c:pt>
                <c:pt idx="84">
                  <c:v>39.920969437305303</c:v>
                </c:pt>
                <c:pt idx="85">
                  <c:v>38.51779322826939</c:v>
                </c:pt>
                <c:pt idx="86">
                  <c:v>38.215993046544099</c:v>
                </c:pt>
                <c:pt idx="87">
                  <c:v>61.221708469677175</c:v>
                </c:pt>
                <c:pt idx="88">
                  <c:v>60.61715082817669</c:v>
                </c:pt>
                <c:pt idx="89">
                  <c:v>59.200765921837224</c:v>
                </c:pt>
                <c:pt idx="90">
                  <c:v>58.797117422832507</c:v>
                </c:pt>
                <c:pt idx="91">
                  <c:v>57.741883020327748</c:v>
                </c:pt>
                <c:pt idx="92">
                  <c:v>57.360735550009295</c:v>
                </c:pt>
                <c:pt idx="93">
                  <c:v>56.588188283033759</c:v>
                </c:pt>
                <c:pt idx="94">
                  <c:v>55.549577256448011</c:v>
                </c:pt>
                <c:pt idx="95">
                  <c:v>55.412833888820707</c:v>
                </c:pt>
                <c:pt idx="96">
                  <c:v>54.566703889132569</c:v>
                </c:pt>
                <c:pt idx="97">
                  <c:v>52.602199545533999</c:v>
                </c:pt>
                <c:pt idx="98">
                  <c:v>52.324827796633507</c:v>
                </c:pt>
                <c:pt idx="99">
                  <c:v>51.314013881005984</c:v>
                </c:pt>
                <c:pt idx="100">
                  <c:v>49.684693680805431</c:v>
                </c:pt>
                <c:pt idx="101">
                  <c:v>48.476432372514346</c:v>
                </c:pt>
                <c:pt idx="102">
                  <c:v>46.496732105437054</c:v>
                </c:pt>
                <c:pt idx="103">
                  <c:v>44.575303085411988</c:v>
                </c:pt>
                <c:pt idx="104">
                  <c:v>43.778890179607757</c:v>
                </c:pt>
                <c:pt idx="105">
                  <c:v>43.429135044729883</c:v>
                </c:pt>
                <c:pt idx="106">
                  <c:v>42.507372775226983</c:v>
                </c:pt>
                <c:pt idx="107">
                  <c:v>41.365088353518409</c:v>
                </c:pt>
                <c:pt idx="108">
                  <c:v>39.560120409194781</c:v>
                </c:pt>
                <c:pt idx="109">
                  <c:v>38.830369295256446</c:v>
                </c:pt>
                <c:pt idx="110">
                  <c:v>37.955336234885102</c:v>
                </c:pt>
                <c:pt idx="111">
                  <c:v>37.449310942850026</c:v>
                </c:pt>
                <c:pt idx="112">
                  <c:v>36.496139082292629</c:v>
                </c:pt>
                <c:pt idx="113">
                  <c:v>36.006685490053115</c:v>
                </c:pt>
                <c:pt idx="114">
                  <c:v>34.970191068337648</c:v>
                </c:pt>
                <c:pt idx="115">
                  <c:v>34.630573075665758</c:v>
                </c:pt>
                <c:pt idx="116">
                  <c:v>33.906181721211922</c:v>
                </c:pt>
                <c:pt idx="117">
                  <c:v>33.302729207561363</c:v>
                </c:pt>
                <c:pt idx="118">
                  <c:v>32.253658024058204</c:v>
                </c:pt>
                <c:pt idx="119">
                  <c:v>31.780061536086297</c:v>
                </c:pt>
                <c:pt idx="120">
                  <c:v>30.913559820552088</c:v>
                </c:pt>
                <c:pt idx="121">
                  <c:v>47.665935756995495</c:v>
                </c:pt>
                <c:pt idx="122">
                  <c:v>46.699434832130144</c:v>
                </c:pt>
                <c:pt idx="123">
                  <c:v>46.022813675024068</c:v>
                </c:pt>
                <c:pt idx="124">
                  <c:v>45.71211884018291</c:v>
                </c:pt>
                <c:pt idx="125">
                  <c:v>44.657095197903899</c:v>
                </c:pt>
                <c:pt idx="126">
                  <c:v>43.682394042046376</c:v>
                </c:pt>
                <c:pt idx="127">
                  <c:v>42.347087828807986</c:v>
                </c:pt>
                <c:pt idx="128">
                  <c:v>41.566342937727534</c:v>
                </c:pt>
                <c:pt idx="129">
                  <c:v>40.623281693956116</c:v>
                </c:pt>
                <c:pt idx="130">
                  <c:v>39.525028969654393</c:v>
                </c:pt>
                <c:pt idx="131">
                  <c:v>38.466777186320257</c:v>
                </c:pt>
                <c:pt idx="132">
                  <c:v>37.60928467779074</c:v>
                </c:pt>
                <c:pt idx="133">
                  <c:v>36.581867342616292</c:v>
                </c:pt>
                <c:pt idx="134">
                  <c:v>35.886504308190744</c:v>
                </c:pt>
                <c:pt idx="135">
                  <c:v>35.261932569348886</c:v>
                </c:pt>
                <c:pt idx="136">
                  <c:v>34.305793155336758</c:v>
                </c:pt>
                <c:pt idx="137">
                  <c:v>33.526188964135564</c:v>
                </c:pt>
                <c:pt idx="138">
                  <c:v>32.768492712652652</c:v>
                </c:pt>
                <c:pt idx="139">
                  <c:v>32.164467915791121</c:v>
                </c:pt>
                <c:pt idx="140">
                  <c:v>31.543467723108311</c:v>
                </c:pt>
                <c:pt idx="141">
                  <c:v>30.050704376782477</c:v>
                </c:pt>
                <c:pt idx="142">
                  <c:v>29.155130728167389</c:v>
                </c:pt>
                <c:pt idx="143">
                  <c:v>28.589174603533824</c:v>
                </c:pt>
                <c:pt idx="144">
                  <c:v>28.164184614191011</c:v>
                </c:pt>
                <c:pt idx="145">
                  <c:v>27.74002523576436</c:v>
                </c:pt>
                <c:pt idx="146">
                  <c:v>27.110611355961936</c:v>
                </c:pt>
                <c:pt idx="147">
                  <c:v>26.176631648681859</c:v>
                </c:pt>
                <c:pt idx="148">
                  <c:v>25.580021225175894</c:v>
                </c:pt>
                <c:pt idx="149">
                  <c:v>24.999511737937528</c:v>
                </c:pt>
                <c:pt idx="150">
                  <c:v>24.449952110577073</c:v>
                </c:pt>
                <c:pt idx="151">
                  <c:v>23.609018190665221</c:v>
                </c:pt>
                <c:pt idx="152">
                  <c:v>22.429910094447362</c:v>
                </c:pt>
                <c:pt idx="153">
                  <c:v>21.555779751529066</c:v>
                </c:pt>
                <c:pt idx="154">
                  <c:v>20.879099059246563</c:v>
                </c:pt>
                <c:pt idx="155">
                  <c:v>19.925406224587444</c:v>
                </c:pt>
                <c:pt idx="156">
                  <c:v>19.087337823198101</c:v>
                </c:pt>
                <c:pt idx="157">
                  <c:v>18.404180007480964</c:v>
                </c:pt>
                <c:pt idx="158">
                  <c:v>17.667628801504524</c:v>
                </c:pt>
                <c:pt idx="159">
                  <c:v>16.692818180405428</c:v>
                </c:pt>
                <c:pt idx="160">
                  <c:v>15.59478041099451</c:v>
                </c:pt>
                <c:pt idx="161">
                  <c:v>14.64946813934548</c:v>
                </c:pt>
                <c:pt idx="162">
                  <c:v>156.55637190353053</c:v>
                </c:pt>
                <c:pt idx="163">
                  <c:v>154.184791041278</c:v>
                </c:pt>
                <c:pt idx="164">
                  <c:v>152.88068918255865</c:v>
                </c:pt>
                <c:pt idx="165">
                  <c:v>151.81371342016214</c:v>
                </c:pt>
                <c:pt idx="166">
                  <c:v>149.49881096301149</c:v>
                </c:pt>
                <c:pt idx="167">
                  <c:v>148.518264038463</c:v>
                </c:pt>
                <c:pt idx="168">
                  <c:v>147.3772926928053</c:v>
                </c:pt>
                <c:pt idx="169">
                  <c:v>144.57531339617546</c:v>
                </c:pt>
                <c:pt idx="170">
                  <c:v>142.56649072100925</c:v>
                </c:pt>
                <c:pt idx="171">
                  <c:v>139.40004550480009</c:v>
                </c:pt>
                <c:pt idx="172">
                  <c:v>137.48945511982751</c:v>
                </c:pt>
                <c:pt idx="173">
                  <c:v>134.63173033253881</c:v>
                </c:pt>
                <c:pt idx="174">
                  <c:v>133.21866441243719</c:v>
                </c:pt>
                <c:pt idx="175">
                  <c:v>130.24116914531868</c:v>
                </c:pt>
                <c:pt idx="176">
                  <c:v>127.8967412970636</c:v>
                </c:pt>
                <c:pt idx="177">
                  <c:v>124.01255107994747</c:v>
                </c:pt>
                <c:pt idx="178">
                  <c:v>118.86523545032665</c:v>
                </c:pt>
                <c:pt idx="179">
                  <c:v>115.97210932338916</c:v>
                </c:pt>
                <c:pt idx="180">
                  <c:v>112.70455330636635</c:v>
                </c:pt>
                <c:pt idx="181">
                  <c:v>111.27710505910515</c:v>
                </c:pt>
                <c:pt idx="182">
                  <c:v>109.22055357889026</c:v>
                </c:pt>
                <c:pt idx="183">
                  <c:v>107.7194659424425</c:v>
                </c:pt>
                <c:pt idx="184">
                  <c:v>106.24854749698201</c:v>
                </c:pt>
                <c:pt idx="185">
                  <c:v>103.89150018588379</c:v>
                </c:pt>
                <c:pt idx="186">
                  <c:v>101.09866764894396</c:v>
                </c:pt>
                <c:pt idx="187">
                  <c:v>98.348558178808901</c:v>
                </c:pt>
                <c:pt idx="188">
                  <c:v>96.697517985210382</c:v>
                </c:pt>
                <c:pt idx="189">
                  <c:v>93.627430158687289</c:v>
                </c:pt>
                <c:pt idx="190">
                  <c:v>90.587845562096433</c:v>
                </c:pt>
                <c:pt idx="191">
                  <c:v>87.168271219718577</c:v>
                </c:pt>
                <c:pt idx="192">
                  <c:v>83.869860565647869</c:v>
                </c:pt>
                <c:pt idx="193">
                  <c:v>82.106037179606147</c:v>
                </c:pt>
                <c:pt idx="194">
                  <c:v>80.149270307135225</c:v>
                </c:pt>
                <c:pt idx="195">
                  <c:v>78.032897244791215</c:v>
                </c:pt>
                <c:pt idx="196">
                  <c:v>76.332651600435213</c:v>
                </c:pt>
                <c:pt idx="197">
                  <c:v>74.644912244753243</c:v>
                </c:pt>
                <c:pt idx="198">
                  <c:v>72.839886629325946</c:v>
                </c:pt>
                <c:pt idx="199">
                  <c:v>70.966834317115371</c:v>
                </c:pt>
                <c:pt idx="200">
                  <c:v>69.000565403809986</c:v>
                </c:pt>
                <c:pt idx="201">
                  <c:v>67.168844239535929</c:v>
                </c:pt>
                <c:pt idx="202">
                  <c:v>65.218787411841831</c:v>
                </c:pt>
                <c:pt idx="203">
                  <c:v>63.163008494947462</c:v>
                </c:pt>
                <c:pt idx="204">
                  <c:v>60.925634988466612</c:v>
                </c:pt>
                <c:pt idx="205">
                  <c:v>58.842273416143179</c:v>
                </c:pt>
                <c:pt idx="206">
                  <c:v>56.746922503504386</c:v>
                </c:pt>
                <c:pt idx="207">
                  <c:v>54.534995927348859</c:v>
                </c:pt>
                <c:pt idx="208">
                  <c:v>52.34746085730032</c:v>
                </c:pt>
                <c:pt idx="209">
                  <c:v>50.266043185331071</c:v>
                </c:pt>
                <c:pt idx="210">
                  <c:v>48.145393923725997</c:v>
                </c:pt>
                <c:pt idx="211">
                  <c:v>46.052884283050247</c:v>
                </c:pt>
                <c:pt idx="212">
                  <c:v>43.919643069210117</c:v>
                </c:pt>
                <c:pt idx="213">
                  <c:v>41.750265645843996</c:v>
                </c:pt>
                <c:pt idx="214">
                  <c:v>39.696963493031795</c:v>
                </c:pt>
                <c:pt idx="215">
                  <c:v>37.599270017530358</c:v>
                </c:pt>
                <c:pt idx="216">
                  <c:v>35.460253188637864</c:v>
                </c:pt>
                <c:pt idx="217">
                  <c:v>33.424791375297097</c:v>
                </c:pt>
                <c:pt idx="218">
                  <c:v>31.319652844828362</c:v>
                </c:pt>
                <c:pt idx="219">
                  <c:v>29.192519877683861</c:v>
                </c:pt>
                <c:pt idx="220">
                  <c:v>27.100990557828869</c:v>
                </c:pt>
                <c:pt idx="221">
                  <c:v>25.079181810506011</c:v>
                </c:pt>
                <c:pt idx="222">
                  <c:v>23.089249748206971</c:v>
                </c:pt>
                <c:pt idx="223">
                  <c:v>21.032519045998637</c:v>
                </c:pt>
                <c:pt idx="224">
                  <c:v>18.947040532140292</c:v>
                </c:pt>
                <c:pt idx="225">
                  <c:v>16.957945667807984</c:v>
                </c:pt>
                <c:pt idx="226">
                  <c:v>15.062298325732304</c:v>
                </c:pt>
                <c:pt idx="227">
                  <c:v>13.182322969874184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-0.37133825804668619</c:v>
                </c:pt>
                <c:pt idx="9">
                  <c:v>-0.57592540906363188</c:v>
                </c:pt>
                <c:pt idx="10">
                  <c:v>-1.1679012762400505</c:v>
                </c:pt>
                <c:pt idx="11">
                  <c:v>-1.4206236211043757</c:v>
                </c:pt>
                <c:pt idx="12">
                  <c:v>-1.7119073020392945</c:v>
                </c:pt>
                <c:pt idx="13">
                  <c:v>-1.7687370943055776</c:v>
                </c:pt>
                <c:pt idx="14">
                  <c:v>-1.7687370943055776</c:v>
                </c:pt>
                <c:pt idx="15">
                  <c:v>-2.2779379777421562</c:v>
                </c:pt>
                <c:pt idx="16">
                  <c:v>-2.8765706209923176</c:v>
                </c:pt>
                <c:pt idx="17">
                  <c:v>-2.8951890872643622</c:v>
                </c:pt>
                <c:pt idx="18">
                  <c:v>-3.876037589161466</c:v>
                </c:pt>
                <c:pt idx="19">
                  <c:v>-5.9288756190692382</c:v>
                </c:pt>
                <c:pt idx="20">
                  <c:v>-6.4235230938605214</c:v>
                </c:pt>
                <c:pt idx="21">
                  <c:v>-6.7642973927256866</c:v>
                </c:pt>
                <c:pt idx="22">
                  <c:v>-7.5747751354548498</c:v>
                </c:pt>
                <c:pt idx="23">
                  <c:v>-8.1474329364599569</c:v>
                </c:pt>
                <c:pt idx="24">
                  <c:v>-9.4442196389547117</c:v>
                </c:pt>
                <c:pt idx="25">
                  <c:v>-10.04466582140047</c:v>
                </c:pt>
                <c:pt idx="26">
                  <c:v>-12.247291656124915</c:v>
                </c:pt>
                <c:pt idx="27">
                  <c:v>-12.594473546880952</c:v>
                </c:pt>
                <c:pt idx="28">
                  <c:v>-12.784985393776157</c:v>
                </c:pt>
                <c:pt idx="29">
                  <c:v>-13.409439216450728</c:v>
                </c:pt>
                <c:pt idx="30">
                  <c:v>-14.228690623837954</c:v>
                </c:pt>
                <c:pt idx="31">
                  <c:v>-14.228690623837954</c:v>
                </c:pt>
                <c:pt idx="32">
                  <c:v>-14.993246310492138</c:v>
                </c:pt>
                <c:pt idx="33">
                  <c:v>-15.297559410625807</c:v>
                </c:pt>
                <c:pt idx="34">
                  <c:v>-16.060414790230151</c:v>
                </c:pt>
                <c:pt idx="35">
                  <c:v>-16.368334601521052</c:v>
                </c:pt>
                <c:pt idx="36">
                  <c:v>-17.383885540897825</c:v>
                </c:pt>
                <c:pt idx="37">
                  <c:v>-18.221239531296092</c:v>
                </c:pt>
                <c:pt idx="38">
                  <c:v>-18.845307389867973</c:v>
                </c:pt>
                <c:pt idx="39">
                  <c:v>-20.04206717877716</c:v>
                </c:pt>
                <c:pt idx="40">
                  <c:v>-21.238749578454005</c:v>
                </c:pt>
                <c:pt idx="41">
                  <c:v>-22.349461892649838</c:v>
                </c:pt>
                <c:pt idx="42">
                  <c:v>-23.385711512277148</c:v>
                </c:pt>
                <c:pt idx="43">
                  <c:v>-23.385711512277148</c:v>
                </c:pt>
                <c:pt idx="44">
                  <c:v>-25.110735421248606</c:v>
                </c:pt>
                <c:pt idx="45">
                  <c:v>-26.94169080643924</c:v>
                </c:pt>
                <c:pt idx="46">
                  <c:v>-28.587046504276312</c:v>
                </c:pt>
                <c:pt idx="47">
                  <c:v>-31.626727725120034</c:v>
                </c:pt>
                <c:pt idx="48">
                  <c:v>-33.428218412490267</c:v>
                </c:pt>
                <c:pt idx="49">
                  <c:v>-35.48873398993203</c:v>
                </c:pt>
                <c:pt idx="50">
                  <c:v>-37.939496859664601</c:v>
                </c:pt>
                <c:pt idx="51">
                  <c:v>-39.198332806814179</c:v>
                </c:pt>
                <c:pt idx="52">
                  <c:v>-40.228346268865927</c:v>
                </c:pt>
                <c:pt idx="53">
                  <c:v>-41.761590559609068</c:v>
                </c:pt>
                <c:pt idx="54">
                  <c:v>-43.50208056798833</c:v>
                </c:pt>
                <c:pt idx="55">
                  <c:v>-45.279796019900928</c:v>
                </c:pt>
                <c:pt idx="56">
                  <c:v>-46.474805370746189</c:v>
                </c:pt>
                <c:pt idx="57">
                  <c:v>-48.029083296510585</c:v>
                </c:pt>
                <c:pt idx="58">
                  <c:v>-48.559437710258614</c:v>
                </c:pt>
                <c:pt idx="59">
                  <c:v>-49.784699550464872</c:v>
                </c:pt>
                <c:pt idx="60">
                  <c:v>-50.602639062133569</c:v>
                </c:pt>
                <c:pt idx="61">
                  <c:v>-51.463331768942943</c:v>
                </c:pt>
                <c:pt idx="62">
                  <c:v>-52.154338862559534</c:v>
                </c:pt>
                <c:pt idx="63">
                  <c:v>-52.717614561872033</c:v>
                </c:pt>
                <c:pt idx="64">
                  <c:v>-54.2024735582755</c:v>
                </c:pt>
                <c:pt idx="65">
                  <c:v>-56.425956926727949</c:v>
                </c:pt>
                <c:pt idx="66">
                  <c:v>-57.741389973219768</c:v>
                </c:pt>
                <c:pt idx="67">
                  <c:v>-58.785023473382218</c:v>
                </c:pt>
                <c:pt idx="68">
                  <c:v>-59.56272946885052</c:v>
                </c:pt>
                <c:pt idx="69">
                  <c:v>-60.274347676800915</c:v>
                </c:pt>
                <c:pt idx="70">
                  <c:v>-62.07269744404492</c:v>
                </c:pt>
                <c:pt idx="71">
                  <c:v>-63.081235250297063</c:v>
                </c:pt>
                <c:pt idx="72">
                  <c:v>-64.245656670573183</c:v>
                </c:pt>
                <c:pt idx="73">
                  <c:v>-65.46769666137746</c:v>
                </c:pt>
                <c:pt idx="74">
                  <c:v>-66.447525285060721</c:v>
                </c:pt>
                <c:pt idx="75">
                  <c:v>-67.953271143392357</c:v>
                </c:pt>
                <c:pt idx="76">
                  <c:v>-68.249571553600475</c:v>
                </c:pt>
                <c:pt idx="77">
                  <c:v>-68.536425079763319</c:v>
                </c:pt>
                <c:pt idx="78">
                  <c:v>-69.72022678523706</c:v>
                </c:pt>
                <c:pt idx="79">
                  <c:v>-71.360478022632194</c:v>
                </c:pt>
                <c:pt idx="80">
                  <c:v>-73.569424445190961</c:v>
                </c:pt>
                <c:pt idx="81">
                  <c:v>-74.293464278811314</c:v>
                </c:pt>
                <c:pt idx="82">
                  <c:v>-74.686910578602053</c:v>
                </c:pt>
                <c:pt idx="83">
                  <c:v>-75.934643884794269</c:v>
                </c:pt>
                <c:pt idx="84">
                  <c:v>-77.049917486518694</c:v>
                </c:pt>
                <c:pt idx="85">
                  <c:v>-78.719592493717457</c:v>
                </c:pt>
                <c:pt idx="86">
                  <c:v>-79.281650672931633</c:v>
                </c:pt>
                <c:pt idx="87">
                  <c:v>-80.532126326899942</c:v>
                </c:pt>
                <c:pt idx="88">
                  <c:v>-81.385256597815015</c:v>
                </c:pt>
                <c:pt idx="89">
                  <c:v>-83.039150587994342</c:v>
                </c:pt>
                <c:pt idx="90">
                  <c:v>-83.66806197731708</c:v>
                </c:pt>
                <c:pt idx="91">
                  <c:v>-84.939880415546298</c:v>
                </c:pt>
                <c:pt idx="92">
                  <c:v>-85.529208861530478</c:v>
                </c:pt>
                <c:pt idx="93">
                  <c:v>-86.504831144706486</c:v>
                </c:pt>
                <c:pt idx="94">
                  <c:v>-87.736180107224413</c:v>
                </c:pt>
                <c:pt idx="95">
                  <c:v>-88.067630946966801</c:v>
                </c:pt>
                <c:pt idx="96">
                  <c:v>-89.108238200022896</c:v>
                </c:pt>
                <c:pt idx="97">
                  <c:v>-91.255187233325799</c:v>
                </c:pt>
                <c:pt idx="98">
                  <c:v>-91.704405569742818</c:v>
                </c:pt>
                <c:pt idx="99">
                  <c:v>-92.888809030877738</c:v>
                </c:pt>
                <c:pt idx="100">
                  <c:v>-94.664944821274531</c:v>
                </c:pt>
                <c:pt idx="101">
                  <c:v>-95.998764880887165</c:v>
                </c:pt>
                <c:pt idx="102">
                  <c:v>-98.099383911339473</c:v>
                </c:pt>
                <c:pt idx="103">
                  <c:v>-100.14142807379673</c:v>
                </c:pt>
                <c:pt idx="104">
                  <c:v>-101.05332614183419</c:v>
                </c:pt>
                <c:pt idx="105">
                  <c:v>-101.49646416793875</c:v>
                </c:pt>
                <c:pt idx="106">
                  <c:v>-102.51648367983022</c:v>
                </c:pt>
                <c:pt idx="107">
                  <c:v>-103.73031921695957</c:v>
                </c:pt>
                <c:pt idx="108">
                  <c:v>-105.60107335542105</c:v>
                </c:pt>
                <c:pt idx="109">
                  <c:v>-106.38530299900266</c:v>
                </c:pt>
                <c:pt idx="110">
                  <c:v>-107.3254707350727</c:v>
                </c:pt>
                <c:pt idx="111">
                  <c:v>-107.89206493952285</c:v>
                </c:pt>
                <c:pt idx="112">
                  <c:v>-108.88083996688201</c:v>
                </c:pt>
                <c:pt idx="113">
                  <c:v>-109.3926683332184</c:v>
                </c:pt>
                <c:pt idx="114">
                  <c:v>-110.43361435401924</c:v>
                </c:pt>
                <c:pt idx="115">
                  <c:v>-110.76747873074501</c:v>
                </c:pt>
                <c:pt idx="116">
                  <c:v>-111.47134594758721</c:v>
                </c:pt>
                <c:pt idx="117">
                  <c:v>-112.04082261703651</c:v>
                </c:pt>
                <c:pt idx="118">
                  <c:v>-113.02814292655074</c:v>
                </c:pt>
                <c:pt idx="119">
                  <c:v>-113.4306903726745</c:v>
                </c:pt>
                <c:pt idx="120">
                  <c:v>-114.21818468543657</c:v>
                </c:pt>
                <c:pt idx="121">
                  <c:v>-115.39017427149533</c:v>
                </c:pt>
                <c:pt idx="122">
                  <c:v>-116.27417727678058</c:v>
                </c:pt>
                <c:pt idx="123">
                  <c:v>-116.85065563177662</c:v>
                </c:pt>
                <c:pt idx="124">
                  <c:v>-117.0500959132349</c:v>
                </c:pt>
                <c:pt idx="125">
                  <c:v>-117.97400159388486</c:v>
                </c:pt>
                <c:pt idx="126">
                  <c:v>-118.81933681192076</c:v>
                </c:pt>
                <c:pt idx="127">
                  <c:v>-119.9964290124956</c:v>
                </c:pt>
                <c:pt idx="128">
                  <c:v>-120.62531238620159</c:v>
                </c:pt>
                <c:pt idx="129">
                  <c:v>-121.38857871225136</c:v>
                </c:pt>
                <c:pt idx="130">
                  <c:v>-122.30365632739695</c:v>
                </c:pt>
                <c:pt idx="131">
                  <c:v>-123.20776806082061</c:v>
                </c:pt>
                <c:pt idx="132">
                  <c:v>-123.89852525606936</c:v>
                </c:pt>
                <c:pt idx="133">
                  <c:v>-124.75833462701841</c:v>
                </c:pt>
                <c:pt idx="134">
                  <c:v>-125.2760306799088</c:v>
                </c:pt>
                <c:pt idx="135">
                  <c:v>-125.70779345425794</c:v>
                </c:pt>
                <c:pt idx="136">
                  <c:v>-126.43685508805542</c:v>
                </c:pt>
                <c:pt idx="137">
                  <c:v>-126.95353091131382</c:v>
                </c:pt>
                <c:pt idx="138">
                  <c:v>-127.42394082892213</c:v>
                </c:pt>
                <c:pt idx="139">
                  <c:v>-127.70460559340214</c:v>
                </c:pt>
                <c:pt idx="140">
                  <c:v>-127.98651073272013</c:v>
                </c:pt>
                <c:pt idx="141">
                  <c:v>-129.10729070706901</c:v>
                </c:pt>
                <c:pt idx="142">
                  <c:v>-129.62841167334358</c:v>
                </c:pt>
                <c:pt idx="143">
                  <c:v>-129.80746461502719</c:v>
                </c:pt>
                <c:pt idx="144">
                  <c:v>-129.86494041399911</c:v>
                </c:pt>
                <c:pt idx="145">
                  <c:v>-129.90983815854736</c:v>
                </c:pt>
                <c:pt idx="146">
                  <c:v>-130.13114107494937</c:v>
                </c:pt>
                <c:pt idx="147">
                  <c:v>-130.63586531333098</c:v>
                </c:pt>
                <c:pt idx="148">
                  <c:v>-130.80507241669454</c:v>
                </c:pt>
                <c:pt idx="149">
                  <c:v>-130.93701428420033</c:v>
                </c:pt>
                <c:pt idx="150">
                  <c:v>-130.95594035824149</c:v>
                </c:pt>
                <c:pt idx="151">
                  <c:v>-131.23671279309417</c:v>
                </c:pt>
                <c:pt idx="152">
                  <c:v>-131.81440758863783</c:v>
                </c:pt>
                <c:pt idx="153">
                  <c:v>-132.07379547164791</c:v>
                </c:pt>
                <c:pt idx="154">
                  <c:v>-132.15313604807304</c:v>
                </c:pt>
                <c:pt idx="155">
                  <c:v>-132.43496984944971</c:v>
                </c:pt>
                <c:pt idx="156">
                  <c:v>-132.62838820605813</c:v>
                </c:pt>
                <c:pt idx="157">
                  <c:v>-132.62838820605813</c:v>
                </c:pt>
                <c:pt idx="158">
                  <c:v>-132.64338918761163</c:v>
                </c:pt>
                <c:pt idx="159">
                  <c:v>-132.82076583709156</c:v>
                </c:pt>
                <c:pt idx="160">
                  <c:v>-133.13462523247432</c:v>
                </c:pt>
                <c:pt idx="161">
                  <c:v>-133.25008474432812</c:v>
                </c:pt>
                <c:pt idx="162">
                  <c:v>-134.28507838865178</c:v>
                </c:pt>
                <c:pt idx="163">
                  <c:v>-135.70643374013972</c:v>
                </c:pt>
                <c:pt idx="164">
                  <c:v>-136.05069840318785</c:v>
                </c:pt>
                <c:pt idx="165">
                  <c:v>-136.1682134628353</c:v>
                </c:pt>
                <c:pt idx="166">
                  <c:v>-137.52533044679953</c:v>
                </c:pt>
                <c:pt idx="167">
                  <c:v>-137.53578173204667</c:v>
                </c:pt>
                <c:pt idx="168">
                  <c:v>-137.70171764678227</c:v>
                </c:pt>
                <c:pt idx="169">
                  <c:v>-139.48213585804999</c:v>
                </c:pt>
                <c:pt idx="170">
                  <c:v>-140.42518679296748</c:v>
                </c:pt>
                <c:pt idx="171">
                  <c:v>-142.42635189065862</c:v>
                </c:pt>
                <c:pt idx="172">
                  <c:v>-143.20036660096284</c:v>
                </c:pt>
                <c:pt idx="173">
                  <c:v>-144.91517593656877</c:v>
                </c:pt>
                <c:pt idx="174">
                  <c:v>-145.0932942249128</c:v>
                </c:pt>
                <c:pt idx="175">
                  <c:v>-146.75218082006373</c:v>
                </c:pt>
                <c:pt idx="176">
                  <c:v>-147.68819548970447</c:v>
                </c:pt>
                <c:pt idx="177">
                  <c:v>-150.15788247917439</c:v>
                </c:pt>
                <c:pt idx="178">
                  <c:v>-153.91358367779193</c:v>
                </c:pt>
                <c:pt idx="179">
                  <c:v>-155.40704673007869</c:v>
                </c:pt>
                <c:pt idx="180">
                  <c:v>-157.19153549076282</c:v>
                </c:pt>
                <c:pt idx="181">
                  <c:v>-157.19153549076282</c:v>
                </c:pt>
                <c:pt idx="182">
                  <c:v>-157.79308280465301</c:v>
                </c:pt>
                <c:pt idx="183">
                  <c:v>-157.79308280465301</c:v>
                </c:pt>
                <c:pt idx="184">
                  <c:v>-157.79308280465301</c:v>
                </c:pt>
                <c:pt idx="185">
                  <c:v>-158.50580599920366</c:v>
                </c:pt>
                <c:pt idx="186">
                  <c:v>-159.58718730353755</c:v>
                </c:pt>
                <c:pt idx="187">
                  <c:v>-160.76372746249146</c:v>
                </c:pt>
                <c:pt idx="188">
                  <c:v>-160.76372746249146</c:v>
                </c:pt>
                <c:pt idx="189">
                  <c:v>-162.0512169886253</c:v>
                </c:pt>
                <c:pt idx="190">
                  <c:v>-163.30703293654724</c:v>
                </c:pt>
                <c:pt idx="191">
                  <c:v>-165.00003447090356</c:v>
                </c:pt>
                <c:pt idx="192">
                  <c:v>-166.62307158740543</c:v>
                </c:pt>
                <c:pt idx="193">
                  <c:v>-166.68662774211114</c:v>
                </c:pt>
                <c:pt idx="194">
                  <c:v>-166.79379028500327</c:v>
                </c:pt>
                <c:pt idx="195">
                  <c:v>-167.16170094497593</c:v>
                </c:pt>
                <c:pt idx="196">
                  <c:v>-167.16170094497593</c:v>
                </c:pt>
                <c:pt idx="197">
                  <c:v>-167.16170094497593</c:v>
                </c:pt>
                <c:pt idx="198">
                  <c:v>-167.16170094497593</c:v>
                </c:pt>
                <c:pt idx="199">
                  <c:v>-167.16170094497593</c:v>
                </c:pt>
                <c:pt idx="200">
                  <c:v>-167.16170094497593</c:v>
                </c:pt>
                <c:pt idx="201">
                  <c:v>-167.16170094497593</c:v>
                </c:pt>
                <c:pt idx="202">
                  <c:v>-167.16170094497593</c:v>
                </c:pt>
                <c:pt idx="203">
                  <c:v>-167.16170094497593</c:v>
                </c:pt>
                <c:pt idx="204">
                  <c:v>-167.16170094497593</c:v>
                </c:pt>
                <c:pt idx="205">
                  <c:v>-167.16170094497593</c:v>
                </c:pt>
                <c:pt idx="206">
                  <c:v>-167.16170094497593</c:v>
                </c:pt>
                <c:pt idx="207">
                  <c:v>-167.16170094497593</c:v>
                </c:pt>
                <c:pt idx="208">
                  <c:v>-167.16170094497593</c:v>
                </c:pt>
                <c:pt idx="209">
                  <c:v>-167.16170094497593</c:v>
                </c:pt>
                <c:pt idx="210">
                  <c:v>-167.16170094497593</c:v>
                </c:pt>
                <c:pt idx="211">
                  <c:v>-167.16170094497593</c:v>
                </c:pt>
                <c:pt idx="212">
                  <c:v>-167.16170094497593</c:v>
                </c:pt>
                <c:pt idx="213">
                  <c:v>-167.16170094497593</c:v>
                </c:pt>
                <c:pt idx="214">
                  <c:v>-167.16170094497593</c:v>
                </c:pt>
                <c:pt idx="215">
                  <c:v>-167.16170094497593</c:v>
                </c:pt>
                <c:pt idx="216">
                  <c:v>-167.16170094497593</c:v>
                </c:pt>
                <c:pt idx="217">
                  <c:v>-167.16170094497593</c:v>
                </c:pt>
                <c:pt idx="218">
                  <c:v>-167.16170094497593</c:v>
                </c:pt>
                <c:pt idx="219">
                  <c:v>-167.16170094497593</c:v>
                </c:pt>
                <c:pt idx="220">
                  <c:v>-167.16170094497593</c:v>
                </c:pt>
                <c:pt idx="221">
                  <c:v>-167.16170094497593</c:v>
                </c:pt>
                <c:pt idx="222">
                  <c:v>-167.16170094497593</c:v>
                </c:pt>
                <c:pt idx="223">
                  <c:v>-167.16170094497593</c:v>
                </c:pt>
                <c:pt idx="224">
                  <c:v>-167.16170094497593</c:v>
                </c:pt>
                <c:pt idx="225">
                  <c:v>-167.16170094497593</c:v>
                </c:pt>
                <c:pt idx="226">
                  <c:v>-167.16170094497593</c:v>
                </c:pt>
                <c:pt idx="227">
                  <c:v>-167.16170094497593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0.67824532837476781</c:v>
                </c:pt>
                <c:pt idx="1">
                  <c:v>1.3512754435924919</c:v>
                </c:pt>
                <c:pt idx="2">
                  <c:v>2.0230620540605093</c:v>
                </c:pt>
                <c:pt idx="3">
                  <c:v>2.7174255990638363</c:v>
                </c:pt>
                <c:pt idx="4">
                  <c:v>3.4104020191937048</c:v>
                </c:pt>
                <c:pt idx="5">
                  <c:v>4.0882787075714653</c:v>
                </c:pt>
                <c:pt idx="6">
                  <c:v>4.7689365513838107</c:v>
                </c:pt>
                <c:pt idx="7">
                  <c:v>5.4641669891470412</c:v>
                </c:pt>
                <c:pt idx="8">
                  <c:v>6.1420436775248017</c:v>
                </c:pt>
                <c:pt idx="9">
                  <c:v>6.8099649534671247</c:v>
                </c:pt>
                <c:pt idx="10">
                  <c:v>7.5057595823538863</c:v>
                </c:pt>
                <c:pt idx="11">
                  <c:v>8.1875318082893607</c:v>
                </c:pt>
                <c:pt idx="12">
                  <c:v>8.86986163676902</c:v>
                </c:pt>
                <c:pt idx="13">
                  <c:v>9.5394359824688095</c:v>
                </c:pt>
                <c:pt idx="14">
                  <c:v>10.221208208404283</c:v>
                </c:pt>
                <c:pt idx="15">
                  <c:v>10.894649306299488</c:v>
                </c:pt>
                <c:pt idx="16">
                  <c:v>11.528424824721958</c:v>
                </c:pt>
                <c:pt idx="17">
                  <c:v>12.170231921545245</c:v>
                </c:pt>
                <c:pt idx="18">
                  <c:v>12.801876052125477</c:v>
                </c:pt>
                <c:pt idx="19">
                  <c:v>13.448531578392522</c:v>
                </c:pt>
                <c:pt idx="20">
                  <c:v>14.107678104979142</c:v>
                </c:pt>
                <c:pt idx="21">
                  <c:v>14.788893002697563</c:v>
                </c:pt>
                <c:pt idx="22">
                  <c:v>15.483559524038419</c:v>
                </c:pt>
                <c:pt idx="23">
                  <c:v>16.128057461618397</c:v>
                </c:pt>
                <c:pt idx="24">
                  <c:v>16.751219650789835</c:v>
                </c:pt>
                <c:pt idx="25">
                  <c:v>17.378084106443357</c:v>
                </c:pt>
                <c:pt idx="26">
                  <c:v>17.999663695073963</c:v>
                </c:pt>
                <c:pt idx="27">
                  <c:v>18.615461373701983</c:v>
                </c:pt>
                <c:pt idx="28">
                  <c:v>19.216689911440874</c:v>
                </c:pt>
                <c:pt idx="29">
                  <c:v>19.822578160404962</c:v>
                </c:pt>
                <c:pt idx="30">
                  <c:v>20.436804667907378</c:v>
                </c:pt>
                <c:pt idx="31">
                  <c:v>21.034424183803061</c:v>
                </c:pt>
                <c:pt idx="32">
                  <c:v>21.618755047029484</c:v>
                </c:pt>
                <c:pt idx="33">
                  <c:v>22.182005821452385</c:v>
                </c:pt>
                <c:pt idx="34">
                  <c:v>22.751730494123585</c:v>
                </c:pt>
                <c:pt idx="35">
                  <c:v>23.336061357350008</c:v>
                </c:pt>
                <c:pt idx="36">
                  <c:v>23.936773506593767</c:v>
                </c:pt>
                <c:pt idx="37">
                  <c:v>24.533364314666681</c:v>
                </c:pt>
                <c:pt idx="38">
                  <c:v>25.11313789845217</c:v>
                </c:pt>
                <c:pt idx="39">
                  <c:v>25.688878952072077</c:v>
                </c:pt>
                <c:pt idx="40">
                  <c:v>26.26512312615522</c:v>
                </c:pt>
                <c:pt idx="41">
                  <c:v>26.821452943033055</c:v>
                </c:pt>
                <c:pt idx="42">
                  <c:v>27.370914548508448</c:v>
                </c:pt>
                <c:pt idx="43">
                  <c:v>27.944144051605246</c:v>
                </c:pt>
                <c:pt idx="44">
                  <c:v>28.514868754795469</c:v>
                </c:pt>
                <c:pt idx="45">
                  <c:v>29.1002153225662</c:v>
                </c:pt>
                <c:pt idx="46">
                  <c:v>29.659010851024171</c:v>
                </c:pt>
                <c:pt idx="47">
                  <c:v>30.206032292156099</c:v>
                </c:pt>
                <c:pt idx="48">
                  <c:v>30.749648782743055</c:v>
                </c:pt>
                <c:pt idx="49">
                  <c:v>31.306964076718589</c:v>
                </c:pt>
                <c:pt idx="50">
                  <c:v>31.884215302292542</c:v>
                </c:pt>
                <c:pt idx="51">
                  <c:v>32.430749516408689</c:v>
                </c:pt>
                <c:pt idx="52">
                  <c:v>32.942439598278398</c:v>
                </c:pt>
                <c:pt idx="53">
                  <c:v>33.43701168318433</c:v>
                </c:pt>
                <c:pt idx="54">
                  <c:v>33.945435311471016</c:v>
                </c:pt>
                <c:pt idx="55">
                  <c:v>34.440465265558188</c:v>
                </c:pt>
                <c:pt idx="56">
                  <c:v>34.93687041809315</c:v>
                </c:pt>
                <c:pt idx="57">
                  <c:v>35.425968740294017</c:v>
                </c:pt>
                <c:pt idx="58">
                  <c:v>35.890905900039371</c:v>
                </c:pt>
                <c:pt idx="59">
                  <c:v>36.360702455309955</c:v>
                </c:pt>
                <c:pt idx="60">
                  <c:v>36.836282984905729</c:v>
                </c:pt>
                <c:pt idx="61">
                  <c:v>37.309188456953621</c:v>
                </c:pt>
                <c:pt idx="62">
                  <c:v>37.787005450104843</c:v>
                </c:pt>
                <c:pt idx="63">
                  <c:v>38.277924122048546</c:v>
                </c:pt>
                <c:pt idx="64">
                  <c:v>38.786813588006986</c:v>
                </c:pt>
                <c:pt idx="65">
                  <c:v>39.296635527733088</c:v>
                </c:pt>
                <c:pt idx="66">
                  <c:v>39.809261278497871</c:v>
                </c:pt>
                <c:pt idx="67">
                  <c:v>40.313504338203344</c:v>
                </c:pt>
                <c:pt idx="68">
                  <c:v>40.808992426599673</c:v>
                </c:pt>
                <c:pt idx="69">
                  <c:v>41.278788981870257</c:v>
                </c:pt>
                <c:pt idx="70">
                  <c:v>41.751249533073526</c:v>
                </c:pt>
                <c:pt idx="71">
                  <c:v>42.19878376158708</c:v>
                </c:pt>
                <c:pt idx="72">
                  <c:v>42.649333266727751</c:v>
                </c:pt>
                <c:pt idx="73">
                  <c:v>43.123129370672622</c:v>
                </c:pt>
                <c:pt idx="74">
                  <c:v>43.581491302561446</c:v>
                </c:pt>
                <c:pt idx="75">
                  <c:v>44.046868911182322</c:v>
                </c:pt>
                <c:pt idx="76">
                  <c:v>44.51710880772923</c:v>
                </c:pt>
                <c:pt idx="77">
                  <c:v>44.972422493319421</c:v>
                </c:pt>
                <c:pt idx="78">
                  <c:v>45.416526360901216</c:v>
                </c:pt>
                <c:pt idx="79">
                  <c:v>45.865351283002042</c:v>
                </c:pt>
                <c:pt idx="80">
                  <c:v>46.321534586129133</c:v>
                </c:pt>
                <c:pt idx="81">
                  <c:v>46.761799251788069</c:v>
                </c:pt>
                <c:pt idx="82">
                  <c:v>47.206331001083555</c:v>
                </c:pt>
                <c:pt idx="83">
                  <c:v>47.645745377169028</c:v>
                </c:pt>
                <c:pt idx="84">
                  <c:v>48.089421623889081</c:v>
                </c:pt>
                <c:pt idx="85">
                  <c:v>48.536955852402635</c:v>
                </c:pt>
                <c:pt idx="86">
                  <c:v>48.95875425395414</c:v>
                </c:pt>
                <c:pt idx="87">
                  <c:v>49.360978586049214</c:v>
                </c:pt>
                <c:pt idx="88">
                  <c:v>49.76844566226913</c:v>
                </c:pt>
                <c:pt idx="89">
                  <c:v>50.195647725801706</c:v>
                </c:pt>
                <c:pt idx="90">
                  <c:v>50.644042155468739</c:v>
                </c:pt>
                <c:pt idx="91">
                  <c:v>51.090288040941111</c:v>
                </c:pt>
                <c:pt idx="92">
                  <c:v>51.533964287661163</c:v>
                </c:pt>
                <c:pt idx="93">
                  <c:v>51.964933003293297</c:v>
                </c:pt>
                <c:pt idx="94">
                  <c:v>52.402226211846013</c:v>
                </c:pt>
                <c:pt idx="95">
                  <c:v>52.812534295488959</c:v>
                </c:pt>
                <c:pt idx="96">
                  <c:v>53.208365521711642</c:v>
                </c:pt>
                <c:pt idx="97">
                  <c:v>53.615832597931558</c:v>
                </c:pt>
                <c:pt idx="98">
                  <c:v>54.030630612463526</c:v>
                </c:pt>
                <c:pt idx="99">
                  <c:v>54.428851569647122</c:v>
                </c:pt>
                <c:pt idx="100">
                  <c:v>54.864030115716538</c:v>
                </c:pt>
                <c:pt idx="101">
                  <c:v>55.323702370350269</c:v>
                </c:pt>
                <c:pt idx="102">
                  <c:v>55.772527292451095</c:v>
                </c:pt>
                <c:pt idx="103">
                  <c:v>56.205597675940176</c:v>
                </c:pt>
                <c:pt idx="104">
                  <c:v>56.63321721900261</c:v>
                </c:pt>
                <c:pt idx="105">
                  <c:v>57.081181417487116</c:v>
                </c:pt>
                <c:pt idx="106">
                  <c:v>57.508383481019692</c:v>
                </c:pt>
                <c:pt idx="107">
                  <c:v>57.960229168515696</c:v>
                </c:pt>
                <c:pt idx="108">
                  <c:v>58.406046128465405</c:v>
                </c:pt>
                <c:pt idx="109">
                  <c:v>58.853580356978959</c:v>
                </c:pt>
                <c:pt idx="110">
                  <c:v>59.277036763735765</c:v>
                </c:pt>
                <c:pt idx="111">
                  <c:v>59.696355916036147</c:v>
                </c:pt>
                <c:pt idx="112">
                  <c:v>60.133225671852458</c:v>
                </c:pt>
                <c:pt idx="113">
                  <c:v>60.573915873009881</c:v>
                </c:pt>
                <c:pt idx="114">
                  <c:v>61.022740795110707</c:v>
                </c:pt>
                <c:pt idx="115">
                  <c:v>61.47113522477774</c:v>
                </c:pt>
                <c:pt idx="116">
                  <c:v>61.923413496140313</c:v>
                </c:pt>
                <c:pt idx="117">
                  <c:v>62.377858611710401</c:v>
                </c:pt>
                <c:pt idx="118">
                  <c:v>62.847212088836585</c:v>
                </c:pt>
                <c:pt idx="119">
                  <c:v>63.313471383521112</c:v>
                </c:pt>
                <c:pt idx="120">
                  <c:v>63.775771365826586</c:v>
                </c:pt>
                <c:pt idx="121">
                  <c:v>64.225458056707296</c:v>
                </c:pt>
                <c:pt idx="122">
                  <c:v>64.671703942179676</c:v>
                </c:pt>
                <c:pt idx="123">
                  <c:v>65.122685246604036</c:v>
                </c:pt>
                <c:pt idx="124">
                  <c:v>65.573234751744707</c:v>
                </c:pt>
                <c:pt idx="125">
                  <c:v>66.029418054871797</c:v>
                </c:pt>
                <c:pt idx="126">
                  <c:v>66.47609312691911</c:v>
                </c:pt>
                <c:pt idx="127">
                  <c:v>66.934018808910267</c:v>
                </c:pt>
                <c:pt idx="128">
                  <c:v>67.379835768859976</c:v>
                </c:pt>
                <c:pt idx="129">
                  <c:v>67.835584132259612</c:v>
                </c:pt>
                <c:pt idx="130">
                  <c:v>68.285702099565555</c:v>
                </c:pt>
                <c:pt idx="131">
                  <c:v>68.712486942770141</c:v>
                </c:pt>
                <c:pt idx="132">
                  <c:v>69.140524224606608</c:v>
                </c:pt>
                <c:pt idx="133">
                  <c:v>69.563565741940806</c:v>
                </c:pt>
                <c:pt idx="134">
                  <c:v>69.986607259275004</c:v>
                </c:pt>
                <c:pt idx="135">
                  <c:v>70.412141996283296</c:v>
                </c:pt>
                <c:pt idx="136">
                  <c:v>70.849435204836013</c:v>
                </c:pt>
                <c:pt idx="137">
                  <c:v>71.298690880661539</c:v>
                </c:pt>
                <c:pt idx="138">
                  <c:v>71.753570150321508</c:v>
                </c:pt>
                <c:pt idx="139">
                  <c:v>72.219388470576249</c:v>
                </c:pt>
                <c:pt idx="140">
                  <c:v>72.685647765260768</c:v>
                </c:pt>
                <c:pt idx="141">
                  <c:v>73.160335554957399</c:v>
                </c:pt>
                <c:pt idx="142">
                  <c:v>73.628803665042042</c:v>
                </c:pt>
                <c:pt idx="143">
                  <c:v>74.095945697124066</c:v>
                </c:pt>
                <c:pt idx="144">
                  <c:v>74.548223968486639</c:v>
                </c:pt>
                <c:pt idx="145">
                  <c:v>74.999637333682998</c:v>
                </c:pt>
                <c:pt idx="146">
                  <c:v>75.457127027887722</c:v>
                </c:pt>
                <c:pt idx="147">
                  <c:v>75.917236581248318</c:v>
                </c:pt>
                <c:pt idx="148">
                  <c:v>76.370814174004053</c:v>
                </c:pt>
                <c:pt idx="149">
                  <c:v>76.826997477131144</c:v>
                </c:pt>
                <c:pt idx="150">
                  <c:v>77.308856726552548</c:v>
                </c:pt>
                <c:pt idx="151">
                  <c:v>77.79523246380981</c:v>
                </c:pt>
                <c:pt idx="152">
                  <c:v>78.290262417896983</c:v>
                </c:pt>
                <c:pt idx="153">
                  <c:v>78.783005676671905</c:v>
                </c:pt>
                <c:pt idx="154">
                  <c:v>79.262616588691614</c:v>
                </c:pt>
                <c:pt idx="155">
                  <c:v>79.762239822246585</c:v>
                </c:pt>
                <c:pt idx="156">
                  <c:v>80.245451243197707</c:v>
                </c:pt>
                <c:pt idx="157">
                  <c:v>80.735459210772675</c:v>
                </c:pt>
                <c:pt idx="158">
                  <c:v>81.231864363307636</c:v>
                </c:pt>
                <c:pt idx="159">
                  <c:v>81.746833948699148</c:v>
                </c:pt>
                <c:pt idx="160">
                  <c:v>82.25015091782835</c:v>
                </c:pt>
                <c:pt idx="161">
                  <c:v>82.761373564754919</c:v>
                </c:pt>
                <c:pt idx="162">
                  <c:v>83.287210679927284</c:v>
                </c:pt>
                <c:pt idx="163">
                  <c:v>83.822131944389824</c:v>
                </c:pt>
                <c:pt idx="164">
                  <c:v>84.352260037546159</c:v>
                </c:pt>
                <c:pt idx="165">
                  <c:v>84.871937287462927</c:v>
                </c:pt>
                <c:pt idx="166">
                  <c:v>85.387376439303495</c:v>
                </c:pt>
                <c:pt idx="167">
                  <c:v>85.900002190068278</c:v>
                </c:pt>
                <c:pt idx="168">
                  <c:v>86.407960246781045</c:v>
                </c:pt>
                <c:pt idx="169">
                  <c:v>86.922929832172557</c:v>
                </c:pt>
                <c:pt idx="170">
                  <c:v>87.444024583932901</c:v>
                </c:pt>
                <c:pt idx="171">
                  <c:v>87.986185836250613</c:v>
                </c:pt>
                <c:pt idx="172">
                  <c:v>88.513927378691591</c:v>
                </c:pt>
                <c:pt idx="173">
                  <c:v>89.037389973183053</c:v>
                </c:pt>
                <c:pt idx="174">
                  <c:v>89.579066682698766</c:v>
                </c:pt>
                <c:pt idx="175">
                  <c:v>90.136381976674301</c:v>
                </c:pt>
                <c:pt idx="176">
                  <c:v>90.710615289724885</c:v>
                </c:pt>
                <c:pt idx="177">
                  <c:v>91.279341011244611</c:v>
                </c:pt>
                <c:pt idx="178">
                  <c:v>91.835670828122446</c:v>
                </c:pt>
                <c:pt idx="179">
                  <c:v>92.388069498941178</c:v>
                </c:pt>
                <c:pt idx="180">
                  <c:v>92.955298817086558</c:v>
                </c:pt>
                <c:pt idx="181">
                  <c:v>93.503295518017424</c:v>
                </c:pt>
                <c:pt idx="182">
                  <c:v>94.052757123492825</c:v>
                </c:pt>
                <c:pt idx="183">
                  <c:v>94.608102539728051</c:v>
                </c:pt>
                <c:pt idx="184">
                  <c:v>95.151719030315007</c:v>
                </c:pt>
                <c:pt idx="185">
                  <c:v>95.730987601843808</c:v>
                </c:pt>
                <c:pt idx="186">
                  <c:v>96.320918239261687</c:v>
                </c:pt>
                <c:pt idx="187">
                  <c:v>96.874298082690075</c:v>
                </c:pt>
                <c:pt idx="188">
                  <c:v>97.441029139165622</c:v>
                </c:pt>
                <c:pt idx="189">
                  <c:v>98.033515960698352</c:v>
                </c:pt>
                <c:pt idx="190">
                  <c:v>98.621916138092161</c:v>
                </c:pt>
                <c:pt idx="191">
                  <c:v>99.193641951378922</c:v>
                </c:pt>
                <c:pt idx="192">
                  <c:v>99.750957245354456</c:v>
                </c:pt>
                <c:pt idx="193">
                  <c:v>100.31074094301174</c:v>
                </c:pt>
                <c:pt idx="194">
                  <c:v>100.90016115626648</c:v>
                </c:pt>
                <c:pt idx="195">
                  <c:v>101.46490186262849</c:v>
                </c:pt>
                <c:pt idx="196">
                  <c:v>102.01730053344723</c:v>
                </c:pt>
                <c:pt idx="197">
                  <c:v>102.55691311948502</c:v>
                </c:pt>
                <c:pt idx="198">
                  <c:v>103.11891378292968</c:v>
                </c:pt>
                <c:pt idx="199">
                  <c:v>103.70095803412396</c:v>
                </c:pt>
                <c:pt idx="200">
                  <c:v>104.30322016300913</c:v>
                </c:pt>
                <c:pt idx="201">
                  <c:v>104.87544693625114</c:v>
                </c:pt>
                <c:pt idx="202">
                  <c:v>105.46339933282829</c:v>
                </c:pt>
                <c:pt idx="203">
                  <c:v>106.03245842332481</c:v>
                </c:pt>
                <c:pt idx="204">
                  <c:v>106.64144422135108</c:v>
                </c:pt>
                <c:pt idx="205">
                  <c:v>107.23915804028877</c:v>
                </c:pt>
                <c:pt idx="206">
                  <c:v>107.82868463043644</c:v>
                </c:pt>
                <c:pt idx="207">
                  <c:v>108.42203586871489</c:v>
                </c:pt>
                <c:pt idx="208">
                  <c:v>108.97909351033437</c:v>
                </c:pt>
                <c:pt idx="209">
                  <c:v>109.49406162312781</c:v>
                </c:pt>
                <c:pt idx="210">
                  <c:v>109.97862071391472</c:v>
                </c:pt>
                <c:pt idx="211">
                  <c:v>110.44999416917464</c:v>
                </c:pt>
                <c:pt idx="212">
                  <c:v>110.92895710453377</c:v>
                </c:pt>
                <c:pt idx="213">
                  <c:v>111.45716782471125</c:v>
                </c:pt>
                <c:pt idx="214">
                  <c:v>111.97619012723705</c:v>
                </c:pt>
                <c:pt idx="215">
                  <c:v>112.520927155195</c:v>
                </c:pt>
                <c:pt idx="216">
                  <c:v>113.07729765881474</c:v>
                </c:pt>
                <c:pt idx="217">
                  <c:v>113.61708841241261</c:v>
                </c:pt>
                <c:pt idx="218">
                  <c:v>114.16084850597971</c:v>
                </c:pt>
                <c:pt idx="219">
                  <c:v>114.6849611453494</c:v>
                </c:pt>
                <c:pt idx="220">
                  <c:v>115.2101446309066</c:v>
                </c:pt>
                <c:pt idx="221">
                  <c:v>115.71670290911391</c:v>
                </c:pt>
                <c:pt idx="222">
                  <c:v>116.21434188468679</c:v>
                </c:pt>
                <c:pt idx="223">
                  <c:v>116.70650356209212</c:v>
                </c:pt>
                <c:pt idx="224">
                  <c:v>117.22156908278508</c:v>
                </c:pt>
                <c:pt idx="225">
                  <c:v>117.70242886213246</c:v>
                </c:pt>
                <c:pt idx="226">
                  <c:v>118.15143249877764</c:v>
                </c:pt>
                <c:pt idx="227">
                  <c:v>118.57644183760132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-4.6642102585129436E-2</c:v>
                </c:pt>
                <c:pt idx="2">
                  <c:v>2.1908925654306854E-2</c:v>
                </c:pt>
                <c:pt idx="3">
                  <c:v>0.18678592410635531</c:v>
                </c:pt>
                <c:pt idx="4">
                  <c:v>0.43559181307616923</c:v>
                </c:pt>
                <c:pt idx="5">
                  <c:v>0.7526467751469248</c:v>
                </c:pt>
                <c:pt idx="6">
                  <c:v>1.1347739183302556</c:v>
                </c:pt>
                <c:pt idx="7">
                  <c:v>1.5816016438441398</c:v>
                </c:pt>
                <c:pt idx="8">
                  <c:v>2.0681322810655214</c:v>
                </c:pt>
                <c:pt idx="9">
                  <c:v>2.5900276519453342</c:v>
                </c:pt>
                <c:pt idx="10">
                  <c:v>3.1675803007417112</c:v>
                </c:pt>
                <c:pt idx="11">
                  <c:v>3.7666293458989482</c:v>
                </c:pt>
                <c:pt idx="12">
                  <c:v>4.3922676596110906</c:v>
                </c:pt>
                <c:pt idx="13">
                  <c:v>5.0291817110460038</c:v>
                </c:pt>
                <c:pt idx="14">
                  <c:v>5.6933222284701461</c:v>
                </c:pt>
                <c:pt idx="15">
                  <c:v>6.3642659615572388</c:v>
                </c:pt>
                <c:pt idx="16">
                  <c:v>7.0117277767048147</c:v>
                </c:pt>
                <c:pt idx="17">
                  <c:v>7.6728496897538019</c:v>
                </c:pt>
                <c:pt idx="18">
                  <c:v>8.3298074751926823</c:v>
                </c:pt>
                <c:pt idx="19">
                  <c:v>9.0020816890904296</c:v>
                </c:pt>
                <c:pt idx="20">
                  <c:v>9.6856686343640757</c:v>
                </c:pt>
                <c:pt idx="21">
                  <c:v>10.387066269959764</c:v>
                </c:pt>
                <c:pt idx="22">
                  <c:v>11.096925849289168</c:v>
                </c:pt>
                <c:pt idx="23">
                  <c:v>11.75886605987748</c:v>
                </c:pt>
                <c:pt idx="24">
                  <c:v>12.397295686047274</c:v>
                </c:pt>
                <c:pt idx="25">
                  <c:v>13.032427541668092</c:v>
                </c:pt>
                <c:pt idx="26">
                  <c:v>13.655925609234867</c:v>
                </c:pt>
                <c:pt idx="27">
                  <c:v>14.26677416376052</c:v>
                </c:pt>
                <c:pt idx="28">
                  <c:v>14.857574181752687</c:v>
                </c:pt>
                <c:pt idx="29">
                  <c:v>15.443204606543524</c:v>
                </c:pt>
                <c:pt idx="30">
                  <c:v>16.02582601323439</c:v>
                </c:pt>
                <c:pt idx="31">
                  <c:v>16.585973469562344</c:v>
                </c:pt>
                <c:pt idx="32">
                  <c:v>17.126451012909079</c:v>
                </c:pt>
                <c:pt idx="33">
                  <c:v>17.641990121172483</c:v>
                </c:pt>
                <c:pt idx="34">
                  <c:v>18.15256292181266</c:v>
                </c:pt>
                <c:pt idx="35">
                  <c:v>18.663351592396562</c:v>
                </c:pt>
                <c:pt idx="36">
                  <c:v>19.17484748229727</c:v>
                </c:pt>
                <c:pt idx="37">
                  <c:v>19.672624586598165</c:v>
                </c:pt>
                <c:pt idx="38">
                  <c:v>20.148576469938458</c:v>
                </c:pt>
                <c:pt idx="39">
                  <c:v>20.611493604713633</c:v>
                </c:pt>
                <c:pt idx="40">
                  <c:v>21.064332175742319</c:v>
                </c:pt>
                <c:pt idx="41">
                  <c:v>21.494816075555967</c:v>
                </c:pt>
                <c:pt idx="42">
                  <c:v>21.911478843298756</c:v>
                </c:pt>
                <c:pt idx="43">
                  <c:v>22.332174367912621</c:v>
                </c:pt>
                <c:pt idx="44">
                  <c:v>22.741301783752096</c:v>
                </c:pt>
                <c:pt idx="45">
                  <c:v>23.148415774238334</c:v>
                </c:pt>
                <c:pt idx="46">
                  <c:v>23.531071456645549</c:v>
                </c:pt>
                <c:pt idx="47">
                  <c:v>23.89815611829513</c:v>
                </c:pt>
                <c:pt idx="48">
                  <c:v>24.254455857836387</c:v>
                </c:pt>
                <c:pt idx="49">
                  <c:v>24.608603988890206</c:v>
                </c:pt>
                <c:pt idx="50">
                  <c:v>24.963227338267085</c:v>
                </c:pt>
                <c:pt idx="51">
                  <c:v>25.2940536421407</c:v>
                </c:pt>
                <c:pt idx="52">
                  <c:v>25.600625065050977</c:v>
                </c:pt>
                <c:pt idx="53">
                  <c:v>25.892110835833073</c:v>
                </c:pt>
                <c:pt idx="54">
                  <c:v>26.182382643682455</c:v>
                </c:pt>
                <c:pt idx="55">
                  <c:v>26.45980216426798</c:v>
                </c:pt>
                <c:pt idx="56">
                  <c:v>26.730893640892791</c:v>
                </c:pt>
                <c:pt idx="57">
                  <c:v>26.99231621909744</c:v>
                </c:pt>
                <c:pt idx="58">
                  <c:v>27.237966420691574</c:v>
                </c:pt>
                <c:pt idx="59">
                  <c:v>27.479485197810575</c:v>
                </c:pt>
                <c:pt idx="60">
                  <c:v>27.717186202951083</c:v>
                </c:pt>
                <c:pt idx="61">
                  <c:v>27.948020740782905</c:v>
                </c:pt>
                <c:pt idx="62">
                  <c:v>28.174802106760353</c:v>
                </c:pt>
                <c:pt idx="63">
                  <c:v>28.40028727931379</c:v>
                </c:pt>
                <c:pt idx="64">
                  <c:v>28.625872416563404</c:v>
                </c:pt>
                <c:pt idx="65">
                  <c:v>28.845729393622605</c:v>
                </c:pt>
                <c:pt idx="66">
                  <c:v>29.060553800053988</c:v>
                </c:pt>
                <c:pt idx="67">
                  <c:v>29.2669947845447</c:v>
                </c:pt>
                <c:pt idx="68">
                  <c:v>29.465287598946745</c:v>
                </c:pt>
                <c:pt idx="69">
                  <c:v>29.650912144706918</c:v>
                </c:pt>
                <c:pt idx="70">
                  <c:v>29.832501558526566</c:v>
                </c:pt>
                <c:pt idx="71">
                  <c:v>30.002614326925372</c:v>
                </c:pt>
                <c:pt idx="72">
                  <c:v>30.16926535338596</c:v>
                </c:pt>
                <c:pt idx="73">
                  <c:v>30.33771018578469</c:v>
                </c:pt>
                <c:pt idx="74">
                  <c:v>30.497854323212518</c:v>
                </c:pt>
                <c:pt idx="75">
                  <c:v>30.655601077472618</c:v>
                </c:pt>
                <c:pt idx="76">
                  <c:v>30.810399410137386</c:v>
                </c:pt>
                <c:pt idx="77">
                  <c:v>30.957659803763928</c:v>
                </c:pt>
                <c:pt idx="78">
                  <c:v>31.098596022542701</c:v>
                </c:pt>
                <c:pt idx="79">
                  <c:v>31.236994471965595</c:v>
                </c:pt>
                <c:pt idx="80">
                  <c:v>31.373425285112905</c:v>
                </c:pt>
                <c:pt idx="81">
                  <c:v>31.502991566366418</c:v>
                </c:pt>
                <c:pt idx="82">
                  <c:v>31.630138368030412</c:v>
                </c:pt>
                <c:pt idx="83">
                  <c:v>31.753019108447152</c:v>
                </c:pt>
                <c:pt idx="84">
                  <c:v>31.873598874720265</c:v>
                </c:pt>
                <c:pt idx="85">
                  <c:v>31.991813811810822</c:v>
                </c:pt>
                <c:pt idx="86">
                  <c:v>32.102267614438112</c:v>
                </c:pt>
                <c:pt idx="87">
                  <c:v>32.206499864095257</c:v>
                </c:pt>
                <c:pt idx="88">
                  <c:v>32.309137225348294</c:v>
                </c:pt>
                <c:pt idx="89">
                  <c:v>32.412628913799658</c:v>
                </c:pt>
                <c:pt idx="90">
                  <c:v>32.517033847056915</c:v>
                </c:pt>
                <c:pt idx="91">
                  <c:v>32.618376685943439</c:v>
                </c:pt>
                <c:pt idx="92">
                  <c:v>32.716686644781085</c:v>
                </c:pt>
                <c:pt idx="93">
                  <c:v>32.81050951092319</c:v>
                </c:pt>
                <c:pt idx="94">
                  <c:v>32.902898050232494</c:v>
                </c:pt>
                <c:pt idx="95">
                  <c:v>32.989002809514474</c:v>
                </c:pt>
                <c:pt idx="96">
                  <c:v>33.070951553516572</c:v>
                </c:pt>
                <c:pt idx="97">
                  <c:v>33.152543452167002</c:v>
                </c:pt>
                <c:pt idx="98">
                  <c:v>33.233129975841443</c:v>
                </c:pt>
                <c:pt idx="99">
                  <c:v>33.309548408266835</c:v>
                </c:pt>
                <c:pt idx="100">
                  <c:v>33.388868057538538</c:v>
                </c:pt>
                <c:pt idx="101">
                  <c:v>33.469231880203481</c:v>
                </c:pt>
                <c:pt idx="102">
                  <c:v>33.546132113660917</c:v>
                </c:pt>
                <c:pt idx="103">
                  <c:v>33.619149905899029</c:v>
                </c:pt>
                <c:pt idx="104">
                  <c:v>33.689676346624701</c:v>
                </c:pt>
                <c:pt idx="105">
                  <c:v>33.760716419287419</c:v>
                </c:pt>
                <c:pt idx="106">
                  <c:v>33.827621627075615</c:v>
                </c:pt>
                <c:pt idx="107">
                  <c:v>33.895478873520858</c:v>
                </c:pt>
                <c:pt idx="108">
                  <c:v>33.960925897192823</c:v>
                </c:pt>
                <c:pt idx="109">
                  <c:v>34.024847515324616</c:v>
                </c:pt>
                <c:pt idx="110">
                  <c:v>34.084723682008047</c:v>
                </c:pt>
                <c:pt idx="111">
                  <c:v>34.142703381093064</c:v>
                </c:pt>
                <c:pt idx="112">
                  <c:v>34.200891764786654</c:v>
                </c:pt>
                <c:pt idx="113">
                  <c:v>34.257944167600932</c:v>
                </c:pt>
                <c:pt idx="114">
                  <c:v>34.314258804453878</c:v>
                </c:pt>
                <c:pt idx="115">
                  <c:v>34.369072238001387</c:v>
                </c:pt>
                <c:pt idx="116">
                  <c:v>34.422793043960297</c:v>
                </c:pt>
                <c:pt idx="117">
                  <c:v>34.475291939533484</c:v>
                </c:pt>
                <c:pt idx="118">
                  <c:v>34.527621135401972</c:v>
                </c:pt>
                <c:pt idx="119">
                  <c:v>34.578308587337389</c:v>
                </c:pt>
                <c:pt idx="120">
                  <c:v>34.627346793730808</c:v>
                </c:pt>
                <c:pt idx="121">
                  <c:v>34.674154256784576</c:v>
                </c:pt>
                <c:pt idx="122">
                  <c:v>34.719504572392566</c:v>
                </c:pt>
                <c:pt idx="123">
                  <c:v>34.764026095871671</c:v>
                </c:pt>
                <c:pt idx="124">
                  <c:v>34.807369711889422</c:v>
                </c:pt>
                <c:pt idx="125">
                  <c:v>34.849975208576993</c:v>
                </c:pt>
                <c:pt idx="126">
                  <c:v>34.890856386245041</c:v>
                </c:pt>
                <c:pt idx="127">
                  <c:v>34.931410518799133</c:v>
                </c:pt>
                <c:pt idx="128">
                  <c:v>34.970164664818995</c:v>
                </c:pt>
                <c:pt idx="129">
                  <c:v>35.008534964817358</c:v>
                </c:pt>
                <c:pt idx="130">
                  <c:v>35.045587443028175</c:v>
                </c:pt>
                <c:pt idx="131">
                  <c:v>35.080363260579816</c:v>
                </c:pt>
                <c:pt idx="132">
                  <c:v>35.114358459646766</c:v>
                </c:pt>
                <c:pt idx="133">
                  <c:v>35.147250981079466</c:v>
                </c:pt>
                <c:pt idx="134">
                  <c:v>35.179347345439275</c:v>
                </c:pt>
                <c:pt idx="135">
                  <c:v>35.210797386296868</c:v>
                </c:pt>
                <c:pt idx="136">
                  <c:v>35.242080256665702</c:v>
                </c:pt>
                <c:pt idx="137">
                  <c:v>35.273183555870681</c:v>
                </c:pt>
                <c:pt idx="138">
                  <c:v>35.303779300760525</c:v>
                </c:pt>
                <c:pt idx="139">
                  <c:v>35.334118843760997</c:v>
                </c:pt>
                <c:pt idx="140">
                  <c:v>35.363703061122649</c:v>
                </c:pt>
                <c:pt idx="141">
                  <c:v>35.392909698509065</c:v>
                </c:pt>
                <c:pt idx="142">
                  <c:v>35.421092217451502</c:v>
                </c:pt>
                <c:pt idx="143">
                  <c:v>35.448500844030434</c:v>
                </c:pt>
                <c:pt idx="144">
                  <c:v>35.4746005269823</c:v>
                </c:pt>
                <c:pt idx="145">
                  <c:v>35.500021082397588</c:v>
                </c:pt>
                <c:pt idx="146">
                  <c:v>35.525055516680673</c:v>
                </c:pt>
                <c:pt idx="147">
                  <c:v>35.549570927277088</c:v>
                </c:pt>
                <c:pt idx="148">
                  <c:v>35.573234775643762</c:v>
                </c:pt>
                <c:pt idx="149">
                  <c:v>35.596415166240533</c:v>
                </c:pt>
                <c:pt idx="150">
                  <c:v>35.619944074593874</c:v>
                </c:pt>
                <c:pt idx="151">
                  <c:v>35.64303333480111</c:v>
                </c:pt>
                <c:pt idx="152">
                  <c:v>35.665829043345965</c:v>
                </c:pt>
                <c:pt idx="153">
                  <c:v>35.687962852312694</c:v>
                </c:pt>
                <c:pt idx="154">
                  <c:v>35.709107746950835</c:v>
                </c:pt>
                <c:pt idx="155">
                  <c:v>35.73035550587737</c:v>
                </c:pt>
                <c:pt idx="156">
                  <c:v>35.750555326244665</c:v>
                </c:pt>
                <c:pt idx="157">
                  <c:v>35.770455555314484</c:v>
                </c:pt>
                <c:pt idx="158">
                  <c:v>35.790043944827914</c:v>
                </c:pt>
                <c:pt idx="159">
                  <c:v>35.809668541929241</c:v>
                </c:pt>
                <c:pt idx="160">
                  <c:v>35.828462667820013</c:v>
                </c:pt>
                <c:pt idx="161">
                  <c:v>35.846996485986899</c:v>
                </c:pt>
                <c:pt idx="162">
                  <c:v>35.865445874507508</c:v>
                </c:pt>
                <c:pt idx="163">
                  <c:v>35.883652890600715</c:v>
                </c:pt>
                <c:pt idx="164">
                  <c:v>35.901263741106732</c:v>
                </c:pt>
                <c:pt idx="165">
                  <c:v>35.918163708068683</c:v>
                </c:pt>
                <c:pt idx="166">
                  <c:v>35.934534725531435</c:v>
                </c:pt>
                <c:pt idx="167">
                  <c:v>35.950430288111129</c:v>
                </c:pt>
                <c:pt idx="168">
                  <c:v>35.96582537759361</c:v>
                </c:pt>
                <c:pt idx="169">
                  <c:v>35.980997476772224</c:v>
                </c:pt>
                <c:pt idx="170">
                  <c:v>35.995927217362556</c:v>
                </c:pt>
                <c:pt idx="171">
                  <c:v>36.010931863831587</c:v>
                </c:pt>
                <c:pt idx="172">
                  <c:v>36.025257795566986</c:v>
                </c:pt>
                <c:pt idx="173">
                  <c:v>36.039142766879763</c:v>
                </c:pt>
                <c:pt idx="174">
                  <c:v>36.053044221363471</c:v>
                </c:pt>
                <c:pt idx="175">
                  <c:v>36.066897684786291</c:v>
                </c:pt>
                <c:pt idx="176">
                  <c:v>36.080716187855252</c:v>
                </c:pt>
                <c:pt idx="177">
                  <c:v>36.094075625850685</c:v>
                </c:pt>
                <c:pt idx="178">
                  <c:v>36.106872455356623</c:v>
                </c:pt>
                <c:pt idx="179">
                  <c:v>36.119281023730508</c:v>
                </c:pt>
                <c:pt idx="180">
                  <c:v>36.131633579427017</c:v>
                </c:pt>
                <c:pt idx="181">
                  <c:v>36.1433586106875</c:v>
                </c:pt>
                <c:pt idx="182">
                  <c:v>36.15482194490351</c:v>
                </c:pt>
                <c:pt idx="183">
                  <c:v>36.16609966169348</c:v>
                </c:pt>
                <c:pt idx="184">
                  <c:v>36.176923901921235</c:v>
                </c:pt>
                <c:pt idx="185">
                  <c:v>36.188024711415586</c:v>
                </c:pt>
                <c:pt idx="186">
                  <c:v>36.199006552214463</c:v>
                </c:pt>
                <c:pt idx="187">
                  <c:v>36.209191395551521</c:v>
                </c:pt>
                <c:pt idx="188">
                  <c:v>36.219320550611201</c:v>
                </c:pt>
                <c:pt idx="189">
                  <c:v>36.229558006414237</c:v>
                </c:pt>
                <c:pt idx="190">
                  <c:v>36.239488152934015</c:v>
                </c:pt>
                <c:pt idx="191">
                  <c:v>36.248959470511316</c:v>
                </c:pt>
                <c:pt idx="192">
                  <c:v>36.258024259332643</c:v>
                </c:pt>
                <c:pt idx="193">
                  <c:v>36.266909877447652</c:v>
                </c:pt>
                <c:pt idx="194">
                  <c:v>36.275948588711067</c:v>
                </c:pt>
                <c:pt idx="195">
                  <c:v>36.284480386196158</c:v>
                </c:pt>
                <c:pt idx="196">
                  <c:v>36.292674897437749</c:v>
                </c:pt>
                <c:pt idx="197">
                  <c:v>36.300620113410723</c:v>
                </c:pt>
                <c:pt idx="198">
                  <c:v>36.308638574595513</c:v>
                </c:pt>
                <c:pt idx="199">
                  <c:v>36.316627050747215</c:v>
                </c:pt>
                <c:pt idx="200">
                  <c:v>36.324632418524246</c:v>
                </c:pt>
                <c:pt idx="201">
                  <c:v>36.332140666147716</c:v>
                </c:pt>
                <c:pt idx="202">
                  <c:v>36.339711043772219</c:v>
                </c:pt>
                <c:pt idx="203">
                  <c:v>36.34725651838626</c:v>
                </c:pt>
                <c:pt idx="204">
                  <c:v>36.355020675940295</c:v>
                </c:pt>
                <c:pt idx="205">
                  <c:v>36.362306282112158</c:v>
                </c:pt>
                <c:pt idx="206">
                  <c:v>36.369432628506942</c:v>
                </c:pt>
                <c:pt idx="207">
                  <c:v>36.376602616424698</c:v>
                </c:pt>
                <c:pt idx="208">
                  <c:v>36.383512798696941</c:v>
                </c:pt>
                <c:pt idx="209">
                  <c:v>36.39004012017665</c:v>
                </c:pt>
                <c:pt idx="210">
                  <c:v>36.396448549109195</c:v>
                </c:pt>
                <c:pt idx="211">
                  <c:v>36.402667686565437</c:v>
                </c:pt>
                <c:pt idx="212">
                  <c:v>36.408838904868333</c:v>
                </c:pt>
                <c:pt idx="213">
                  <c:v>36.415020493027299</c:v>
                </c:pt>
                <c:pt idx="214">
                  <c:v>36.420903901418278</c:v>
                </c:pt>
                <c:pt idx="215">
                  <c:v>36.426783142076268</c:v>
                </c:pt>
                <c:pt idx="216">
                  <c:v>36.432636162132049</c:v>
                </c:pt>
                <c:pt idx="217">
                  <c:v>36.438219203677349</c:v>
                </c:pt>
                <c:pt idx="218">
                  <c:v>36.443814228163646</c:v>
                </c:pt>
                <c:pt idx="219">
                  <c:v>36.449323827073563</c:v>
                </c:pt>
                <c:pt idx="220">
                  <c:v>36.454701125617547</c:v>
                </c:pt>
                <c:pt idx="221">
                  <c:v>36.459878807869558</c:v>
                </c:pt>
                <c:pt idx="222">
                  <c:v>36.464928643993183</c:v>
                </c:pt>
                <c:pt idx="223">
                  <c:v>36.4699918097145</c:v>
                </c:pt>
                <c:pt idx="224">
                  <c:v>36.475059408872404</c:v>
                </c:pt>
                <c:pt idx="225">
                  <c:v>36.479888722193202</c:v>
                </c:pt>
                <c:pt idx="226">
                  <c:v>36.48449733791287</c:v>
                </c:pt>
                <c:pt idx="227">
                  <c:v>36.489002113413072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45615</c:v>
                </c:pt>
                <c:pt idx="1">
                  <c:v>45616</c:v>
                </c:pt>
                <c:pt idx="2">
                  <c:v>45617</c:v>
                </c:pt>
                <c:pt idx="3">
                  <c:v>45618</c:v>
                </c:pt>
                <c:pt idx="4">
                  <c:v>45619</c:v>
                </c:pt>
                <c:pt idx="5">
                  <c:v>45620</c:v>
                </c:pt>
                <c:pt idx="6">
                  <c:v>45621</c:v>
                </c:pt>
                <c:pt idx="7">
                  <c:v>45622</c:v>
                </c:pt>
                <c:pt idx="8">
                  <c:v>45623</c:v>
                </c:pt>
                <c:pt idx="9">
                  <c:v>45624</c:v>
                </c:pt>
                <c:pt idx="10">
                  <c:v>45625</c:v>
                </c:pt>
                <c:pt idx="11">
                  <c:v>45626</c:v>
                </c:pt>
                <c:pt idx="12">
                  <c:v>45627</c:v>
                </c:pt>
                <c:pt idx="13">
                  <c:v>45628</c:v>
                </c:pt>
                <c:pt idx="14">
                  <c:v>45629</c:v>
                </c:pt>
                <c:pt idx="15">
                  <c:v>45630</c:v>
                </c:pt>
                <c:pt idx="16">
                  <c:v>45631</c:v>
                </c:pt>
                <c:pt idx="17">
                  <c:v>45632</c:v>
                </c:pt>
                <c:pt idx="18">
                  <c:v>45633</c:v>
                </c:pt>
                <c:pt idx="19">
                  <c:v>45634</c:v>
                </c:pt>
                <c:pt idx="20">
                  <c:v>45635</c:v>
                </c:pt>
                <c:pt idx="21">
                  <c:v>45636</c:v>
                </c:pt>
                <c:pt idx="22">
                  <c:v>45637</c:v>
                </c:pt>
                <c:pt idx="23">
                  <c:v>45638</c:v>
                </c:pt>
                <c:pt idx="24">
                  <c:v>45639</c:v>
                </c:pt>
                <c:pt idx="25">
                  <c:v>45640</c:v>
                </c:pt>
                <c:pt idx="26">
                  <c:v>45641</c:v>
                </c:pt>
                <c:pt idx="27">
                  <c:v>45642</c:v>
                </c:pt>
                <c:pt idx="28">
                  <c:v>45643</c:v>
                </c:pt>
                <c:pt idx="29">
                  <c:v>45644</c:v>
                </c:pt>
                <c:pt idx="30">
                  <c:v>45645</c:v>
                </c:pt>
                <c:pt idx="31">
                  <c:v>45646</c:v>
                </c:pt>
                <c:pt idx="32">
                  <c:v>45647</c:v>
                </c:pt>
                <c:pt idx="33">
                  <c:v>45648</c:v>
                </c:pt>
                <c:pt idx="34">
                  <c:v>45649</c:v>
                </c:pt>
                <c:pt idx="35">
                  <c:v>45650</c:v>
                </c:pt>
                <c:pt idx="36">
                  <c:v>45651</c:v>
                </c:pt>
                <c:pt idx="37">
                  <c:v>45652</c:v>
                </c:pt>
                <c:pt idx="38">
                  <c:v>45653</c:v>
                </c:pt>
                <c:pt idx="39">
                  <c:v>45654</c:v>
                </c:pt>
                <c:pt idx="40">
                  <c:v>45655</c:v>
                </c:pt>
                <c:pt idx="41">
                  <c:v>45656</c:v>
                </c:pt>
                <c:pt idx="42">
                  <c:v>45657</c:v>
                </c:pt>
                <c:pt idx="43">
                  <c:v>45658</c:v>
                </c:pt>
                <c:pt idx="44">
                  <c:v>45659</c:v>
                </c:pt>
                <c:pt idx="45">
                  <c:v>45660</c:v>
                </c:pt>
                <c:pt idx="46">
                  <c:v>45661</c:v>
                </c:pt>
                <c:pt idx="47">
                  <c:v>45662</c:v>
                </c:pt>
                <c:pt idx="48">
                  <c:v>45663</c:v>
                </c:pt>
                <c:pt idx="49">
                  <c:v>45664</c:v>
                </c:pt>
                <c:pt idx="50">
                  <c:v>45665</c:v>
                </c:pt>
                <c:pt idx="51">
                  <c:v>45666</c:v>
                </c:pt>
                <c:pt idx="52">
                  <c:v>45667</c:v>
                </c:pt>
                <c:pt idx="53">
                  <c:v>45668</c:v>
                </c:pt>
                <c:pt idx="54">
                  <c:v>45669</c:v>
                </c:pt>
                <c:pt idx="55">
                  <c:v>45670</c:v>
                </c:pt>
                <c:pt idx="56">
                  <c:v>45671</c:v>
                </c:pt>
                <c:pt idx="57">
                  <c:v>45672</c:v>
                </c:pt>
                <c:pt idx="58">
                  <c:v>45673</c:v>
                </c:pt>
                <c:pt idx="59">
                  <c:v>45674</c:v>
                </c:pt>
                <c:pt idx="60">
                  <c:v>45675</c:v>
                </c:pt>
                <c:pt idx="61">
                  <c:v>45676</c:v>
                </c:pt>
                <c:pt idx="62">
                  <c:v>45677</c:v>
                </c:pt>
                <c:pt idx="63">
                  <c:v>45678</c:v>
                </c:pt>
                <c:pt idx="64">
                  <c:v>45679</c:v>
                </c:pt>
                <c:pt idx="65">
                  <c:v>45680</c:v>
                </c:pt>
                <c:pt idx="66">
                  <c:v>45681</c:v>
                </c:pt>
                <c:pt idx="67">
                  <c:v>45682</c:v>
                </c:pt>
                <c:pt idx="68">
                  <c:v>45683</c:v>
                </c:pt>
                <c:pt idx="69">
                  <c:v>45684</c:v>
                </c:pt>
                <c:pt idx="70">
                  <c:v>45685</c:v>
                </c:pt>
                <c:pt idx="71">
                  <c:v>45686</c:v>
                </c:pt>
                <c:pt idx="72">
                  <c:v>45687</c:v>
                </c:pt>
                <c:pt idx="73">
                  <c:v>45688</c:v>
                </c:pt>
                <c:pt idx="74">
                  <c:v>45689</c:v>
                </c:pt>
                <c:pt idx="75">
                  <c:v>45690</c:v>
                </c:pt>
                <c:pt idx="76">
                  <c:v>45691</c:v>
                </c:pt>
                <c:pt idx="77">
                  <c:v>45692</c:v>
                </c:pt>
                <c:pt idx="78">
                  <c:v>45693</c:v>
                </c:pt>
                <c:pt idx="79">
                  <c:v>45694</c:v>
                </c:pt>
                <c:pt idx="80">
                  <c:v>45695</c:v>
                </c:pt>
                <c:pt idx="81">
                  <c:v>45696</c:v>
                </c:pt>
                <c:pt idx="82">
                  <c:v>45697</c:v>
                </c:pt>
                <c:pt idx="83">
                  <c:v>45698</c:v>
                </c:pt>
                <c:pt idx="84">
                  <c:v>45699</c:v>
                </c:pt>
                <c:pt idx="85">
                  <c:v>45700</c:v>
                </c:pt>
                <c:pt idx="86">
                  <c:v>45701</c:v>
                </c:pt>
                <c:pt idx="87">
                  <c:v>45702</c:v>
                </c:pt>
                <c:pt idx="88">
                  <c:v>45703</c:v>
                </c:pt>
                <c:pt idx="89">
                  <c:v>45704</c:v>
                </c:pt>
                <c:pt idx="90">
                  <c:v>45705</c:v>
                </c:pt>
                <c:pt idx="91">
                  <c:v>45706</c:v>
                </c:pt>
                <c:pt idx="92">
                  <c:v>45707</c:v>
                </c:pt>
                <c:pt idx="93">
                  <c:v>45708</c:v>
                </c:pt>
                <c:pt idx="94">
                  <c:v>45709</c:v>
                </c:pt>
                <c:pt idx="95">
                  <c:v>45710</c:v>
                </c:pt>
                <c:pt idx="96">
                  <c:v>45711</c:v>
                </c:pt>
                <c:pt idx="97">
                  <c:v>45712</c:v>
                </c:pt>
                <c:pt idx="98">
                  <c:v>45713</c:v>
                </c:pt>
                <c:pt idx="99">
                  <c:v>45714</c:v>
                </c:pt>
                <c:pt idx="100">
                  <c:v>45715</c:v>
                </c:pt>
                <c:pt idx="101">
                  <c:v>45716</c:v>
                </c:pt>
                <c:pt idx="102">
                  <c:v>45717</c:v>
                </c:pt>
                <c:pt idx="103">
                  <c:v>45718</c:v>
                </c:pt>
                <c:pt idx="104">
                  <c:v>45719</c:v>
                </c:pt>
                <c:pt idx="105">
                  <c:v>45720</c:v>
                </c:pt>
                <c:pt idx="106">
                  <c:v>45721</c:v>
                </c:pt>
                <c:pt idx="107">
                  <c:v>45722</c:v>
                </c:pt>
                <c:pt idx="108">
                  <c:v>45723</c:v>
                </c:pt>
                <c:pt idx="109">
                  <c:v>45724</c:v>
                </c:pt>
                <c:pt idx="110">
                  <c:v>45725</c:v>
                </c:pt>
                <c:pt idx="111">
                  <c:v>45726</c:v>
                </c:pt>
                <c:pt idx="112">
                  <c:v>45727</c:v>
                </c:pt>
                <c:pt idx="113">
                  <c:v>45728</c:v>
                </c:pt>
                <c:pt idx="114">
                  <c:v>45729</c:v>
                </c:pt>
                <c:pt idx="115">
                  <c:v>45730</c:v>
                </c:pt>
                <c:pt idx="116">
                  <c:v>45731</c:v>
                </c:pt>
                <c:pt idx="117">
                  <c:v>45732</c:v>
                </c:pt>
                <c:pt idx="118">
                  <c:v>45733</c:v>
                </c:pt>
                <c:pt idx="119">
                  <c:v>45734</c:v>
                </c:pt>
                <c:pt idx="120">
                  <c:v>45735</c:v>
                </c:pt>
                <c:pt idx="121">
                  <c:v>45736</c:v>
                </c:pt>
                <c:pt idx="122">
                  <c:v>45737</c:v>
                </c:pt>
                <c:pt idx="123">
                  <c:v>45738</c:v>
                </c:pt>
                <c:pt idx="124">
                  <c:v>45739</c:v>
                </c:pt>
                <c:pt idx="125">
                  <c:v>45740</c:v>
                </c:pt>
                <c:pt idx="126">
                  <c:v>45741</c:v>
                </c:pt>
                <c:pt idx="127">
                  <c:v>45742</c:v>
                </c:pt>
                <c:pt idx="128">
                  <c:v>45743</c:v>
                </c:pt>
                <c:pt idx="129">
                  <c:v>45744</c:v>
                </c:pt>
                <c:pt idx="130">
                  <c:v>45745</c:v>
                </c:pt>
                <c:pt idx="131">
                  <c:v>45746</c:v>
                </c:pt>
                <c:pt idx="132">
                  <c:v>45747</c:v>
                </c:pt>
                <c:pt idx="133">
                  <c:v>45748</c:v>
                </c:pt>
                <c:pt idx="134">
                  <c:v>45749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1.539611058845207</c:v>
                </c:pt>
                <c:pt idx="15">
                  <c:v>1.6089279739078004</c:v>
                </c:pt>
                <c:pt idx="16">
                  <c:v>1.6814750343119274</c:v>
                </c:pt>
                <c:pt idx="17">
                  <c:v>1.7548537263812132</c:v>
                </c:pt>
                <c:pt idx="18">
                  <c:v>1.8311658692030757</c:v>
                </c:pt>
                <c:pt idx="19">
                  <c:v>1.9130900889075992</c:v>
                </c:pt>
                <c:pt idx="20">
                  <c:v>1.9981711421274431</c:v>
                </c:pt>
                <c:pt idx="21">
                  <c:v>2.089975702996349</c:v>
                </c:pt>
                <c:pt idx="22">
                  <c:v>2.1886096062101243</c:v>
                </c:pt>
                <c:pt idx="23">
                  <c:v>2.2904602477945568</c:v>
                </c:pt>
                <c:pt idx="24">
                  <c:v>2.3964932943243089</c:v>
                </c:pt>
                <c:pt idx="25">
                  <c:v>2.5063220911258766</c:v>
                </c:pt>
                <c:pt idx="26">
                  <c:v>2.6218136428043075</c:v>
                </c:pt>
                <c:pt idx="27">
                  <c:v>2.7428485733072248</c:v>
                </c:pt>
                <c:pt idx="28">
                  <c:v>2.8671348476044991</c:v>
                </c:pt>
                <c:pt idx="29">
                  <c:v>2.9983930704255082</c:v>
                </c:pt>
                <c:pt idx="30">
                  <c:v>3.1378799534927544</c:v>
                </c:pt>
                <c:pt idx="31">
                  <c:v>3.2837576571207214</c:v>
                </c:pt>
                <c:pt idx="32">
                  <c:v>3.4377517699296685</c:v>
                </c:pt>
                <c:pt idx="33">
                  <c:v>3.5952657906369696</c:v>
                </c:pt>
                <c:pt idx="34">
                  <c:v>3.7612502083002428</c:v>
                </c:pt>
                <c:pt idx="35">
                  <c:v>3.9373329005919699</c:v>
                </c:pt>
                <c:pt idx="36">
                  <c:v>4.1183784906929768</c:v>
                </c:pt>
                <c:pt idx="37">
                  <c:v>4.3083705476482583</c:v>
                </c:pt>
                <c:pt idx="38">
                  <c:v>4.516362555880665</c:v>
                </c:pt>
                <c:pt idx="39">
                  <c:v>4.7382493396508467</c:v>
                </c:pt>
                <c:pt idx="40">
                  <c:v>4.9678098520543355</c:v>
                </c:pt>
                <c:pt idx="41">
                  <c:v>5.203484044500498</c:v>
                </c:pt>
                <c:pt idx="42">
                  <c:v>5.4483564781647891</c:v>
                </c:pt>
                <c:pt idx="43">
                  <c:v>5.7037063498280505</c:v>
                </c:pt>
                <c:pt idx="44">
                  <c:v>5.97641892729688</c:v>
                </c:pt>
                <c:pt idx="45">
                  <c:v>6.2588732584040709</c:v>
                </c:pt>
                <c:pt idx="46">
                  <c:v>6.5583349517866365</c:v>
                </c:pt>
                <c:pt idx="47">
                  <c:v>6.8643967043849301</c:v>
                </c:pt>
                <c:pt idx="48">
                  <c:v>7.1857421717832999</c:v>
                </c:pt>
                <c:pt idx="49">
                  <c:v>7.5301198361657464</c:v>
                </c:pt>
                <c:pt idx="50">
                  <c:v>7.8946469829049848</c:v>
                </c:pt>
                <c:pt idx="51">
                  <c:v>8.2808025865973391</c:v>
                </c:pt>
                <c:pt idx="52">
                  <c:v>8.6815180082088084</c:v>
                </c:pt>
                <c:pt idx="53">
                  <c:v>9.0947500448230443</c:v>
                </c:pt>
                <c:pt idx="54">
                  <c:v>9.5296789412216079</c:v>
                </c:pt>
                <c:pt idx="55">
                  <c:v>9.9884858610688383</c:v>
                </c:pt>
                <c:pt idx="56">
                  <c:v>10.474128393127312</c:v>
                </c:pt>
                <c:pt idx="57">
                  <c:v>10.981314494240499</c:v>
                </c:pt>
                <c:pt idx="58">
                  <c:v>11.511129496088504</c:v>
                </c:pt>
                <c:pt idx="59">
                  <c:v>12.058349524809739</c:v>
                </c:pt>
                <c:pt idx="60">
                  <c:v>12.631593581372705</c:v>
                </c:pt>
                <c:pt idx="61">
                  <c:v>13.239965343507583</c:v>
                </c:pt>
                <c:pt idx="62">
                  <c:v>13.873253357902632</c:v>
                </c:pt>
                <c:pt idx="63">
                  <c:v>14.543022924918443</c:v>
                </c:pt>
                <c:pt idx="64">
                  <c:v>15.246138337197117</c:v>
                </c:pt>
                <c:pt idx="65">
                  <c:v>15.981393275612412</c:v>
                </c:pt>
                <c:pt idx="66">
                  <c:v>16.750855105294814</c:v>
                </c:pt>
                <c:pt idx="67">
                  <c:v>17.564077344387471</c:v>
                </c:pt>
                <c:pt idx="68">
                  <c:v>18.418598059198658</c:v>
                </c:pt>
                <c:pt idx="69">
                  <c:v>19.295246328530745</c:v>
                </c:pt>
                <c:pt idx="70">
                  <c:v>20.217260905298524</c:v>
                </c:pt>
                <c:pt idx="71">
                  <c:v>21.190925459314634</c:v>
                </c:pt>
                <c:pt idx="72">
                  <c:v>22.219038249839052</c:v>
                </c:pt>
                <c:pt idx="73">
                  <c:v>23.2878599691864</c:v>
                </c:pt>
                <c:pt idx="74">
                  <c:v>24.407533643311591</c:v>
                </c:pt>
                <c:pt idx="75">
                  <c:v>25.560799570272842</c:v>
                </c:pt>
                <c:pt idx="76">
                  <c:v>26.747329437856568</c:v>
                </c:pt>
                <c:pt idx="77">
                  <c:v>27.94069919510412</c:v>
                </c:pt>
                <c:pt idx="78">
                  <c:v>29.21097840990771</c:v>
                </c:pt>
                <c:pt idx="79">
                  <c:v>30.521425077511267</c:v>
                </c:pt>
                <c:pt idx="80">
                  <c:v>31.8888272098316</c:v>
                </c:pt>
                <c:pt idx="81">
                  <c:v>33.305217446637201</c:v>
                </c:pt>
                <c:pt idx="82">
                  <c:v>34.783031193398166</c:v>
                </c:pt>
                <c:pt idx="83">
                  <c:v>36.343560920764659</c:v>
                </c:pt>
                <c:pt idx="84">
                  <c:v>37.975657345720997</c:v>
                </c:pt>
                <c:pt idx="85">
                  <c:v>39.659156304243339</c:v>
                </c:pt>
                <c:pt idx="86">
                  <c:v>41.382409368166222</c:v>
                </c:pt>
                <c:pt idx="87">
                  <c:v>43.164469791102519</c:v>
                </c:pt>
                <c:pt idx="88">
                  <c:v>44.9820075825819</c:v>
                </c:pt>
                <c:pt idx="89">
                  <c:v>46.845977384041923</c:v>
                </c:pt>
                <c:pt idx="90">
                  <c:v>48.767689998617712</c:v>
                </c:pt>
                <c:pt idx="91">
                  <c:v>50.759697023712043</c:v>
                </c:pt>
                <c:pt idx="92">
                  <c:v>52.807980538437931</c:v>
                </c:pt>
                <c:pt idx="93">
                  <c:v>54.921983145084035</c:v>
                </c:pt>
                <c:pt idx="94">
                  <c:v>57.083835043183633</c:v>
                </c:pt>
                <c:pt idx="95">
                  <c:v>59.27598709377672</c:v>
                </c:pt>
                <c:pt idx="96">
                  <c:v>61.519356546556857</c:v>
                </c:pt>
                <c:pt idx="97">
                  <c:v>63.762037308342947</c:v>
                </c:pt>
                <c:pt idx="98">
                  <c:v>65.992082434790618</c:v>
                </c:pt>
                <c:pt idx="99">
                  <c:v>68.279846376986185</c:v>
                </c:pt>
                <c:pt idx="100">
                  <c:v>70.624614546170349</c:v>
                </c:pt>
                <c:pt idx="101">
                  <c:v>72.976075508607394</c:v>
                </c:pt>
                <c:pt idx="102">
                  <c:v>75.374252442622222</c:v>
                </c:pt>
                <c:pt idx="103">
                  <c:v>77.861796023052307</c:v>
                </c:pt>
                <c:pt idx="104">
                  <c:v>80.393965558186395</c:v>
                </c:pt>
                <c:pt idx="105">
                  <c:v>82.859949145281362</c:v>
                </c:pt>
                <c:pt idx="106">
                  <c:v>85.344199605240021</c:v>
                </c:pt>
                <c:pt idx="107">
                  <c:v>87.912871913182499</c:v>
                </c:pt>
                <c:pt idx="108">
                  <c:v>90.426011643139859</c:v>
                </c:pt>
                <c:pt idx="109">
                  <c:v>93.010498305342978</c:v>
                </c:pt>
                <c:pt idx="110">
                  <c:v>95.648920207991836</c:v>
                </c:pt>
                <c:pt idx="111">
                  <c:v>98.263694209298095</c:v>
                </c:pt>
                <c:pt idx="112">
                  <c:v>100.86722332416819</c:v>
                </c:pt>
                <c:pt idx="113">
                  <c:v>103.50738957149667</c:v>
                </c:pt>
                <c:pt idx="114">
                  <c:v>106.10094422510899</c:v>
                </c:pt>
                <c:pt idx="115">
                  <c:v>108.69885689337971</c:v>
                </c:pt>
                <c:pt idx="116">
                  <c:v>111.27479066887825</c:v>
                </c:pt>
                <c:pt idx="117">
                  <c:v>113.86982739944514</c:v>
                </c:pt>
                <c:pt idx="118">
                  <c:v>116.45764959303058</c:v>
                </c:pt>
                <c:pt idx="119">
                  <c:v>119.02668725698234</c:v>
                </c:pt>
                <c:pt idx="120">
                  <c:v>121.52064781665622</c:v>
                </c:pt>
                <c:pt idx="121">
                  <c:v>124.00991072605858</c:v>
                </c:pt>
                <c:pt idx="122">
                  <c:v>126.52479291178861</c:v>
                </c:pt>
                <c:pt idx="123">
                  <c:v>129.00650109285746</c:v>
                </c:pt>
                <c:pt idx="124">
                  <c:v>131.42050884854885</c:v>
                </c:pt>
                <c:pt idx="125">
                  <c:v>133.80209999536484</c:v>
                </c:pt>
                <c:pt idx="126">
                  <c:v>136.16328778231568</c:v>
                </c:pt>
                <c:pt idx="127">
                  <c:v>138.50877785408468</c:v>
                </c:pt>
                <c:pt idx="128">
                  <c:v>140.84707330016872</c:v>
                </c:pt>
                <c:pt idx="129">
                  <c:v>143.14618842578835</c:v>
                </c:pt>
                <c:pt idx="130">
                  <c:v>145.44017270248492</c:v>
                </c:pt>
                <c:pt idx="131">
                  <c:v>147.67441750514132</c:v>
                </c:pt>
                <c:pt idx="132">
                  <c:v>149.84600375522979</c:v>
                </c:pt>
                <c:pt idx="133">
                  <c:v>151.94612356656512</c:v>
                </c:pt>
                <c:pt idx="134">
                  <c:v>154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45615</c:v>
                </c:pt>
                <c:pt idx="1">
                  <c:v>45616</c:v>
                </c:pt>
                <c:pt idx="2">
                  <c:v>45617</c:v>
                </c:pt>
                <c:pt idx="3">
                  <c:v>45618</c:v>
                </c:pt>
                <c:pt idx="4">
                  <c:v>45619</c:v>
                </c:pt>
                <c:pt idx="5">
                  <c:v>45620</c:v>
                </c:pt>
                <c:pt idx="6">
                  <c:v>45621</c:v>
                </c:pt>
                <c:pt idx="7">
                  <c:v>45622</c:v>
                </c:pt>
                <c:pt idx="8">
                  <c:v>45623</c:v>
                </c:pt>
                <c:pt idx="9">
                  <c:v>45624</c:v>
                </c:pt>
                <c:pt idx="10">
                  <c:v>45625</c:v>
                </c:pt>
                <c:pt idx="11">
                  <c:v>45626</c:v>
                </c:pt>
                <c:pt idx="12">
                  <c:v>45627</c:v>
                </c:pt>
                <c:pt idx="13">
                  <c:v>45628</c:v>
                </c:pt>
                <c:pt idx="14">
                  <c:v>45629</c:v>
                </c:pt>
                <c:pt idx="15">
                  <c:v>45630</c:v>
                </c:pt>
                <c:pt idx="16">
                  <c:v>45631</c:v>
                </c:pt>
                <c:pt idx="17">
                  <c:v>45632</c:v>
                </c:pt>
                <c:pt idx="18">
                  <c:v>45633</c:v>
                </c:pt>
                <c:pt idx="19">
                  <c:v>45634</c:v>
                </c:pt>
                <c:pt idx="20">
                  <c:v>45635</c:v>
                </c:pt>
                <c:pt idx="21">
                  <c:v>45636</c:v>
                </c:pt>
                <c:pt idx="22">
                  <c:v>45637</c:v>
                </c:pt>
                <c:pt idx="23">
                  <c:v>45638</c:v>
                </c:pt>
                <c:pt idx="24">
                  <c:v>45639</c:v>
                </c:pt>
                <c:pt idx="25">
                  <c:v>45640</c:v>
                </c:pt>
                <c:pt idx="26">
                  <c:v>45641</c:v>
                </c:pt>
                <c:pt idx="27">
                  <c:v>45642</c:v>
                </c:pt>
                <c:pt idx="28">
                  <c:v>45643</c:v>
                </c:pt>
                <c:pt idx="29">
                  <c:v>45644</c:v>
                </c:pt>
                <c:pt idx="30">
                  <c:v>45645</c:v>
                </c:pt>
                <c:pt idx="31">
                  <c:v>45646</c:v>
                </c:pt>
                <c:pt idx="32">
                  <c:v>45647</c:v>
                </c:pt>
                <c:pt idx="33">
                  <c:v>45648</c:v>
                </c:pt>
                <c:pt idx="34">
                  <c:v>45649</c:v>
                </c:pt>
                <c:pt idx="35">
                  <c:v>45650</c:v>
                </c:pt>
                <c:pt idx="36">
                  <c:v>45651</c:v>
                </c:pt>
                <c:pt idx="37">
                  <c:v>45652</c:v>
                </c:pt>
                <c:pt idx="38">
                  <c:v>45653</c:v>
                </c:pt>
                <c:pt idx="39">
                  <c:v>45654</c:v>
                </c:pt>
                <c:pt idx="40">
                  <c:v>45655</c:v>
                </c:pt>
                <c:pt idx="41">
                  <c:v>45656</c:v>
                </c:pt>
                <c:pt idx="42">
                  <c:v>45657</c:v>
                </c:pt>
                <c:pt idx="43">
                  <c:v>45658</c:v>
                </c:pt>
                <c:pt idx="44">
                  <c:v>45659</c:v>
                </c:pt>
                <c:pt idx="45">
                  <c:v>45660</c:v>
                </c:pt>
                <c:pt idx="46">
                  <c:v>45661</c:v>
                </c:pt>
                <c:pt idx="47">
                  <c:v>45662</c:v>
                </c:pt>
                <c:pt idx="48">
                  <c:v>45663</c:v>
                </c:pt>
                <c:pt idx="49">
                  <c:v>45664</c:v>
                </c:pt>
                <c:pt idx="50">
                  <c:v>45665</c:v>
                </c:pt>
                <c:pt idx="51">
                  <c:v>45666</c:v>
                </c:pt>
                <c:pt idx="52">
                  <c:v>45667</c:v>
                </c:pt>
                <c:pt idx="53">
                  <c:v>45668</c:v>
                </c:pt>
                <c:pt idx="54">
                  <c:v>45669</c:v>
                </c:pt>
                <c:pt idx="55">
                  <c:v>45670</c:v>
                </c:pt>
                <c:pt idx="56">
                  <c:v>45671</c:v>
                </c:pt>
                <c:pt idx="57">
                  <c:v>45672</c:v>
                </c:pt>
                <c:pt idx="58">
                  <c:v>45673</c:v>
                </c:pt>
                <c:pt idx="59">
                  <c:v>45674</c:v>
                </c:pt>
                <c:pt idx="60">
                  <c:v>45675</c:v>
                </c:pt>
                <c:pt idx="61">
                  <c:v>45676</c:v>
                </c:pt>
                <c:pt idx="62">
                  <c:v>45677</c:v>
                </c:pt>
                <c:pt idx="63">
                  <c:v>45678</c:v>
                </c:pt>
                <c:pt idx="64">
                  <c:v>45679</c:v>
                </c:pt>
                <c:pt idx="65">
                  <c:v>45680</c:v>
                </c:pt>
                <c:pt idx="66">
                  <c:v>45681</c:v>
                </c:pt>
                <c:pt idx="67">
                  <c:v>45682</c:v>
                </c:pt>
                <c:pt idx="68">
                  <c:v>45683</c:v>
                </c:pt>
                <c:pt idx="69">
                  <c:v>45684</c:v>
                </c:pt>
                <c:pt idx="70">
                  <c:v>45685</c:v>
                </c:pt>
                <c:pt idx="71">
                  <c:v>45686</c:v>
                </c:pt>
                <c:pt idx="72">
                  <c:v>45687</c:v>
                </c:pt>
                <c:pt idx="73">
                  <c:v>45688</c:v>
                </c:pt>
                <c:pt idx="74">
                  <c:v>45689</c:v>
                </c:pt>
                <c:pt idx="75">
                  <c:v>45690</c:v>
                </c:pt>
                <c:pt idx="76">
                  <c:v>45691</c:v>
                </c:pt>
                <c:pt idx="77">
                  <c:v>45692</c:v>
                </c:pt>
                <c:pt idx="78">
                  <c:v>45693</c:v>
                </c:pt>
                <c:pt idx="79">
                  <c:v>45694</c:v>
                </c:pt>
                <c:pt idx="80">
                  <c:v>45695</c:v>
                </c:pt>
                <c:pt idx="81">
                  <c:v>45696</c:v>
                </c:pt>
                <c:pt idx="82">
                  <c:v>45697</c:v>
                </c:pt>
                <c:pt idx="83">
                  <c:v>45698</c:v>
                </c:pt>
                <c:pt idx="84">
                  <c:v>45699</c:v>
                </c:pt>
                <c:pt idx="85">
                  <c:v>45700</c:v>
                </c:pt>
                <c:pt idx="86">
                  <c:v>45701</c:v>
                </c:pt>
                <c:pt idx="87">
                  <c:v>45702</c:v>
                </c:pt>
                <c:pt idx="88">
                  <c:v>45703</c:v>
                </c:pt>
                <c:pt idx="89">
                  <c:v>45704</c:v>
                </c:pt>
                <c:pt idx="90">
                  <c:v>45705</c:v>
                </c:pt>
                <c:pt idx="91">
                  <c:v>45706</c:v>
                </c:pt>
                <c:pt idx="92">
                  <c:v>45707</c:v>
                </c:pt>
                <c:pt idx="93">
                  <c:v>45708</c:v>
                </c:pt>
                <c:pt idx="94">
                  <c:v>45709</c:v>
                </c:pt>
                <c:pt idx="95">
                  <c:v>45710</c:v>
                </c:pt>
                <c:pt idx="96">
                  <c:v>45711</c:v>
                </c:pt>
                <c:pt idx="97">
                  <c:v>45712</c:v>
                </c:pt>
                <c:pt idx="98">
                  <c:v>45713</c:v>
                </c:pt>
                <c:pt idx="99">
                  <c:v>45714</c:v>
                </c:pt>
                <c:pt idx="100">
                  <c:v>45715</c:v>
                </c:pt>
                <c:pt idx="101">
                  <c:v>45716</c:v>
                </c:pt>
                <c:pt idx="102">
                  <c:v>45717</c:v>
                </c:pt>
                <c:pt idx="103">
                  <c:v>45718</c:v>
                </c:pt>
                <c:pt idx="104">
                  <c:v>45719</c:v>
                </c:pt>
                <c:pt idx="105">
                  <c:v>45720</c:v>
                </c:pt>
                <c:pt idx="106">
                  <c:v>45721</c:v>
                </c:pt>
                <c:pt idx="107">
                  <c:v>45722</c:v>
                </c:pt>
                <c:pt idx="108">
                  <c:v>45723</c:v>
                </c:pt>
                <c:pt idx="109">
                  <c:v>45724</c:v>
                </c:pt>
                <c:pt idx="110">
                  <c:v>45725</c:v>
                </c:pt>
                <c:pt idx="111">
                  <c:v>45726</c:v>
                </c:pt>
                <c:pt idx="112">
                  <c:v>45727</c:v>
                </c:pt>
                <c:pt idx="113">
                  <c:v>45728</c:v>
                </c:pt>
                <c:pt idx="114">
                  <c:v>45729</c:v>
                </c:pt>
                <c:pt idx="115">
                  <c:v>45730</c:v>
                </c:pt>
                <c:pt idx="116">
                  <c:v>45731</c:v>
                </c:pt>
                <c:pt idx="117">
                  <c:v>45732</c:v>
                </c:pt>
                <c:pt idx="118">
                  <c:v>45733</c:v>
                </c:pt>
                <c:pt idx="119">
                  <c:v>45734</c:v>
                </c:pt>
                <c:pt idx="120">
                  <c:v>45735</c:v>
                </c:pt>
                <c:pt idx="121">
                  <c:v>45736</c:v>
                </c:pt>
                <c:pt idx="122">
                  <c:v>45737</c:v>
                </c:pt>
                <c:pt idx="123">
                  <c:v>45738</c:v>
                </c:pt>
                <c:pt idx="124">
                  <c:v>45739</c:v>
                </c:pt>
                <c:pt idx="125">
                  <c:v>45740</c:v>
                </c:pt>
                <c:pt idx="126">
                  <c:v>45741</c:v>
                </c:pt>
                <c:pt idx="127">
                  <c:v>45742</c:v>
                </c:pt>
                <c:pt idx="128">
                  <c:v>45743</c:v>
                </c:pt>
                <c:pt idx="129">
                  <c:v>45744</c:v>
                </c:pt>
                <c:pt idx="130">
                  <c:v>45745</c:v>
                </c:pt>
                <c:pt idx="131">
                  <c:v>45746</c:v>
                </c:pt>
                <c:pt idx="132">
                  <c:v>45747</c:v>
                </c:pt>
                <c:pt idx="133">
                  <c:v>45748</c:v>
                </c:pt>
                <c:pt idx="134">
                  <c:v>45749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12.832866081482575</c:v>
                </c:pt>
                <c:pt idx="1">
                  <c:v>12.531584064602043</c:v>
                </c:pt>
                <c:pt idx="2">
                  <c:v>12.28855882816905</c:v>
                </c:pt>
                <c:pt idx="3">
                  <c:v>12.088830126363538</c:v>
                </c:pt>
                <c:pt idx="4">
                  <c:v>11.928252746750934</c:v>
                </c:pt>
                <c:pt idx="5">
                  <c:v>11.803824129736338</c:v>
                </c:pt>
                <c:pt idx="6">
                  <c:v>11.711495705496722</c:v>
                </c:pt>
                <c:pt idx="7">
                  <c:v>11.66432878967556</c:v>
                </c:pt>
                <c:pt idx="8">
                  <c:v>11.674307125330346</c:v>
                </c:pt>
                <c:pt idx="9">
                  <c:v>11.714129301919613</c:v>
                </c:pt>
                <c:pt idx="10">
                  <c:v>11.786995849381036</c:v>
                </c:pt>
                <c:pt idx="11">
                  <c:v>11.878368444040495</c:v>
                </c:pt>
                <c:pt idx="12">
                  <c:v>12.041412166981823</c:v>
                </c:pt>
                <c:pt idx="13">
                  <c:v>12.222778176231419</c:v>
                </c:pt>
                <c:pt idx="14">
                  <c:v>12.483276968364258</c:v>
                </c:pt>
                <c:pt idx="15">
                  <c:v>12.725473632291617</c:v>
                </c:pt>
                <c:pt idx="16">
                  <c:v>12.997500466895152</c:v>
                </c:pt>
                <c:pt idx="17">
                  <c:v>13.285550293942228</c:v>
                </c:pt>
                <c:pt idx="18">
                  <c:v>13.575120043380965</c:v>
                </c:pt>
                <c:pt idx="19">
                  <c:v>13.864808241398443</c:v>
                </c:pt>
                <c:pt idx="20">
                  <c:v>14.164966977884312</c:v>
                </c:pt>
                <c:pt idx="21">
                  <c:v>14.464375796086877</c:v>
                </c:pt>
                <c:pt idx="22">
                  <c:v>14.777074226858678</c:v>
                </c:pt>
                <c:pt idx="23">
                  <c:v>15.079584014903389</c:v>
                </c:pt>
                <c:pt idx="24">
                  <c:v>15.41026922921637</c:v>
                </c:pt>
                <c:pt idx="25">
                  <c:v>15.740681460003652</c:v>
                </c:pt>
                <c:pt idx="26">
                  <c:v>16.119391670934878</c:v>
                </c:pt>
                <c:pt idx="27">
                  <c:v>16.53229361277225</c:v>
                </c:pt>
                <c:pt idx="28">
                  <c:v>16.962390927602701</c:v>
                </c:pt>
                <c:pt idx="29">
                  <c:v>17.419733426150415</c:v>
                </c:pt>
                <c:pt idx="30">
                  <c:v>17.859183652950392</c:v>
                </c:pt>
                <c:pt idx="31">
                  <c:v>18.311594353027242</c:v>
                </c:pt>
                <c:pt idx="32">
                  <c:v>18.747276837527536</c:v>
                </c:pt>
                <c:pt idx="33">
                  <c:v>19.15684098995871</c:v>
                </c:pt>
                <c:pt idx="34">
                  <c:v>19.575617668678344</c:v>
                </c:pt>
                <c:pt idx="35">
                  <c:v>20.027564561069735</c:v>
                </c:pt>
                <c:pt idx="36">
                  <c:v>20.433212704451076</c:v>
                </c:pt>
                <c:pt idx="37">
                  <c:v>20.821377056991459</c:v>
                </c:pt>
                <c:pt idx="38">
                  <c:v>21.200622958451749</c:v>
                </c:pt>
                <c:pt idx="39">
                  <c:v>21.587895245677547</c:v>
                </c:pt>
                <c:pt idx="40">
                  <c:v>21.988900272989664</c:v>
                </c:pt>
                <c:pt idx="41">
                  <c:v>22.465194391406058</c:v>
                </c:pt>
                <c:pt idx="42">
                  <c:v>22.913007801165552</c:v>
                </c:pt>
                <c:pt idx="43">
                  <c:v>23.338115285723831</c:v>
                </c:pt>
                <c:pt idx="44">
                  <c:v>23.732201102867435</c:v>
                </c:pt>
                <c:pt idx="45">
                  <c:v>24.078430213371675</c:v>
                </c:pt>
                <c:pt idx="46">
                  <c:v>24.391923854362883</c:v>
                </c:pt>
                <c:pt idx="47">
                  <c:v>24.659473495403113</c:v>
                </c:pt>
                <c:pt idx="48">
                  <c:v>24.899860308965469</c:v>
                </c:pt>
                <c:pt idx="49">
                  <c:v>25.121244690253732</c:v>
                </c:pt>
                <c:pt idx="50">
                  <c:v>25.332422228008763</c:v>
                </c:pt>
                <c:pt idx="51">
                  <c:v>25.534510343876921</c:v>
                </c:pt>
                <c:pt idx="52">
                  <c:v>25.692842570256886</c:v>
                </c:pt>
                <c:pt idx="53">
                  <c:v>25.806064418973715</c:v>
                </c:pt>
                <c:pt idx="54">
                  <c:v>25.87706183630775</c:v>
                </c:pt>
                <c:pt idx="55">
                  <c:v>25.940065716015692</c:v>
                </c:pt>
                <c:pt idx="56">
                  <c:v>25.971533393343829</c:v>
                </c:pt>
                <c:pt idx="57">
                  <c:v>25.954624232622365</c:v>
                </c:pt>
                <c:pt idx="58">
                  <c:v>25.915718321649294</c:v>
                </c:pt>
                <c:pt idx="59">
                  <c:v>25.851145352597658</c:v>
                </c:pt>
                <c:pt idx="60">
                  <c:v>25.754108901319775</c:v>
                </c:pt>
                <c:pt idx="61">
                  <c:v>25.62616317587873</c:v>
                </c:pt>
                <c:pt idx="62">
                  <c:v>25.451994647160078</c:v>
                </c:pt>
                <c:pt idx="63">
                  <c:v>25.330802870866798</c:v>
                </c:pt>
                <c:pt idx="64">
                  <c:v>25.190827086225948</c:v>
                </c:pt>
                <c:pt idx="65">
                  <c:v>25.009919829271077</c:v>
                </c:pt>
                <c:pt idx="66">
                  <c:v>24.803428619657538</c:v>
                </c:pt>
                <c:pt idx="67">
                  <c:v>24.573175135820509</c:v>
                </c:pt>
                <c:pt idx="68">
                  <c:v>24.279773764883284</c:v>
                </c:pt>
                <c:pt idx="69">
                  <c:v>23.948647642586678</c:v>
                </c:pt>
                <c:pt idx="70">
                  <c:v>23.564550670431668</c:v>
                </c:pt>
                <c:pt idx="71">
                  <c:v>23.130493488745874</c:v>
                </c:pt>
                <c:pt idx="72">
                  <c:v>22.659442322520668</c:v>
                </c:pt>
                <c:pt idx="73">
                  <c:v>22.147880306202406</c:v>
                </c:pt>
                <c:pt idx="74">
                  <c:v>21.567836093964679</c:v>
                </c:pt>
                <c:pt idx="75">
                  <c:v>20.969262537173474</c:v>
                </c:pt>
                <c:pt idx="76">
                  <c:v>20.306514344699671</c:v>
                </c:pt>
                <c:pt idx="77">
                  <c:v>19.64627912849047</c:v>
                </c:pt>
                <c:pt idx="78">
                  <c:v>18.922424121951551</c:v>
                </c:pt>
                <c:pt idx="79">
                  <c:v>18.122410578573355</c:v>
                </c:pt>
                <c:pt idx="80">
                  <c:v>17.24897798174495</c:v>
                </c:pt>
                <c:pt idx="81">
                  <c:v>16.324812307472147</c:v>
                </c:pt>
                <c:pt idx="82">
                  <c:v>15.330217592909509</c:v>
                </c:pt>
                <c:pt idx="83">
                  <c:v>14.258488132809694</c:v>
                </c:pt>
                <c:pt idx="84">
                  <c:v>13.125935242749957</c:v>
                </c:pt>
                <c:pt idx="85">
                  <c:v>11.946955575617963</c:v>
                </c:pt>
                <c:pt idx="86">
                  <c:v>10.701865254583614</c:v>
                </c:pt>
                <c:pt idx="87">
                  <c:v>9.397695747360638</c:v>
                </c:pt>
                <c:pt idx="88">
                  <c:v>8.0610803647180607</c:v>
                </c:pt>
                <c:pt idx="89">
                  <c:v>6.6717008549813244</c:v>
                </c:pt>
                <c:pt idx="90">
                  <c:v>5.2570113354155001</c:v>
                </c:pt>
                <c:pt idx="91">
                  <c:v>3.7656246002882234</c:v>
                </c:pt>
                <c:pt idx="92">
                  <c:v>2.2087242771642321</c:v>
                </c:pt>
                <c:pt idx="93">
                  <c:v>0.61200004568666255</c:v>
                </c:pt>
                <c:pt idx="94">
                  <c:v>-1.0257766861401858</c:v>
                </c:pt>
                <c:pt idx="95">
                  <c:v>-2.7129637095642849</c:v>
                </c:pt>
                <c:pt idx="96">
                  <c:v>-4.4416695208785768</c:v>
                </c:pt>
                <c:pt idx="97">
                  <c:v>-6.1938410144443363</c:v>
                </c:pt>
                <c:pt idx="98">
                  <c:v>-7.9644229808520288</c:v>
                </c:pt>
                <c:pt idx="99">
                  <c:v>-9.7911712552395151</c:v>
                </c:pt>
                <c:pt idx="100">
                  <c:v>-11.678758654796537</c:v>
                </c:pt>
                <c:pt idx="101">
                  <c:v>-13.566228704042722</c:v>
                </c:pt>
                <c:pt idx="102">
                  <c:v>-15.474897136072428</c:v>
                </c:pt>
                <c:pt idx="103">
                  <c:v>-17.459166510486263</c:v>
                </c:pt>
                <c:pt idx="104">
                  <c:v>-19.471882404653982</c:v>
                </c:pt>
                <c:pt idx="105">
                  <c:v>-21.41162267298283</c:v>
                </c:pt>
                <c:pt idx="106">
                  <c:v>-23.376569618411942</c:v>
                </c:pt>
                <c:pt idx="107">
                  <c:v>-25.416378460429812</c:v>
                </c:pt>
                <c:pt idx="108">
                  <c:v>-27.421876645540753</c:v>
                </c:pt>
                <c:pt idx="109">
                  <c:v>-29.507603749239383</c:v>
                </c:pt>
                <c:pt idx="110">
                  <c:v>-31.630036765817415</c:v>
                </c:pt>
                <c:pt idx="111">
                  <c:v>-33.75181342816213</c:v>
                </c:pt>
                <c:pt idx="112">
                  <c:v>-35.817080299087394</c:v>
                </c:pt>
                <c:pt idx="113">
                  <c:v>-37.911978404135006</c:v>
                </c:pt>
                <c:pt idx="114">
                  <c:v>-39.991383563100946</c:v>
                </c:pt>
                <c:pt idx="115">
                  <c:v>-42.087661354006791</c:v>
                </c:pt>
                <c:pt idx="116">
                  <c:v>-44.164139606084504</c:v>
                </c:pt>
                <c:pt idx="117">
                  <c:v>-46.253548540357343</c:v>
                </c:pt>
                <c:pt idx="118">
                  <c:v>-48.33963074009587</c:v>
                </c:pt>
                <c:pt idx="119">
                  <c:v>-50.42309102657056</c:v>
                </c:pt>
                <c:pt idx="120">
                  <c:v>-52.462316041818141</c:v>
                </c:pt>
                <c:pt idx="121">
                  <c:v>-54.484236229481823</c:v>
                </c:pt>
                <c:pt idx="122">
                  <c:v>-56.544423855823091</c:v>
                </c:pt>
                <c:pt idx="123">
                  <c:v>-58.571699478813393</c:v>
                </c:pt>
                <c:pt idx="124">
                  <c:v>-60.538308570854525</c:v>
                </c:pt>
                <c:pt idx="125">
                  <c:v>-62.483980458579268</c:v>
                </c:pt>
                <c:pt idx="126">
                  <c:v>-64.417067562683187</c:v>
                </c:pt>
                <c:pt idx="127">
                  <c:v>-66.32152897807147</c:v>
                </c:pt>
                <c:pt idx="128">
                  <c:v>-68.231379238676709</c:v>
                </c:pt>
                <c:pt idx="129">
                  <c:v>-70.104208443641397</c:v>
                </c:pt>
                <c:pt idx="130">
                  <c:v>-71.96099678066534</c:v>
                </c:pt>
                <c:pt idx="131">
                  <c:v>-73.778667398817177</c:v>
                </c:pt>
                <c:pt idx="132">
                  <c:v>-75.534146854894615</c:v>
                </c:pt>
                <c:pt idx="133">
                  <c:v>-77.233926511306265</c:v>
                </c:pt>
                <c:pt idx="134">
                  <c:v>-78.880434478612884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0.43958070182911374</c:v>
                </c:pt>
                <c:pt idx="1">
                  <c:v>0.88722357180423028</c:v>
                </c:pt>
                <c:pt idx="2">
                  <c:v>1.3621302042181549</c:v>
                </c:pt>
                <c:pt idx="3">
                  <c:v>1.849542838790734</c:v>
                </c:pt>
                <c:pt idx="4">
                  <c:v>2.3289945059559134</c:v>
                </c:pt>
                <c:pt idx="5">
                  <c:v>2.8323038772311828</c:v>
                </c:pt>
                <c:pt idx="6">
                  <c:v>3.3304574802676945</c:v>
                </c:pt>
                <c:pt idx="7">
                  <c:v>3.8230598917893936</c:v>
                </c:pt>
                <c:pt idx="8">
                  <c:v>4.3361630923869283</c:v>
                </c:pt>
                <c:pt idx="9">
                  <c:v>4.8506832860193514</c:v>
                </c:pt>
                <c:pt idx="10">
                  <c:v>5.3758548694866457</c:v>
                </c:pt>
                <c:pt idx="11">
                  <c:v>5.8962593221521429</c:v>
                </c:pt>
                <c:pt idx="12">
                  <c:v>6.469589718093081</c:v>
                </c:pt>
                <c:pt idx="13">
                  <c:v>7.0387889323446933</c:v>
                </c:pt>
                <c:pt idx="14">
                  <c:v>7.6589183930897047</c:v>
                </c:pt>
                <c:pt idx="15">
                  <c:v>8.2981515710770086</c:v>
                </c:pt>
                <c:pt idx="16">
                  <c:v>8.9452726897139421</c:v>
                </c:pt>
                <c:pt idx="17">
                  <c:v>9.5753558508028895</c:v>
                </c:pt>
                <c:pt idx="18">
                  <c:v>10.187547210503244</c:v>
                </c:pt>
                <c:pt idx="19">
                  <c:v>10.792242324459746</c:v>
                </c:pt>
                <c:pt idx="20">
                  <c:v>11.388948947906792</c:v>
                </c:pt>
                <c:pt idx="21">
                  <c:v>11.97963151020657</c:v>
                </c:pt>
                <c:pt idx="22">
                  <c:v>12.576701667061851</c:v>
                </c:pt>
                <c:pt idx="23">
                  <c:v>13.145025295337216</c:v>
                </c:pt>
                <c:pt idx="24">
                  <c:v>13.727385057118225</c:v>
                </c:pt>
                <c:pt idx="25">
                  <c:v>14.295607330886011</c:v>
                </c:pt>
                <c:pt idx="26">
                  <c:v>14.903522627239747</c:v>
                </c:pt>
                <c:pt idx="27">
                  <c:v>15.537144216348512</c:v>
                </c:pt>
                <c:pt idx="28">
                  <c:v>16.176088518209021</c:v>
                </c:pt>
                <c:pt idx="29">
                  <c:v>16.837942170241821</c:v>
                </c:pt>
                <c:pt idx="30">
                  <c:v>17.479552374551723</c:v>
                </c:pt>
                <c:pt idx="31">
                  <c:v>18.129154131543807</c:v>
                </c:pt>
                <c:pt idx="32">
                  <c:v>18.75991622194956</c:v>
                </c:pt>
                <c:pt idx="33">
                  <c:v>19.357254172209426</c:v>
                </c:pt>
                <c:pt idx="34">
                  <c:v>19.963444701093174</c:v>
                </c:pt>
                <c:pt idx="35">
                  <c:v>20.60449579181644</c:v>
                </c:pt>
                <c:pt idx="36">
                  <c:v>21.195939305590439</c:v>
                </c:pt>
                <c:pt idx="37">
                  <c:v>21.771428626902814</c:v>
                </c:pt>
                <c:pt idx="38">
                  <c:v>22.348313063871363</c:v>
                </c:pt>
                <c:pt idx="39">
                  <c:v>22.939456779195321</c:v>
                </c:pt>
                <c:pt idx="40">
                  <c:v>23.545523339438468</c:v>
                </c:pt>
                <c:pt idx="41">
                  <c:v>24.227607283294041</c:v>
                </c:pt>
                <c:pt idx="42">
                  <c:v>24.88528319593868</c:v>
                </c:pt>
                <c:pt idx="43">
                  <c:v>25.525946996387756</c:v>
                </c:pt>
                <c:pt idx="44">
                  <c:v>26.147239776912109</c:v>
                </c:pt>
                <c:pt idx="45">
                  <c:v>26.72671644010979</c:v>
                </c:pt>
                <c:pt idx="46">
                  <c:v>27.285666175950603</c:v>
                </c:pt>
                <c:pt idx="47">
                  <c:v>27.803281276167553</c:v>
                </c:pt>
                <c:pt idx="48">
                  <c:v>28.305535949260829</c:v>
                </c:pt>
                <c:pt idx="49">
                  <c:v>28.806959950968782</c:v>
                </c:pt>
                <c:pt idx="50">
                  <c:v>29.314557377198351</c:v>
                </c:pt>
                <c:pt idx="51">
                  <c:v>29.831036796102033</c:v>
                </c:pt>
                <c:pt idx="52">
                  <c:v>30.316806256146108</c:v>
                </c:pt>
                <c:pt idx="53">
                  <c:v>30.771588582555985</c:v>
                </c:pt>
                <c:pt idx="54">
                  <c:v>31.209207570602963</c:v>
                </c:pt>
                <c:pt idx="55">
                  <c:v>31.658821782718338</c:v>
                </c:pt>
                <c:pt idx="56">
                  <c:v>32.104560812492565</c:v>
                </c:pt>
                <c:pt idx="57">
                  <c:v>32.528756272856739</c:v>
                </c:pt>
                <c:pt idx="58">
                  <c:v>32.952815921875754</c:v>
                </c:pt>
                <c:pt idx="59">
                  <c:v>33.369264955423567</c:v>
                </c:pt>
                <c:pt idx="60">
                  <c:v>33.780654385955188</c:v>
                </c:pt>
                <c:pt idx="61">
                  <c:v>34.196121568958553</c:v>
                </c:pt>
                <c:pt idx="62">
                  <c:v>34.59516167860199</c:v>
                </c:pt>
                <c:pt idx="63">
                  <c:v>35.062904961117624</c:v>
                </c:pt>
                <c:pt idx="64">
                  <c:v>35.54206339896885</c:v>
                </c:pt>
                <c:pt idx="65">
                  <c:v>36.014305341424866</c:v>
                </c:pt>
                <c:pt idx="66">
                  <c:v>36.493343364699292</c:v>
                </c:pt>
                <c:pt idx="67">
                  <c:v>36.988757901461412</c:v>
                </c:pt>
                <c:pt idx="68">
                  <c:v>37.467650321935189</c:v>
                </c:pt>
                <c:pt idx="69">
                  <c:v>37.933522154627475</c:v>
                </c:pt>
                <c:pt idx="70">
                  <c:v>38.394299245758901</c:v>
                </c:pt>
                <c:pt idx="71">
                  <c:v>38.857501314316359</c:v>
                </c:pt>
                <c:pt idx="72">
                  <c:v>39.33530989926043</c:v>
                </c:pt>
                <c:pt idx="73">
                  <c:v>39.81342910495021</c:v>
                </c:pt>
                <c:pt idx="74">
                  <c:v>40.278722344295403</c:v>
                </c:pt>
                <c:pt idx="75">
                  <c:v>40.755278132022063</c:v>
                </c:pt>
                <c:pt idx="76">
                  <c:v>41.207584494757</c:v>
                </c:pt>
                <c:pt idx="77">
                  <c:v>41.665496175522527</c:v>
                </c:pt>
                <c:pt idx="78">
                  <c:v>42.135876633313146</c:v>
                </c:pt>
                <c:pt idx="79">
                  <c:v>42.578315336909817</c:v>
                </c:pt>
                <c:pt idx="80">
                  <c:v>43.008946816278161</c:v>
                </c:pt>
                <c:pt idx="81">
                  <c:v>43.438594992664186</c:v>
                </c:pt>
                <c:pt idx="82">
                  <c:v>43.86230454331357</c:v>
                </c:pt>
                <c:pt idx="83">
                  <c:v>44.292233461139411</c:v>
                </c:pt>
                <c:pt idx="84">
                  <c:v>44.731594868623546</c:v>
                </c:pt>
                <c:pt idx="85">
                  <c:v>45.174968554589476</c:v>
                </c:pt>
                <c:pt idx="86">
                  <c:v>45.597761561855783</c:v>
                </c:pt>
                <c:pt idx="87">
                  <c:v>46.020851627021003</c:v>
                </c:pt>
                <c:pt idx="88">
                  <c:v>46.445765355098764</c:v>
                </c:pt>
                <c:pt idx="89">
                  <c:v>46.865844018761663</c:v>
                </c:pt>
                <c:pt idx="90">
                  <c:v>47.311876622793363</c:v>
                </c:pt>
                <c:pt idx="91">
                  <c:v>47.753926939375816</c:v>
                </c:pt>
                <c:pt idx="92">
                  <c:v>48.189259165524454</c:v>
                </c:pt>
                <c:pt idx="93">
                  <c:v>48.64600811134585</c:v>
                </c:pt>
                <c:pt idx="94">
                  <c:v>49.108656178956558</c:v>
                </c:pt>
                <c:pt idx="95">
                  <c:v>49.555955054350136</c:v>
                </c:pt>
                <c:pt idx="96">
                  <c:v>50.011696468792053</c:v>
                </c:pt>
                <c:pt idx="97">
                  <c:v>50.447253611278711</c:v>
                </c:pt>
                <c:pt idx="98">
                  <c:v>50.856816289380461</c:v>
                </c:pt>
                <c:pt idx="99">
                  <c:v>51.268499254528002</c:v>
                </c:pt>
                <c:pt idx="100">
                  <c:v>51.677961824035464</c:v>
                </c:pt>
                <c:pt idx="101">
                  <c:v>52.092608641132443</c:v>
                </c:pt>
                <c:pt idx="102">
                  <c:v>52.5289435176146</c:v>
                </c:pt>
                <c:pt idx="103">
                  <c:v>52.978365314548455</c:v>
                </c:pt>
                <c:pt idx="104">
                  <c:v>53.442132815205674</c:v>
                </c:pt>
                <c:pt idx="105">
                  <c:v>53.912699120339752</c:v>
                </c:pt>
                <c:pt idx="106">
                  <c:v>54.377582395778411</c:v>
                </c:pt>
                <c:pt idx="107">
                  <c:v>54.851437283873793</c:v>
                </c:pt>
                <c:pt idx="108">
                  <c:v>55.307131158359518</c:v>
                </c:pt>
                <c:pt idx="109">
                  <c:v>55.755933598302995</c:v>
                </c:pt>
                <c:pt idx="110">
                  <c:v>56.220665166800359</c:v>
                </c:pt>
                <c:pt idx="111">
                  <c:v>56.665954401139878</c:v>
                </c:pt>
                <c:pt idx="112">
                  <c:v>57.155338847472336</c:v>
                </c:pt>
                <c:pt idx="113">
                  <c:v>57.652018540657849</c:v>
                </c:pt>
                <c:pt idx="114">
                  <c:v>58.119674576872576</c:v>
                </c:pt>
                <c:pt idx="115">
                  <c:v>58.57565980970142</c:v>
                </c:pt>
                <c:pt idx="116">
                  <c:v>59.030789298582391</c:v>
                </c:pt>
                <c:pt idx="117">
                  <c:v>59.492476317989968</c:v>
                </c:pt>
                <c:pt idx="118">
                  <c:v>59.951145896728796</c:v>
                </c:pt>
                <c:pt idx="119">
                  <c:v>60.394791107626688</c:v>
                </c:pt>
                <c:pt idx="120">
                  <c:v>60.811346128420794</c:v>
                </c:pt>
                <c:pt idx="121">
                  <c:v>61.239611843628708</c:v>
                </c:pt>
                <c:pt idx="122">
                  <c:v>61.657892908820209</c:v>
                </c:pt>
                <c:pt idx="123">
                  <c:v>62.076294818281006</c:v>
                </c:pt>
                <c:pt idx="124">
                  <c:v>62.488473520523961</c:v>
                </c:pt>
                <c:pt idx="125">
                  <c:v>62.890943879545461</c:v>
                </c:pt>
                <c:pt idx="126">
                  <c:v>63.287065033303136</c:v>
                </c:pt>
                <c:pt idx="127">
                  <c:v>63.695175895952417</c:v>
                </c:pt>
                <c:pt idx="128">
                  <c:v>64.09293320768964</c:v>
                </c:pt>
                <c:pt idx="129">
                  <c:v>64.489105441979575</c:v>
                </c:pt>
                <c:pt idx="130">
                  <c:v>64.895717027202238</c:v>
                </c:pt>
                <c:pt idx="131">
                  <c:v>65.284182213646531</c:v>
                </c:pt>
                <c:pt idx="132">
                  <c:v>65.672247243134535</c:v>
                </c:pt>
                <c:pt idx="133">
                  <c:v>66.046228593820601</c:v>
                </c:pt>
                <c:pt idx="134">
                  <c:v>66.426675621164236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-0.78903759022072251</c:v>
                </c:pt>
                <c:pt idx="2">
                  <c:v>-1.5379624770763698</c:v>
                </c:pt>
                <c:pt idx="3">
                  <c:v>-2.2558943459232879</c:v>
                </c:pt>
                <c:pt idx="4">
                  <c:v>-2.9430356823013781</c:v>
                </c:pt>
                <c:pt idx="5">
                  <c:v>-3.5830647290791617</c:v>
                </c:pt>
                <c:pt idx="6">
                  <c:v>-4.2108027173690274</c:v>
                </c:pt>
                <c:pt idx="7">
                  <c:v>-4.8012847446451552</c:v>
                </c:pt>
                <c:pt idx="8">
                  <c:v>-5.3410540719880153</c:v>
                </c:pt>
                <c:pt idx="9">
                  <c:v>-5.8441789369307635</c:v>
                </c:pt>
                <c:pt idx="10">
                  <c:v>-6.3188769539739198</c:v>
                </c:pt>
                <c:pt idx="11">
                  <c:v>-6.7711819899797909</c:v>
                </c:pt>
                <c:pt idx="12">
                  <c:v>-7.2002138479858289</c:v>
                </c:pt>
                <c:pt idx="13">
                  <c:v>-7.6105005209854397</c:v>
                </c:pt>
                <c:pt idx="14">
                  <c:v>-7.9983337259874574</c:v>
                </c:pt>
                <c:pt idx="15">
                  <c:v>-8.3579643945996303</c:v>
                </c:pt>
                <c:pt idx="16">
                  <c:v>-8.6856839935969816</c:v>
                </c:pt>
                <c:pt idx="17">
                  <c:v>-8.9882312172262537</c:v>
                </c:pt>
                <c:pt idx="18">
                  <c:v>-9.2568858591988423</c:v>
                </c:pt>
                <c:pt idx="19">
                  <c:v>-9.5031953266385969</c:v>
                </c:pt>
                <c:pt idx="20">
                  <c:v>-9.7362780228730976</c:v>
                </c:pt>
                <c:pt idx="21">
                  <c:v>-9.9477448566144311</c:v>
                </c:pt>
                <c:pt idx="22">
                  <c:v>-10.147214039842737</c:v>
                </c:pt>
                <c:pt idx="23">
                  <c:v>-10.332951862712441</c:v>
                </c:pt>
                <c:pt idx="24">
                  <c:v>-10.496915061358663</c:v>
                </c:pt>
                <c:pt idx="25">
                  <c:v>-10.642556562296939</c:v>
                </c:pt>
                <c:pt idx="26">
                  <c:v>-10.770537808475876</c:v>
                </c:pt>
                <c:pt idx="27">
                  <c:v>-10.884251342219954</c:v>
                </c:pt>
                <c:pt idx="28">
                  <c:v>-10.983936058988427</c:v>
                </c:pt>
                <c:pt idx="29">
                  <c:v>-11.068496771721211</c:v>
                </c:pt>
                <c:pt idx="30">
                  <c:v>-11.141749702385287</c:v>
                </c:pt>
                <c:pt idx="31">
                  <c:v>-11.204422796827966</c:v>
                </c:pt>
                <c:pt idx="32">
                  <c:v>-11.255736150115233</c:v>
                </c:pt>
                <c:pt idx="33">
                  <c:v>-11.296821643211743</c:v>
                </c:pt>
                <c:pt idx="34">
                  <c:v>-11.327081420333137</c:v>
                </c:pt>
                <c:pt idx="35">
                  <c:v>-11.348510852833975</c:v>
                </c:pt>
                <c:pt idx="36">
                  <c:v>-11.361532358874118</c:v>
                </c:pt>
                <c:pt idx="37">
                  <c:v>-11.366282139165769</c:v>
                </c:pt>
                <c:pt idx="38">
                  <c:v>-11.363615050982482</c:v>
                </c:pt>
                <c:pt idx="39">
                  <c:v>-11.353261578258333</c:v>
                </c:pt>
                <c:pt idx="40">
                  <c:v>-11.335246222586314</c:v>
                </c:pt>
                <c:pt idx="41">
                  <c:v>-11.310747243113855</c:v>
                </c:pt>
                <c:pt idx="42">
                  <c:v>-11.28086287610687</c:v>
                </c:pt>
                <c:pt idx="43">
                  <c:v>-11.245852945327723</c:v>
                </c:pt>
                <c:pt idx="44">
                  <c:v>-11.206059389555261</c:v>
                </c:pt>
                <c:pt idx="45">
                  <c:v>-11.160553775467179</c:v>
                </c:pt>
                <c:pt idx="46">
                  <c:v>-11.111346997053431</c:v>
                </c:pt>
                <c:pt idx="47">
                  <c:v>-11.057341398520471</c:v>
                </c:pt>
                <c:pt idx="48">
                  <c:v>-11.001345105098899</c:v>
                </c:pt>
                <c:pt idx="49">
                  <c:v>-10.941867497231449</c:v>
                </c:pt>
                <c:pt idx="50">
                  <c:v>-10.877529453268689</c:v>
                </c:pt>
                <c:pt idx="51">
                  <c:v>-10.809422195003989</c:v>
                </c:pt>
                <c:pt idx="52">
                  <c:v>-10.737657894347159</c:v>
                </c:pt>
                <c:pt idx="53">
                  <c:v>-10.664379706399799</c:v>
                </c:pt>
                <c:pt idx="54">
                  <c:v>-10.592708147478611</c:v>
                </c:pt>
                <c:pt idx="55">
                  <c:v>-10.524400821792995</c:v>
                </c:pt>
                <c:pt idx="56">
                  <c:v>-10.452204234353196</c:v>
                </c:pt>
                <c:pt idx="57">
                  <c:v>-10.380833054740812</c:v>
                </c:pt>
                <c:pt idx="58">
                  <c:v>-10.314751574713267</c:v>
                </c:pt>
                <c:pt idx="59">
                  <c:v>-10.247902132857348</c:v>
                </c:pt>
                <c:pt idx="60">
                  <c:v>-10.181704106735559</c:v>
                </c:pt>
                <c:pt idx="61">
                  <c:v>-10.116885931982097</c:v>
                </c:pt>
                <c:pt idx="62">
                  <c:v>-10.051927078291634</c:v>
                </c:pt>
                <c:pt idx="63">
                  <c:v>-9.9918477022586742</c:v>
                </c:pt>
                <c:pt idx="64">
                  <c:v>-9.9110131940517761</c:v>
                </c:pt>
                <c:pt idx="65">
                  <c:v>-9.827032004265174</c:v>
                </c:pt>
                <c:pt idx="66">
                  <c:v>-9.7449262652607658</c:v>
                </c:pt>
                <c:pt idx="67">
                  <c:v>-9.6609936684663253</c:v>
                </c:pt>
                <c:pt idx="68">
                  <c:v>-9.5734394499728168</c:v>
                </c:pt>
                <c:pt idx="69">
                  <c:v>-9.4912125265726317</c:v>
                </c:pt>
                <c:pt idx="70">
                  <c:v>-9.411562212229434</c:v>
                </c:pt>
                <c:pt idx="71">
                  <c:v>-9.3344216987480912</c:v>
                </c:pt>
                <c:pt idx="72">
                  <c:v>-9.2580163949752361</c:v>
                </c:pt>
                <c:pt idx="73">
                  <c:v>-9.1787633556200916</c:v>
                </c:pt>
                <c:pt idx="74">
                  <c:v>-9.0996228582807852</c:v>
                </c:pt>
                <c:pt idx="75">
                  <c:v>-9.0252866357385138</c:v>
                </c:pt>
                <c:pt idx="76">
                  <c:v>-8.9471500532951325</c:v>
                </c:pt>
                <c:pt idx="77">
                  <c:v>-8.8756747409201466</c:v>
                </c:pt>
                <c:pt idx="78">
                  <c:v>-8.8004518806473193</c:v>
                </c:pt>
                <c:pt idx="79">
                  <c:v>-8.7244081301732663</c:v>
                </c:pt>
                <c:pt idx="80">
                  <c:v>-8.656413709544573</c:v>
                </c:pt>
                <c:pt idx="81">
                  <c:v>-8.5930756534209891</c:v>
                </c:pt>
                <c:pt idx="82">
                  <c:v>-8.5304992672742159</c:v>
                </c:pt>
                <c:pt idx="83">
                  <c:v>-8.4709897857252727</c:v>
                </c:pt>
                <c:pt idx="84">
                  <c:v>-8.4121184362844375</c:v>
                </c:pt>
                <c:pt idx="85">
                  <c:v>-8.35193630887197</c:v>
                </c:pt>
                <c:pt idx="86">
                  <c:v>-8.2907907034475485</c:v>
                </c:pt>
                <c:pt idx="87">
                  <c:v>-8.2354209678253234</c:v>
                </c:pt>
                <c:pt idx="88">
                  <c:v>-8.1806201172772219</c:v>
                </c:pt>
                <c:pt idx="89">
                  <c:v>-8.1246114365181796</c:v>
                </c:pt>
                <c:pt idx="90">
                  <c:v>-8.0700998084577904</c:v>
                </c:pt>
                <c:pt idx="91">
                  <c:v>-8.0091093174795276</c:v>
                </c:pt>
                <c:pt idx="92">
                  <c:v>-7.9505393440949277</c:v>
                </c:pt>
                <c:pt idx="93">
                  <c:v>-7.8944883786416682</c:v>
                </c:pt>
                <c:pt idx="94">
                  <c:v>-7.8339589492945265</c:v>
                </c:pt>
                <c:pt idx="95">
                  <c:v>-7.7725318506324825</c:v>
                </c:pt>
                <c:pt idx="96">
                  <c:v>-7.714865698857075</c:v>
                </c:pt>
                <c:pt idx="97">
                  <c:v>-7.6559434718331438</c:v>
                </c:pt>
                <c:pt idx="98">
                  <c:v>-7.6009913460994696</c:v>
                </c:pt>
                <c:pt idx="99">
                  <c:v>-7.5510908641612389</c:v>
                </c:pt>
                <c:pt idx="100">
                  <c:v>-7.5017581615006996</c:v>
                </c:pt>
                <c:pt idx="101">
                  <c:v>-7.4540399613810209</c:v>
                </c:pt>
                <c:pt idx="102">
                  <c:v>-7.4046958652871382</c:v>
                </c:pt>
                <c:pt idx="103">
                  <c:v>-7.3515222397841704</c:v>
                </c:pt>
                <c:pt idx="104">
                  <c:v>-7.2976698307017713</c:v>
                </c:pt>
                <c:pt idx="105">
                  <c:v>-7.2419836903926225</c:v>
                </c:pt>
                <c:pt idx="106">
                  <c:v>-7.1863066767605766</c:v>
                </c:pt>
                <c:pt idx="107">
                  <c:v>-7.1318864376696851</c:v>
                </c:pt>
                <c:pt idx="108">
                  <c:v>-7.076877859840458</c:v>
                </c:pt>
                <c:pt idx="109">
                  <c:v>-7.0249301894797682</c:v>
                </c:pt>
                <c:pt idx="110">
                  <c:v>-6.9749730709187574</c:v>
                </c:pt>
                <c:pt idx="111">
                  <c:v>-6.9237157533452951</c:v>
                </c:pt>
                <c:pt idx="112">
                  <c:v>-6.8760076487232666</c:v>
                </c:pt>
                <c:pt idx="113">
                  <c:v>-6.8271298511108895</c:v>
                </c:pt>
                <c:pt idx="114">
                  <c:v>-6.7785414020155343</c:v>
                </c:pt>
                <c:pt idx="115">
                  <c:v>-6.7320479435838863</c:v>
                </c:pt>
                <c:pt idx="116">
                  <c:v>-6.6863982990478519</c:v>
                </c:pt>
                <c:pt idx="117">
                  <c:v>-6.6420722645079948</c:v>
                </c:pt>
                <c:pt idx="118">
                  <c:v>-6.5981314876215222</c:v>
                </c:pt>
                <c:pt idx="119">
                  <c:v>-6.5550610725134426</c:v>
                </c:pt>
                <c:pt idx="120">
                  <c:v>-6.5131289059342592</c:v>
                </c:pt>
                <c:pt idx="121">
                  <c:v>-6.4749483823020633</c:v>
                </c:pt>
                <c:pt idx="122">
                  <c:v>-6.4358713757712991</c:v>
                </c:pt>
                <c:pt idx="123">
                  <c:v>-6.3994578815740368</c:v>
                </c:pt>
                <c:pt idx="124">
                  <c:v>-6.3634272329562833</c:v>
                </c:pt>
                <c:pt idx="125">
                  <c:v>-6.3282072715489868</c:v>
                </c:pt>
                <c:pt idx="126">
                  <c:v>-6.294758371479233</c:v>
                </c:pt>
                <c:pt idx="127">
                  <c:v>-6.262778842389995</c:v>
                </c:pt>
                <c:pt idx="128">
                  <c:v>-6.2298610486585488</c:v>
                </c:pt>
                <c:pt idx="129">
                  <c:v>-6.1991731749169858</c:v>
                </c:pt>
                <c:pt idx="130">
                  <c:v>-6.1690594885519801</c:v>
                </c:pt>
                <c:pt idx="131">
                  <c:v>-6.1384751341020305</c:v>
                </c:pt>
                <c:pt idx="132">
                  <c:v>-6.1103661360417547</c:v>
                </c:pt>
                <c:pt idx="133">
                  <c:v>-6.0823243715187303</c:v>
                </c:pt>
                <c:pt idx="134">
                  <c:v>-6.0559655672811061</c:v>
                </c:pt>
                <c:pt idx="135">
                  <c:v>-6.02904412849648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107.57111111111111</c:v>
                </c:pt>
                <c:pt idx="2">
                  <c:v>109.36299104480628</c:v>
                </c:pt>
                <c:pt idx="3">
                  <c:v>114.75575813979675</c:v>
                </c:pt>
                <c:pt idx="4">
                  <c:v>115.67436969296257</c:v>
                </c:pt>
                <c:pt idx="5">
                  <c:v>116.38055409557167</c:v>
                </c:pt>
                <c:pt idx="6">
                  <c:v>119.94977660652944</c:v>
                </c:pt>
                <c:pt idx="7">
                  <c:v>119.77431922472539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118.68888888888888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119.91111111111113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119.17777777777778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120</c:v>
                </c:pt>
                <c:pt idx="107">
                  <c:v>120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120</c:v>
                </c:pt>
                <c:pt idx="133">
                  <c:v>120</c:v>
                </c:pt>
                <c:pt idx="134">
                  <c:v>120</c:v>
                </c:pt>
                <c:pt idx="135">
                  <c:v>120</c:v>
                </c:pt>
                <c:pt idx="136">
                  <c:v>120</c:v>
                </c:pt>
                <c:pt idx="137">
                  <c:v>120</c:v>
                </c:pt>
                <c:pt idx="138">
                  <c:v>120</c:v>
                </c:pt>
                <c:pt idx="139">
                  <c:v>120</c:v>
                </c:pt>
                <c:pt idx="140">
                  <c:v>120</c:v>
                </c:pt>
                <c:pt idx="141">
                  <c:v>120</c:v>
                </c:pt>
                <c:pt idx="142">
                  <c:v>120</c:v>
                </c:pt>
                <c:pt idx="143">
                  <c:v>120</c:v>
                </c:pt>
                <c:pt idx="144">
                  <c:v>120</c:v>
                </c:pt>
                <c:pt idx="145">
                  <c:v>120</c:v>
                </c:pt>
                <c:pt idx="146">
                  <c:v>120</c:v>
                </c:pt>
                <c:pt idx="147">
                  <c:v>120</c:v>
                </c:pt>
                <c:pt idx="148">
                  <c:v>120</c:v>
                </c:pt>
                <c:pt idx="149">
                  <c:v>120</c:v>
                </c:pt>
                <c:pt idx="150">
                  <c:v>120</c:v>
                </c:pt>
                <c:pt idx="151">
                  <c:v>120</c:v>
                </c:pt>
                <c:pt idx="152">
                  <c:v>120</c:v>
                </c:pt>
                <c:pt idx="153">
                  <c:v>120</c:v>
                </c:pt>
                <c:pt idx="154">
                  <c:v>120</c:v>
                </c:pt>
                <c:pt idx="155">
                  <c:v>120</c:v>
                </c:pt>
                <c:pt idx="156">
                  <c:v>120</c:v>
                </c:pt>
                <c:pt idx="157">
                  <c:v>118.11111111111111</c:v>
                </c:pt>
                <c:pt idx="158">
                  <c:v>120</c:v>
                </c:pt>
                <c:pt idx="159">
                  <c:v>120</c:v>
                </c:pt>
                <c:pt idx="160">
                  <c:v>120</c:v>
                </c:pt>
                <c:pt idx="161">
                  <c:v>120</c:v>
                </c:pt>
                <c:pt idx="162">
                  <c:v>120</c:v>
                </c:pt>
                <c:pt idx="163">
                  <c:v>120</c:v>
                </c:pt>
                <c:pt idx="164">
                  <c:v>120</c:v>
                </c:pt>
                <c:pt idx="165">
                  <c:v>120</c:v>
                </c:pt>
                <c:pt idx="166">
                  <c:v>120</c:v>
                </c:pt>
                <c:pt idx="167">
                  <c:v>120</c:v>
                </c:pt>
                <c:pt idx="168">
                  <c:v>120</c:v>
                </c:pt>
                <c:pt idx="169">
                  <c:v>120</c:v>
                </c:pt>
                <c:pt idx="170">
                  <c:v>120</c:v>
                </c:pt>
                <c:pt idx="171">
                  <c:v>120</c:v>
                </c:pt>
                <c:pt idx="172">
                  <c:v>120</c:v>
                </c:pt>
                <c:pt idx="173">
                  <c:v>120</c:v>
                </c:pt>
                <c:pt idx="174">
                  <c:v>120</c:v>
                </c:pt>
                <c:pt idx="175">
                  <c:v>120</c:v>
                </c:pt>
                <c:pt idx="176">
                  <c:v>120</c:v>
                </c:pt>
                <c:pt idx="177">
                  <c:v>120</c:v>
                </c:pt>
                <c:pt idx="178">
                  <c:v>120</c:v>
                </c:pt>
                <c:pt idx="179">
                  <c:v>120</c:v>
                </c:pt>
                <c:pt idx="180">
                  <c:v>120</c:v>
                </c:pt>
                <c:pt idx="181">
                  <c:v>119.37777777777778</c:v>
                </c:pt>
                <c:pt idx="182">
                  <c:v>120</c:v>
                </c:pt>
                <c:pt idx="183">
                  <c:v>119.55555555555554</c:v>
                </c:pt>
                <c:pt idx="184">
                  <c:v>119.09261597043376</c:v>
                </c:pt>
                <c:pt idx="185">
                  <c:v>120</c:v>
                </c:pt>
                <c:pt idx="186">
                  <c:v>120</c:v>
                </c:pt>
                <c:pt idx="187">
                  <c:v>120</c:v>
                </c:pt>
                <c:pt idx="188">
                  <c:v>118.84444444444443</c:v>
                </c:pt>
                <c:pt idx="189">
                  <c:v>120</c:v>
                </c:pt>
                <c:pt idx="190">
                  <c:v>120</c:v>
                </c:pt>
                <c:pt idx="191">
                  <c:v>120</c:v>
                </c:pt>
                <c:pt idx="192">
                  <c:v>120</c:v>
                </c:pt>
                <c:pt idx="193">
                  <c:v>120</c:v>
                </c:pt>
                <c:pt idx="194">
                  <c:v>120</c:v>
                </c:pt>
                <c:pt idx="195">
                  <c:v>120</c:v>
                </c:pt>
                <c:pt idx="196">
                  <c:v>117.77777777777779</c:v>
                </c:pt>
                <c:pt idx="197">
                  <c:v>114.03993708715646</c:v>
                </c:pt>
                <c:pt idx="198">
                  <c:v>114.03730475560705</c:v>
                </c:pt>
                <c:pt idx="199">
                  <c:v>115.05598468169366</c:v>
                </c:pt>
                <c:pt idx="200">
                  <c:v>117.4966266456633</c:v>
                </c:pt>
                <c:pt idx="201">
                  <c:v>117.62653658856334</c:v>
                </c:pt>
                <c:pt idx="202">
                  <c:v>114.11164272257571</c:v>
                </c:pt>
                <c:pt idx="203">
                  <c:v>108.62183723217558</c:v>
                </c:pt>
                <c:pt idx="204">
                  <c:v>108.97218441940731</c:v>
                </c:pt>
                <c:pt idx="205">
                  <c:v>111.75483104924845</c:v>
                </c:pt>
                <c:pt idx="206">
                  <c:v>110.27879852284858</c:v>
                </c:pt>
                <c:pt idx="207">
                  <c:v>107.45914461326907</c:v>
                </c:pt>
                <c:pt idx="208">
                  <c:v>103.02779738170457</c:v>
                </c:pt>
                <c:pt idx="209">
                  <c:v>99.584781474027352</c:v>
                </c:pt>
                <c:pt idx="210">
                  <c:v>93.502070801679153</c:v>
                </c:pt>
                <c:pt idx="211">
                  <c:v>91.83826456505912</c:v>
                </c:pt>
                <c:pt idx="212">
                  <c:v>91.659353074577211</c:v>
                </c:pt>
                <c:pt idx="213">
                  <c:v>97.930652643734561</c:v>
                </c:pt>
                <c:pt idx="214">
                  <c:v>99.36203939165506</c:v>
                </c:pt>
                <c:pt idx="215">
                  <c:v>101.41318102842008</c:v>
                </c:pt>
                <c:pt idx="216">
                  <c:v>101.34799532439921</c:v>
                </c:pt>
                <c:pt idx="217">
                  <c:v>101.35035781963741</c:v>
                </c:pt>
                <c:pt idx="218">
                  <c:v>99.296199648285551</c:v>
                </c:pt>
                <c:pt idx="219">
                  <c:v>95.12920829254098</c:v>
                </c:pt>
                <c:pt idx="220">
                  <c:v>95.546959706311739</c:v>
                </c:pt>
                <c:pt idx="221">
                  <c:v>93.999770329569742</c:v>
                </c:pt>
                <c:pt idx="222">
                  <c:v>92.757581649264182</c:v>
                </c:pt>
                <c:pt idx="223">
                  <c:v>89.073346922130412</c:v>
                </c:pt>
                <c:pt idx="224">
                  <c:v>90.728027745251367</c:v>
                </c:pt>
                <c:pt idx="225">
                  <c:v>87.340613280211613</c:v>
                </c:pt>
                <c:pt idx="226">
                  <c:v>83.943416184460986</c:v>
                </c:pt>
                <c:pt idx="227">
                  <c:v>79.216976715483639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0.92317309339172482</c:v>
                </c:pt>
                <c:pt idx="9">
                  <c:v>1.4231730933917248</c:v>
                </c:pt>
                <c:pt idx="10">
                  <c:v>2.8531730933917316</c:v>
                </c:pt>
                <c:pt idx="11">
                  <c:v>3.453173093391726</c:v>
                </c:pt>
                <c:pt idx="12">
                  <c:v>4.1331730933917257</c:v>
                </c:pt>
                <c:pt idx="13">
                  <c:v>4.2631730933917282</c:v>
                </c:pt>
                <c:pt idx="14">
                  <c:v>4.2631730933917282</c:v>
                </c:pt>
                <c:pt idx="15">
                  <c:v>5.3884771564297012</c:v>
                </c:pt>
                <c:pt idx="16">
                  <c:v>6.6984771564297034</c:v>
                </c:pt>
                <c:pt idx="17">
                  <c:v>6.7384771564297026</c:v>
                </c:pt>
                <c:pt idx="18">
                  <c:v>8.8384771564297111</c:v>
                </c:pt>
                <c:pt idx="19">
                  <c:v>13.288477156429707</c:v>
                </c:pt>
                <c:pt idx="20">
                  <c:v>14.348477156429702</c:v>
                </c:pt>
                <c:pt idx="21">
                  <c:v>15.068477156429701</c:v>
                </c:pt>
                <c:pt idx="22">
                  <c:v>16.768477156429704</c:v>
                </c:pt>
                <c:pt idx="23">
                  <c:v>17.958477156429701</c:v>
                </c:pt>
                <c:pt idx="24">
                  <c:v>20.658477156429704</c:v>
                </c:pt>
                <c:pt idx="25">
                  <c:v>21.898477156429706</c:v>
                </c:pt>
                <c:pt idx="26">
                  <c:v>26.518477156429704</c:v>
                </c:pt>
                <c:pt idx="27">
                  <c:v>27.23847715642971</c:v>
                </c:pt>
                <c:pt idx="28">
                  <c:v>27.62847715642971</c:v>
                </c:pt>
                <c:pt idx="29">
                  <c:v>28.898477156429706</c:v>
                </c:pt>
                <c:pt idx="30">
                  <c:v>30.55847715642971</c:v>
                </c:pt>
                <c:pt idx="31">
                  <c:v>30.55847715642971</c:v>
                </c:pt>
                <c:pt idx="32">
                  <c:v>32.079824086530223</c:v>
                </c:pt>
                <c:pt idx="33">
                  <c:v>32.679824086530218</c:v>
                </c:pt>
                <c:pt idx="34">
                  <c:v>34.179824086530218</c:v>
                </c:pt>
                <c:pt idx="35">
                  <c:v>34.779824086530219</c:v>
                </c:pt>
                <c:pt idx="36">
                  <c:v>36.759824086530223</c:v>
                </c:pt>
                <c:pt idx="37">
                  <c:v>38.389824086530226</c:v>
                </c:pt>
                <c:pt idx="38">
                  <c:v>39.599824086530226</c:v>
                </c:pt>
                <c:pt idx="39">
                  <c:v>41.929824086530225</c:v>
                </c:pt>
                <c:pt idx="40">
                  <c:v>44.269824086530228</c:v>
                </c:pt>
                <c:pt idx="41">
                  <c:v>46.449824086530228</c:v>
                </c:pt>
                <c:pt idx="42">
                  <c:v>48.489824086530227</c:v>
                </c:pt>
                <c:pt idx="43">
                  <c:v>48.489824086530227</c:v>
                </c:pt>
                <c:pt idx="44">
                  <c:v>51.889497776097592</c:v>
                </c:pt>
                <c:pt idx="45">
                  <c:v>55.549497776097596</c:v>
                </c:pt>
                <c:pt idx="46">
                  <c:v>58.879497776097601</c:v>
                </c:pt>
                <c:pt idx="47">
                  <c:v>65.239497776097593</c:v>
                </c:pt>
                <c:pt idx="48">
                  <c:v>69.069497776097592</c:v>
                </c:pt>
                <c:pt idx="49">
                  <c:v>73.539497776097591</c:v>
                </c:pt>
                <c:pt idx="50">
                  <c:v>78.999497776097584</c:v>
                </c:pt>
                <c:pt idx="51">
                  <c:v>81.829497776097583</c:v>
                </c:pt>
                <c:pt idx="52">
                  <c:v>84.159497776097595</c:v>
                </c:pt>
                <c:pt idx="53">
                  <c:v>87.679497776097605</c:v>
                </c:pt>
                <c:pt idx="54">
                  <c:v>91.749497776097598</c:v>
                </c:pt>
                <c:pt idx="55">
                  <c:v>95.989497776097608</c:v>
                </c:pt>
                <c:pt idx="56">
                  <c:v>98.869497776097603</c:v>
                </c:pt>
                <c:pt idx="57">
                  <c:v>102.67949777609761</c:v>
                </c:pt>
                <c:pt idx="58">
                  <c:v>103.97949777609762</c:v>
                </c:pt>
                <c:pt idx="59">
                  <c:v>107.01949777609762</c:v>
                </c:pt>
                <c:pt idx="60">
                  <c:v>109.05949777609763</c:v>
                </c:pt>
                <c:pt idx="61">
                  <c:v>111.21949777609763</c:v>
                </c:pt>
                <c:pt idx="62">
                  <c:v>112.95949777609762</c:v>
                </c:pt>
                <c:pt idx="63">
                  <c:v>114.37949777609762</c:v>
                </c:pt>
                <c:pt idx="64">
                  <c:v>118.18949777609762</c:v>
                </c:pt>
                <c:pt idx="65">
                  <c:v>124.07949777609764</c:v>
                </c:pt>
                <c:pt idx="66">
                  <c:v>127.61949777609763</c:v>
                </c:pt>
                <c:pt idx="67">
                  <c:v>130.45949777609763</c:v>
                </c:pt>
                <c:pt idx="68">
                  <c:v>132.58949777609763</c:v>
                </c:pt>
                <c:pt idx="69">
                  <c:v>134.54949777609764</c:v>
                </c:pt>
                <c:pt idx="70">
                  <c:v>139.63949777609764</c:v>
                </c:pt>
                <c:pt idx="71">
                  <c:v>142.52949777609763</c:v>
                </c:pt>
                <c:pt idx="72">
                  <c:v>145.91949777609761</c:v>
                </c:pt>
                <c:pt idx="73">
                  <c:v>149.53949777609762</c:v>
                </c:pt>
                <c:pt idx="74">
                  <c:v>152.47949777609762</c:v>
                </c:pt>
                <c:pt idx="75">
                  <c:v>157.10949777609761</c:v>
                </c:pt>
                <c:pt idx="76">
                  <c:v>158.01949777609761</c:v>
                </c:pt>
                <c:pt idx="77">
                  <c:v>158.8994977760976</c:v>
                </c:pt>
                <c:pt idx="78">
                  <c:v>162.59949777609762</c:v>
                </c:pt>
                <c:pt idx="79">
                  <c:v>167.87949777609762</c:v>
                </c:pt>
                <c:pt idx="80">
                  <c:v>175.30949777609763</c:v>
                </c:pt>
                <c:pt idx="81">
                  <c:v>177.76949777609764</c:v>
                </c:pt>
                <c:pt idx="82">
                  <c:v>179.10949777609764</c:v>
                </c:pt>
                <c:pt idx="83">
                  <c:v>183.45949777609763</c:v>
                </c:pt>
                <c:pt idx="84">
                  <c:v>187.42949777609763</c:v>
                </c:pt>
                <c:pt idx="85">
                  <c:v>193.58949777609763</c:v>
                </c:pt>
                <c:pt idx="86">
                  <c:v>195.67949777609763</c:v>
                </c:pt>
                <c:pt idx="87">
                  <c:v>198.61949777609763</c:v>
                </c:pt>
                <c:pt idx="88">
                  <c:v>200.61949777609763</c:v>
                </c:pt>
                <c:pt idx="89">
                  <c:v>204.58949777609763</c:v>
                </c:pt>
                <c:pt idx="90">
                  <c:v>206.10949777609764</c:v>
                </c:pt>
                <c:pt idx="91">
                  <c:v>209.23949777609764</c:v>
                </c:pt>
                <c:pt idx="92">
                  <c:v>210.69949777609764</c:v>
                </c:pt>
                <c:pt idx="93">
                  <c:v>213.14949777609763</c:v>
                </c:pt>
                <c:pt idx="94">
                  <c:v>216.29949777609764</c:v>
                </c:pt>
                <c:pt idx="95">
                  <c:v>217.14949777609763</c:v>
                </c:pt>
                <c:pt idx="96">
                  <c:v>219.85949777609764</c:v>
                </c:pt>
                <c:pt idx="97">
                  <c:v>225.65949777609765</c:v>
                </c:pt>
                <c:pt idx="98">
                  <c:v>226.87949777609765</c:v>
                </c:pt>
                <c:pt idx="99">
                  <c:v>230.15949777609765</c:v>
                </c:pt>
                <c:pt idx="100">
                  <c:v>235.23949777609764</c:v>
                </c:pt>
                <c:pt idx="101">
                  <c:v>239.14949777609763</c:v>
                </c:pt>
                <c:pt idx="102">
                  <c:v>245.56949777609765</c:v>
                </c:pt>
                <c:pt idx="103">
                  <c:v>252.07949777609764</c:v>
                </c:pt>
                <c:pt idx="104">
                  <c:v>255.03949777609765</c:v>
                </c:pt>
                <c:pt idx="105">
                  <c:v>256.48949777609766</c:v>
                </c:pt>
                <c:pt idx="106">
                  <c:v>259.89949777609769</c:v>
                </c:pt>
                <c:pt idx="107">
                  <c:v>264.06949777609771</c:v>
                </c:pt>
                <c:pt idx="108">
                  <c:v>270.78949777609773</c:v>
                </c:pt>
                <c:pt idx="109">
                  <c:v>273.65949777609774</c:v>
                </c:pt>
                <c:pt idx="110">
                  <c:v>277.17949777609772</c:v>
                </c:pt>
                <c:pt idx="111">
                  <c:v>279.3294977760977</c:v>
                </c:pt>
                <c:pt idx="112">
                  <c:v>283.17949777609772</c:v>
                </c:pt>
                <c:pt idx="113">
                  <c:v>285.1994977760977</c:v>
                </c:pt>
                <c:pt idx="114">
                  <c:v>289.42949777609772</c:v>
                </c:pt>
                <c:pt idx="115">
                  <c:v>290.79949777609772</c:v>
                </c:pt>
                <c:pt idx="116">
                  <c:v>293.74949777609771</c:v>
                </c:pt>
                <c:pt idx="117">
                  <c:v>296.17949777609772</c:v>
                </c:pt>
                <c:pt idx="118">
                  <c:v>300.52949777609774</c:v>
                </c:pt>
                <c:pt idx="119">
                  <c:v>302.32949777609775</c:v>
                </c:pt>
                <c:pt idx="120">
                  <c:v>305.94949777609776</c:v>
                </c:pt>
                <c:pt idx="121">
                  <c:v>309.49949777609777</c:v>
                </c:pt>
                <c:pt idx="122">
                  <c:v>312.18949777609777</c:v>
                </c:pt>
                <c:pt idx="123">
                  <c:v>313.9694977760978</c:v>
                </c:pt>
                <c:pt idx="124">
                  <c:v>314.5894977760978</c:v>
                </c:pt>
                <c:pt idx="125">
                  <c:v>317.5294977760978</c:v>
                </c:pt>
                <c:pt idx="126">
                  <c:v>320.2794977760978</c:v>
                </c:pt>
                <c:pt idx="127">
                  <c:v>324.22949777609779</c:v>
                </c:pt>
                <c:pt idx="128">
                  <c:v>326.37949777609776</c:v>
                </c:pt>
                <c:pt idx="129">
                  <c:v>329.04949777609778</c:v>
                </c:pt>
                <c:pt idx="130">
                  <c:v>332.3394977760978</c:v>
                </c:pt>
                <c:pt idx="131">
                  <c:v>335.67949777609783</c:v>
                </c:pt>
                <c:pt idx="132">
                  <c:v>338.28949777609785</c:v>
                </c:pt>
                <c:pt idx="133">
                  <c:v>341.62949777609788</c:v>
                </c:pt>
                <c:pt idx="134">
                  <c:v>343.67949777609789</c:v>
                </c:pt>
                <c:pt idx="135">
                  <c:v>345.4194977760979</c:v>
                </c:pt>
                <c:pt idx="136">
                  <c:v>348.43949777609788</c:v>
                </c:pt>
                <c:pt idx="137">
                  <c:v>350.62949777609788</c:v>
                </c:pt>
                <c:pt idx="138">
                  <c:v>352.6694977760979</c:v>
                </c:pt>
                <c:pt idx="139">
                  <c:v>353.90949777609791</c:v>
                </c:pt>
                <c:pt idx="140">
                  <c:v>355.17949777609789</c:v>
                </c:pt>
                <c:pt idx="141">
                  <c:v>360.4794977760979</c:v>
                </c:pt>
                <c:pt idx="142">
                  <c:v>363.01949777609792</c:v>
                </c:pt>
                <c:pt idx="143">
                  <c:v>363.90949777609791</c:v>
                </c:pt>
                <c:pt idx="144">
                  <c:v>364.19949777609793</c:v>
                </c:pt>
                <c:pt idx="145">
                  <c:v>364.42949777609795</c:v>
                </c:pt>
                <c:pt idx="146">
                  <c:v>365.58949777609791</c:v>
                </c:pt>
                <c:pt idx="147">
                  <c:v>368.32949777609792</c:v>
                </c:pt>
                <c:pt idx="148">
                  <c:v>369.26949777609792</c:v>
                </c:pt>
                <c:pt idx="149">
                  <c:v>370.01949777609792</c:v>
                </c:pt>
                <c:pt idx="150">
                  <c:v>370.12949777609794</c:v>
                </c:pt>
                <c:pt idx="151">
                  <c:v>371.81949777609793</c:v>
                </c:pt>
                <c:pt idx="152">
                  <c:v>375.4794977760979</c:v>
                </c:pt>
                <c:pt idx="153">
                  <c:v>377.18949777609788</c:v>
                </c:pt>
                <c:pt idx="154">
                  <c:v>377.7294977760979</c:v>
                </c:pt>
                <c:pt idx="155">
                  <c:v>379.73949777609789</c:v>
                </c:pt>
                <c:pt idx="156">
                  <c:v>381.17949777609789</c:v>
                </c:pt>
                <c:pt idx="157">
                  <c:v>381.17949777609789</c:v>
                </c:pt>
                <c:pt idx="158">
                  <c:v>381.30015451250745</c:v>
                </c:pt>
                <c:pt idx="159">
                  <c:v>382.81015451250744</c:v>
                </c:pt>
                <c:pt idx="160">
                  <c:v>385.67015451250745</c:v>
                </c:pt>
                <c:pt idx="161">
                  <c:v>386.79015451250746</c:v>
                </c:pt>
                <c:pt idx="162">
                  <c:v>387.73015451250745</c:v>
                </c:pt>
                <c:pt idx="163">
                  <c:v>389.04015451250746</c:v>
                </c:pt>
                <c:pt idx="164">
                  <c:v>389.36015451250745</c:v>
                </c:pt>
                <c:pt idx="165">
                  <c:v>389.47015451250746</c:v>
                </c:pt>
                <c:pt idx="166">
                  <c:v>390.76015451250748</c:v>
                </c:pt>
                <c:pt idx="167">
                  <c:v>390.77015451250747</c:v>
                </c:pt>
                <c:pt idx="168">
                  <c:v>390.93015451250744</c:v>
                </c:pt>
                <c:pt idx="169">
                  <c:v>392.68015451250744</c:v>
                </c:pt>
                <c:pt idx="170">
                  <c:v>393.62015451250744</c:v>
                </c:pt>
                <c:pt idx="171">
                  <c:v>395.66015451250746</c:v>
                </c:pt>
                <c:pt idx="172">
                  <c:v>396.46015451250747</c:v>
                </c:pt>
                <c:pt idx="173">
                  <c:v>398.27015451250747</c:v>
                </c:pt>
                <c:pt idx="174">
                  <c:v>398.46015451250747</c:v>
                </c:pt>
                <c:pt idx="175">
                  <c:v>400.27015451250747</c:v>
                </c:pt>
                <c:pt idx="176">
                  <c:v>401.31015451250749</c:v>
                </c:pt>
                <c:pt idx="177">
                  <c:v>404.14015451250748</c:v>
                </c:pt>
                <c:pt idx="178">
                  <c:v>408.63015451250749</c:v>
                </c:pt>
                <c:pt idx="179">
                  <c:v>410.46015451250747</c:v>
                </c:pt>
                <c:pt idx="180">
                  <c:v>412.71015451250747</c:v>
                </c:pt>
                <c:pt idx="181">
                  <c:v>412.71015451250747</c:v>
                </c:pt>
                <c:pt idx="182">
                  <c:v>413.49281891532564</c:v>
                </c:pt>
                <c:pt idx="183">
                  <c:v>413.49281891532564</c:v>
                </c:pt>
                <c:pt idx="184">
                  <c:v>413.49281891532564</c:v>
                </c:pt>
                <c:pt idx="185">
                  <c:v>414.46769864022269</c:v>
                </c:pt>
                <c:pt idx="186">
                  <c:v>415.98769864022267</c:v>
                </c:pt>
                <c:pt idx="187">
                  <c:v>417.68769864022266</c:v>
                </c:pt>
                <c:pt idx="188">
                  <c:v>417.68769864022266</c:v>
                </c:pt>
                <c:pt idx="189">
                  <c:v>419.64181654791474</c:v>
                </c:pt>
                <c:pt idx="190">
                  <c:v>421.61181654791471</c:v>
                </c:pt>
                <c:pt idx="191">
                  <c:v>424.3718165479147</c:v>
                </c:pt>
                <c:pt idx="192">
                  <c:v>427.1218165479147</c:v>
                </c:pt>
                <c:pt idx="193">
                  <c:v>427.23181654791472</c:v>
                </c:pt>
                <c:pt idx="194">
                  <c:v>427.42181654791472</c:v>
                </c:pt>
                <c:pt idx="195">
                  <c:v>428.09181654791473</c:v>
                </c:pt>
                <c:pt idx="196">
                  <c:v>428.09181654791473</c:v>
                </c:pt>
                <c:pt idx="197">
                  <c:v>428.09181654791473</c:v>
                </c:pt>
                <c:pt idx="198">
                  <c:v>428.09181654791473</c:v>
                </c:pt>
                <c:pt idx="199">
                  <c:v>428.09181654791473</c:v>
                </c:pt>
                <c:pt idx="200">
                  <c:v>428.09181654791473</c:v>
                </c:pt>
                <c:pt idx="201">
                  <c:v>428.09181654791473</c:v>
                </c:pt>
                <c:pt idx="202">
                  <c:v>428.09181654791473</c:v>
                </c:pt>
                <c:pt idx="203">
                  <c:v>428.09181654791473</c:v>
                </c:pt>
                <c:pt idx="204">
                  <c:v>428.09181654791473</c:v>
                </c:pt>
                <c:pt idx="205">
                  <c:v>428.09181654791473</c:v>
                </c:pt>
                <c:pt idx="206">
                  <c:v>428.09181654791473</c:v>
                </c:pt>
                <c:pt idx="207">
                  <c:v>428.09181654791473</c:v>
                </c:pt>
                <c:pt idx="208">
                  <c:v>428.09181654791473</c:v>
                </c:pt>
                <c:pt idx="209">
                  <c:v>428.09181654791473</c:v>
                </c:pt>
                <c:pt idx="210">
                  <c:v>428.09181654791473</c:v>
                </c:pt>
                <c:pt idx="211">
                  <c:v>428.09181654791473</c:v>
                </c:pt>
                <c:pt idx="212">
                  <c:v>428.09181654791473</c:v>
                </c:pt>
                <c:pt idx="213">
                  <c:v>428.09181654791473</c:v>
                </c:pt>
                <c:pt idx="214">
                  <c:v>428.09181654791473</c:v>
                </c:pt>
                <c:pt idx="215">
                  <c:v>428.09181654791473</c:v>
                </c:pt>
                <c:pt idx="216">
                  <c:v>428.09181654791473</c:v>
                </c:pt>
                <c:pt idx="217">
                  <c:v>428.09181654791473</c:v>
                </c:pt>
                <c:pt idx="218">
                  <c:v>428.09181654791473</c:v>
                </c:pt>
                <c:pt idx="219">
                  <c:v>428.09181654791473</c:v>
                </c:pt>
                <c:pt idx="220">
                  <c:v>428.09181654791473</c:v>
                </c:pt>
                <c:pt idx="221">
                  <c:v>428.09181654791473</c:v>
                </c:pt>
                <c:pt idx="222">
                  <c:v>428.09181654791473</c:v>
                </c:pt>
                <c:pt idx="223">
                  <c:v>428.09181654791473</c:v>
                </c:pt>
                <c:pt idx="224">
                  <c:v>428.09181654791473</c:v>
                </c:pt>
                <c:pt idx="225">
                  <c:v>428.09181654791473</c:v>
                </c:pt>
                <c:pt idx="226">
                  <c:v>428.09181654791473</c:v>
                </c:pt>
                <c:pt idx="227">
                  <c:v>428.09181654791473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0.99998457105749694</c:v>
                </c:pt>
                <c:pt idx="1">
                  <c:v>0</c:v>
                </c:pt>
                <c:pt idx="2">
                  <c:v>6.0235658318563701E-3</c:v>
                </c:pt>
                <c:pt idx="3">
                  <c:v>6.0235658318563701E-3</c:v>
                </c:pt>
                <c:pt idx="4">
                  <c:v>6.0235658318563701E-3</c:v>
                </c:pt>
                <c:pt idx="5">
                  <c:v>6.0235658318563701E-3</c:v>
                </c:pt>
                <c:pt idx="6">
                  <c:v>6.0235658318563701E-3</c:v>
                </c:pt>
                <c:pt idx="7">
                  <c:v>6.0235658318563701E-3</c:v>
                </c:pt>
                <c:pt idx="8">
                  <c:v>6.0235658318563701E-3</c:v>
                </c:pt>
                <c:pt idx="9">
                  <c:v>6.0235658318563701E-3</c:v>
                </c:pt>
                <c:pt idx="10">
                  <c:v>6.0235658318563701E-3</c:v>
                </c:pt>
                <c:pt idx="11">
                  <c:v>6.0235658318563701E-3</c:v>
                </c:pt>
                <c:pt idx="12">
                  <c:v>6.0235658318563701E-3</c:v>
                </c:pt>
                <c:pt idx="13">
                  <c:v>6.0235658318563701E-3</c:v>
                </c:pt>
                <c:pt idx="14">
                  <c:v>6.0235658318563701E-3</c:v>
                </c:pt>
                <c:pt idx="15">
                  <c:v>6.0235658318563701E-3</c:v>
                </c:pt>
                <c:pt idx="16">
                  <c:v>6.2716804085214189E-3</c:v>
                </c:pt>
                <c:pt idx="17">
                  <c:v>6.6892228642108191E-3</c:v>
                </c:pt>
                <c:pt idx="18">
                  <c:v>7.1253283038264364E-3</c:v>
                </c:pt>
                <c:pt idx="19">
                  <c:v>7.6037693774976692E-3</c:v>
                </c:pt>
                <c:pt idx="20">
                  <c:v>8.1264569344763164E-3</c:v>
                </c:pt>
                <c:pt idx="21">
                  <c:v>8.7078285039246823E-3</c:v>
                </c:pt>
                <c:pt idx="22">
                  <c:v>9.3452308299822925E-3</c:v>
                </c:pt>
                <c:pt idx="23">
                  <c:v>9.9684211327432035E-3</c:v>
                </c:pt>
                <c:pt idx="24">
                  <c:v>1.060452288967458E-2</c:v>
                </c:pt>
                <c:pt idx="25">
                  <c:v>1.128593164717759E-2</c:v>
                </c:pt>
                <c:pt idx="26">
                  <c:v>1.2002589025265561E-2</c:v>
                </c:pt>
                <c:pt idx="27">
                  <c:v>1.2754820940806247E-2</c:v>
                </c:pt>
                <c:pt idx="28">
                  <c:v>1.3528431950854422E-2</c:v>
                </c:pt>
                <c:pt idx="29">
                  <c:v>1.4356730576076587E-2</c:v>
                </c:pt>
                <c:pt idx="30">
                  <c:v>1.5250951134814245E-2</c:v>
                </c:pt>
                <c:pt idx="31">
                  <c:v>1.6165744130427723E-2</c:v>
                </c:pt>
                <c:pt idx="32">
                  <c:v>1.7105061790093922E-2</c:v>
                </c:pt>
                <c:pt idx="33">
                  <c:v>1.8047955775277021E-2</c:v>
                </c:pt>
                <c:pt idx="34">
                  <c:v>1.9057961966144621E-2</c:v>
                </c:pt>
                <c:pt idx="35">
                  <c:v>2.0161499674722489E-2</c:v>
                </c:pt>
                <c:pt idx="36">
                  <c:v>2.1372122536390498E-2</c:v>
                </c:pt>
                <c:pt idx="37">
                  <c:v>2.2641721650499689E-2</c:v>
                </c:pt>
                <c:pt idx="38">
                  <c:v>2.3933067516537634E-2</c:v>
                </c:pt>
                <c:pt idx="39">
                  <c:v>2.5282753057522318E-2</c:v>
                </c:pt>
                <c:pt idx="40">
                  <c:v>2.6707970716833708E-2</c:v>
                </c:pt>
                <c:pt idx="41">
                  <c:v>2.8137722031985817E-2</c:v>
                </c:pt>
                <c:pt idx="42">
                  <c:v>2.9614511044700691E-2</c:v>
                </c:pt>
                <c:pt idx="43">
                  <c:v>3.1263038513740578E-2</c:v>
                </c:pt>
                <c:pt idx="44">
                  <c:v>3.2989195412943664E-2</c:v>
                </c:pt>
                <c:pt idx="45">
                  <c:v>3.4871979122080198E-2</c:v>
                </c:pt>
                <c:pt idx="46">
                  <c:v>3.6732208493494858E-2</c:v>
                </c:pt>
                <c:pt idx="47">
                  <c:v>3.8627682857562018E-2</c:v>
                </c:pt>
                <c:pt idx="48">
                  <c:v>4.0598162835183034E-2</c:v>
                </c:pt>
                <c:pt idx="49">
                  <c:v>4.274056721622653E-2</c:v>
                </c:pt>
                <c:pt idx="50">
                  <c:v>4.5104908671332516E-2</c:v>
                </c:pt>
                <c:pt idx="51">
                  <c:v>4.7405696116920269E-2</c:v>
                </c:pt>
                <c:pt idx="52">
                  <c:v>4.958711025657709E-2</c:v>
                </c:pt>
                <c:pt idx="53">
                  <c:v>5.1741651135361798E-2</c:v>
                </c:pt>
                <c:pt idx="54">
                  <c:v>5.4086054623650417E-2</c:v>
                </c:pt>
                <c:pt idx="55">
                  <c:v>5.6426650378636811E-2</c:v>
                </c:pt>
                <c:pt idx="56">
                  <c:v>5.8872557624017018E-2</c:v>
                </c:pt>
                <c:pt idx="57">
                  <c:v>6.1355389203838283E-2</c:v>
                </c:pt>
                <c:pt idx="58">
                  <c:v>6.3720205546995076E-2</c:v>
                </c:pt>
                <c:pt idx="59">
                  <c:v>6.6214217807569323E-2</c:v>
                </c:pt>
                <c:pt idx="60">
                  <c:v>6.8853233255252722E-2</c:v>
                </c:pt>
                <c:pt idx="61">
                  <c:v>7.1561886536650743E-2</c:v>
                </c:pt>
                <c:pt idx="62">
                  <c:v>7.4417908296097221E-2</c:v>
                </c:pt>
                <c:pt idx="63">
                  <c:v>7.751493325613297E-2</c:v>
                </c:pt>
                <c:pt idx="64">
                  <c:v>8.0920662583854913E-2</c:v>
                </c:pt>
                <c:pt idx="65">
                  <c:v>8.4470927878004476E-2</c:v>
                </c:pt>
                <c:pt idx="66">
                  <c:v>8.8192196076200921E-2</c:v>
                </c:pt>
                <c:pt idx="67">
                  <c:v>9.1959176651384048E-2</c:v>
                </c:pt>
                <c:pt idx="68">
                  <c:v>9.5758962047095095E-2</c:v>
                </c:pt>
                <c:pt idx="69">
                  <c:v>9.9357985999534076E-2</c:v>
                </c:pt>
                <c:pt idx="70">
                  <c:v>0.10311167289569151</c:v>
                </c:pt>
                <c:pt idx="71">
                  <c:v>0.10662837073419798</c:v>
                </c:pt>
                <c:pt idx="72">
                  <c:v>0.11029384046451601</c:v>
                </c:pt>
                <c:pt idx="73">
                  <c:v>0.1144217369514853</c:v>
                </c:pt>
                <c:pt idx="74">
                  <c:v>0.11843926863522952</c:v>
                </c:pt>
                <c:pt idx="75">
                  <c:v>0.12268951467067314</c:v>
                </c:pt>
                <c:pt idx="76">
                  <c:v>0.12714801375432142</c:v>
                </c:pt>
                <c:pt idx="77">
                  <c:v>0.13148484787895393</c:v>
                </c:pt>
                <c:pt idx="78">
                  <c:v>0.13574246420159888</c:v>
                </c:pt>
                <c:pt idx="79">
                  <c:v>0.14020010751330264</c:v>
                </c:pt>
                <c:pt idx="80">
                  <c:v>0.14491497063822259</c:v>
                </c:pt>
                <c:pt idx="81">
                  <c:v>0.14944761464742648</c:v>
                </c:pt>
                <c:pt idx="82">
                  <c:v>0.15417876856878157</c:v>
                </c:pt>
                <c:pt idx="83">
                  <c:v>0.15892262082518185</c:v>
                </c:pt>
                <c:pt idx="84">
                  <c:v>0.16387025421830079</c:v>
                </c:pt>
                <c:pt idx="85">
                  <c:v>0.16901965132386748</c:v>
                </c:pt>
                <c:pt idx="86">
                  <c:v>0.17371831234579307</c:v>
                </c:pt>
                <c:pt idx="87">
                  <c:v>0.17805545077762031</c:v>
                </c:pt>
                <c:pt idx="88">
                  <c:v>0.18260053697251247</c:v>
                </c:pt>
                <c:pt idx="89">
                  <c:v>0.1877093487412588</c:v>
                </c:pt>
                <c:pt idx="90">
                  <c:v>0.19343140344549814</c:v>
                </c:pt>
                <c:pt idx="91">
                  <c:v>0.1992270628834463</c:v>
                </c:pt>
                <c:pt idx="92">
                  <c:v>0.2050822284088325</c:v>
                </c:pt>
                <c:pt idx="93">
                  <c:v>0.21073275556477916</c:v>
                </c:pt>
                <c:pt idx="94">
                  <c:v>0.21665591213579199</c:v>
                </c:pt>
                <c:pt idx="95">
                  <c:v>0.22196198726051627</c:v>
                </c:pt>
                <c:pt idx="96">
                  <c:v>0.22694476320199111</c:v>
                </c:pt>
                <c:pt idx="97">
                  <c:v>0.23233619113935719</c:v>
                </c:pt>
                <c:pt idx="98">
                  <c:v>0.23802173361247408</c:v>
                </c:pt>
                <c:pt idx="99">
                  <c:v>0.24330713175952423</c:v>
                </c:pt>
                <c:pt idx="100">
                  <c:v>0.2497535179379666</c:v>
                </c:pt>
                <c:pt idx="101">
                  <c:v>0.25700538670148554</c:v>
                </c:pt>
                <c:pt idx="102">
                  <c:v>0.26406925198296044</c:v>
                </c:pt>
                <c:pt idx="103">
                  <c:v>0.27077536878517006</c:v>
                </c:pt>
                <c:pt idx="104">
                  <c:v>0.27741011128304294</c:v>
                </c:pt>
                <c:pt idx="105">
                  <c:v>0.28476029978518752</c:v>
                </c:pt>
                <c:pt idx="106">
                  <c:v>0.29156570103975971</c:v>
                </c:pt>
                <c:pt idx="107">
                  <c:v>0.29923131407482684</c:v>
                </c:pt>
                <c:pt idx="108">
                  <c:v>0.30680687797115253</c:v>
                </c:pt>
                <c:pt idx="109">
                  <c:v>0.31452872578845603</c:v>
                </c:pt>
                <c:pt idx="110">
                  <c:v>0.32154883426638353</c:v>
                </c:pt>
                <c:pt idx="111">
                  <c:v>0.32849776509404549</c:v>
                </c:pt>
                <c:pt idx="112">
                  <c:v>0.33610273430910426</c:v>
                </c:pt>
                <c:pt idx="113">
                  <c:v>0.34390610998144583</c:v>
                </c:pt>
                <c:pt idx="114">
                  <c:v>0.35205072583939773</c:v>
                </c:pt>
                <c:pt idx="115">
                  <c:v>0.36024877748549411</c:v>
                </c:pt>
                <c:pt idx="116">
                  <c:v>0.36864070940459881</c:v>
                </c:pt>
                <c:pt idx="117">
                  <c:v>0.37716502543890135</c:v>
                </c:pt>
                <c:pt idx="118">
                  <c:v>0.3862460408091713</c:v>
                </c:pt>
                <c:pt idx="119">
                  <c:v>0.39527628523545227</c:v>
                </c:pt>
                <c:pt idx="120">
                  <c:v>0.40421707900122023</c:v>
                </c:pt>
                <c:pt idx="121">
                  <c:v>0.41275989784548811</c:v>
                </c:pt>
                <c:pt idx="122">
                  <c:v>0.42120960158389281</c:v>
                </c:pt>
                <c:pt idx="123">
                  <c:v>0.42984539456837223</c:v>
                </c:pt>
                <c:pt idx="124">
                  <c:v>0.43848100801867751</c:v>
                </c:pt>
                <c:pt idx="125">
                  <c:v>0.44732128245164154</c:v>
                </c:pt>
                <c:pt idx="126">
                  <c:v>0.45583170327483219</c:v>
                </c:pt>
                <c:pt idx="127">
                  <c:v>0.464729885428603</c:v>
                </c:pt>
                <c:pt idx="128">
                  <c:v>0.47319517351843282</c:v>
                </c:pt>
                <c:pt idx="129">
                  <c:v>0.48198936885210641</c:v>
                </c:pt>
                <c:pt idx="130">
                  <c:v>0.49056450527284995</c:v>
                </c:pt>
                <c:pt idx="131">
                  <c:v>0.49828981163233876</c:v>
                </c:pt>
                <c:pt idx="132">
                  <c:v>0.5060309984048974</c:v>
                </c:pt>
                <c:pt idx="133">
                  <c:v>0.51356118867470346</c:v>
                </c:pt>
                <c:pt idx="134">
                  <c:v>0.52105523203062754</c:v>
                </c:pt>
                <c:pt idx="135">
                  <c:v>0.52859685326491967</c:v>
                </c:pt>
                <c:pt idx="136">
                  <c:v>0.53650019001479854</c:v>
                </c:pt>
                <c:pt idx="137">
                  <c:v>0.5447523696457347</c:v>
                </c:pt>
                <c:pt idx="138">
                  <c:v>0.55312428577501693</c:v>
                </c:pt>
                <c:pt idx="139">
                  <c:v>0.56177557968950353</c:v>
                </c:pt>
                <c:pt idx="140">
                  <c:v>0.57035371315240169</c:v>
                </c:pt>
                <c:pt idx="141">
                  <c:v>0.57910182334862781</c:v>
                </c:pt>
                <c:pt idx="142">
                  <c:v>0.58755338385764222</c:v>
                </c:pt>
                <c:pt idx="143">
                  <c:v>0.59585872900891834</c:v>
                </c:pt>
                <c:pt idx="144">
                  <c:v>0.60360139663743284</c:v>
                </c:pt>
                <c:pt idx="145">
                  <c:v>0.61121617001623729</c:v>
                </c:pt>
                <c:pt idx="146">
                  <c:v>0.61890800315886796</c:v>
                </c:pt>
                <c:pt idx="147">
                  <c:v>0.62656324916468342</c:v>
                </c:pt>
                <c:pt idx="148">
                  <c:v>0.63391107786443945</c:v>
                </c:pt>
                <c:pt idx="149">
                  <c:v>0.64121722787657642</c:v>
                </c:pt>
                <c:pt idx="150">
                  <c:v>0.64910687465414862</c:v>
                </c:pt>
                <c:pt idx="151">
                  <c:v>0.6569661966074074</c:v>
                </c:pt>
                <c:pt idx="152">
                  <c:v>0.6648899769489528</c:v>
                </c:pt>
                <c:pt idx="153">
                  <c:v>0.67258783287045365</c:v>
                </c:pt>
                <c:pt idx="154">
                  <c:v>0.67979366408881647</c:v>
                </c:pt>
                <c:pt idx="155">
                  <c:v>0.68732319426037425</c:v>
                </c:pt>
                <c:pt idx="156">
                  <c:v>0.69429013558226527</c:v>
                </c:pt>
                <c:pt idx="157">
                  <c:v>0.70125073001120575</c:v>
                </c:pt>
                <c:pt idx="158">
                  <c:v>0.70818267438287796</c:v>
                </c:pt>
                <c:pt idx="159">
                  <c:v>0.71533071908324097</c:v>
                </c:pt>
                <c:pt idx="160">
                  <c:v>0.72203998032699446</c:v>
                </c:pt>
                <c:pt idx="161">
                  <c:v>0.72872207676739764</c:v>
                </c:pt>
                <c:pt idx="162">
                  <c:v>0.7354902276155415</c:v>
                </c:pt>
                <c:pt idx="163">
                  <c:v>0.74221478049055711</c:v>
                </c:pt>
                <c:pt idx="164">
                  <c:v>0.7486365730270661</c:v>
                </c:pt>
                <c:pt idx="165">
                  <c:v>0.75466839905958039</c:v>
                </c:pt>
                <c:pt idx="166">
                  <c:v>0.76043348156625035</c:v>
                </c:pt>
                <c:pt idx="167">
                  <c:v>0.76596457886739677</c:v>
                </c:pt>
                <c:pt idx="168">
                  <c:v>0.77123958738825948</c:v>
                </c:pt>
                <c:pt idx="169">
                  <c:v>0.77644778153931859</c:v>
                </c:pt>
                <c:pt idx="170">
                  <c:v>0.78156738399341674</c:v>
                </c:pt>
                <c:pt idx="171">
                  <c:v>0.78679821279709994</c:v>
                </c:pt>
                <c:pt idx="172">
                  <c:v>0.79163835868544152</c:v>
                </c:pt>
                <c:pt idx="173">
                  <c:v>0.79624343693026922</c:v>
                </c:pt>
                <c:pt idx="174">
                  <c:v>0.80090233491225793</c:v>
                </c:pt>
                <c:pt idx="175">
                  <c:v>0.80555846791741803</c:v>
                </c:pt>
                <c:pt idx="176">
                  <c:v>0.81020490584675076</c:v>
                </c:pt>
                <c:pt idx="177">
                  <c:v>0.81458995134097334</c:v>
                </c:pt>
                <c:pt idx="178">
                  <c:v>0.81865835222221861</c:v>
                </c:pt>
                <c:pt idx="179">
                  <c:v>0.82251339873697493</c:v>
                </c:pt>
                <c:pt idx="180">
                  <c:v>0.82633840352397747</c:v>
                </c:pt>
                <c:pt idx="181">
                  <c:v>0.82982160510189418</c:v>
                </c:pt>
                <c:pt idx="182">
                  <c:v>0.83316587177602042</c:v>
                </c:pt>
                <c:pt idx="183">
                  <c:v>0.83641057035313726</c:v>
                </c:pt>
                <c:pt idx="184">
                  <c:v>0.83941829514079991</c:v>
                </c:pt>
                <c:pt idx="185">
                  <c:v>0.84255381068154611</c:v>
                </c:pt>
                <c:pt idx="186">
                  <c:v>0.84560958989482826</c:v>
                </c:pt>
                <c:pt idx="187">
                  <c:v>0.84827458343565487</c:v>
                </c:pt>
                <c:pt idx="188">
                  <c:v>0.85090072041497622</c:v>
                </c:pt>
                <c:pt idx="189">
                  <c:v>0.85355175489142399</c:v>
                </c:pt>
                <c:pt idx="190">
                  <c:v>0.85604461518212538</c:v>
                </c:pt>
                <c:pt idx="191">
                  <c:v>0.85832232220561699</c:v>
                </c:pt>
                <c:pt idx="192">
                  <c:v>0.86041390867460088</c:v>
                </c:pt>
                <c:pt idx="193">
                  <c:v>0.86241720518859744</c:v>
                </c:pt>
                <c:pt idx="194">
                  <c:v>0.86445865410804734</c:v>
                </c:pt>
                <c:pt idx="195">
                  <c:v>0.8662870572885657</c:v>
                </c:pt>
                <c:pt idx="196">
                  <c:v>0.86797313124193098</c:v>
                </c:pt>
                <c:pt idx="197">
                  <c:v>0.86955417639338783</c:v>
                </c:pt>
                <c:pt idx="198">
                  <c:v>0.87114606086940038</c:v>
                </c:pt>
                <c:pt idx="199">
                  <c:v>0.8727070717888693</c:v>
                </c:pt>
                <c:pt idx="200">
                  <c:v>0.87424828019940182</c:v>
                </c:pt>
                <c:pt idx="201">
                  <c:v>0.8756111661611663</c:v>
                </c:pt>
                <c:pt idx="202">
                  <c:v>0.8769716466646168</c:v>
                </c:pt>
                <c:pt idx="203">
                  <c:v>0.87829934690162881</c:v>
                </c:pt>
                <c:pt idx="204">
                  <c:v>0.87965389165300234</c:v>
                </c:pt>
                <c:pt idx="205">
                  <c:v>0.88085421982644185</c:v>
                </c:pt>
                <c:pt idx="206">
                  <c:v>0.88198755217991986</c:v>
                </c:pt>
                <c:pt idx="207">
                  <c:v>0.88310296805617439</c:v>
                </c:pt>
                <c:pt idx="208">
                  <c:v>0.88413070034436392</c:v>
                </c:pt>
                <c:pt idx="209">
                  <c:v>0.88504873649097893</c:v>
                </c:pt>
                <c:pt idx="210">
                  <c:v>0.88592008872092853</c:v>
                </c:pt>
                <c:pt idx="211">
                  <c:v>0.88673177904684475</c:v>
                </c:pt>
                <c:pt idx="212">
                  <c:v>0.88751468904097652</c:v>
                </c:pt>
                <c:pt idx="213">
                  <c:v>0.88827919982431314</c:v>
                </c:pt>
                <c:pt idx="214">
                  <c:v>0.88896901505661141</c:v>
                </c:pt>
                <c:pt idx="215">
                  <c:v>0.88964001925589442</c:v>
                </c:pt>
                <c:pt idx="216">
                  <c:v>0.89028742134639727</c:v>
                </c:pt>
                <c:pt idx="217">
                  <c:v>0.89087299386987695</c:v>
                </c:pt>
                <c:pt idx="218">
                  <c:v>0.89144351918011733</c:v>
                </c:pt>
                <c:pt idx="219">
                  <c:v>0.89198403222795009</c:v>
                </c:pt>
                <c:pt idx="220">
                  <c:v>0.89248919026094187</c:v>
                </c:pt>
                <c:pt idx="221">
                  <c:v>0.8929519864145008</c:v>
                </c:pt>
                <c:pt idx="222">
                  <c:v>0.89338427580268787</c:v>
                </c:pt>
                <c:pt idx="223">
                  <c:v>0.89380469424447073</c:v>
                </c:pt>
                <c:pt idx="224">
                  <c:v>0.89421131234063533</c:v>
                </c:pt>
                <c:pt idx="225">
                  <c:v>0.89457768581431996</c:v>
                </c:pt>
                <c:pt idx="226">
                  <c:v>0.89490845509500394</c:v>
                </c:pt>
                <c:pt idx="227">
                  <c:v>0.89521819789393153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2</v>
    <v>8</v>
    <v>9</v>
    <v>1</v>
  </rv>
  <rv s="0">
    <v>2</v>
    <v>8</v>
    <v>8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H1" zoomScale="110" zoomScaleNormal="110" workbookViewId="0">
      <selection activeCell="E58" sqref="E58:E60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182</v>
      </c>
      <c r="D1" s="123" t="s">
        <v>151</v>
      </c>
      <c r="E1" s="124"/>
      <c r="F1" s="124"/>
      <c r="G1" s="124"/>
      <c r="H1" s="125"/>
      <c r="Z1"/>
      <c r="AA1"/>
      <c r="AB1"/>
      <c r="AC1"/>
    </row>
    <row r="2" spans="2:34" s="55" customFormat="1" ht="47.25" customHeight="1">
      <c r="C2" s="100"/>
      <c r="D2" s="126" t="s">
        <v>152</v>
      </c>
      <c r="E2" s="127"/>
      <c r="F2" s="127"/>
      <c r="G2" s="127"/>
      <c r="H2" s="128"/>
      <c r="Z2"/>
      <c r="AA2"/>
      <c r="AB2"/>
      <c r="AC2"/>
    </row>
    <row r="3" spans="2:34" s="54" customFormat="1" ht="15" thickBot="1">
      <c r="B3" s="55"/>
      <c r="C3" s="129" t="s">
        <v>183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171</v>
      </c>
      <c r="D4" s="103" t="s">
        <v>273</v>
      </c>
      <c r="E4" s="58"/>
      <c r="F4" s="102" t="s">
        <v>191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6">
      <c r="C5" s="102" t="s">
        <v>26</v>
      </c>
      <c r="D5" s="104" t="s">
        <v>64</v>
      </c>
      <c r="E5" s="58"/>
      <c r="F5" s="102" t="s">
        <v>192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6">
      <c r="C6" s="102" t="s">
        <v>94</v>
      </c>
      <c r="D6" s="104" t="s">
        <v>59</v>
      </c>
      <c r="F6" s="102" t="s">
        <v>187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95</v>
      </c>
      <c r="D7" s="85" t="str">
        <f>IF(E7="","General",E7)</f>
        <v>Fresh</v>
      </c>
      <c r="E7" s="92" t="s">
        <v>256</v>
      </c>
      <c r="Z7"/>
      <c r="AA7"/>
      <c r="AB7"/>
      <c r="AC7"/>
    </row>
    <row r="8" spans="2:34" s="55" customFormat="1">
      <c r="C8" s="64" t="s">
        <v>150</v>
      </c>
      <c r="D8" s="65" t="str">
        <f>SUBSTITUTE(CurrentCropName&amp;" "&amp;CurrentCropType&amp;" "&amp;CurrentCropVariety,"_"," ")</f>
        <v>Carrot Vegetable Fresh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45389</v>
      </c>
      <c r="E9" s="67">
        <v>45389</v>
      </c>
      <c r="F9" s="57" t="s">
        <v>145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45614</v>
      </c>
      <c r="E10" s="67">
        <v>45614</v>
      </c>
      <c r="F10" s="57" t="s">
        <v>146</v>
      </c>
      <c r="G10" s="85" t="str">
        <f>IF(H10="",VLOOKUP(CurrentCropNameFull,CropCoefficients,15,FALSE),H10)</f>
        <v>EarlyReproductive</v>
      </c>
      <c r="H10" s="72"/>
      <c r="Z10"/>
      <c r="AA10"/>
      <c r="AB10"/>
      <c r="AC10"/>
    </row>
    <row r="11" spans="2:34" s="55" customFormat="1">
      <c r="C11" s="57" t="s">
        <v>136</v>
      </c>
      <c r="D11" s="85" t="str">
        <f>IF(CurrentUnits="kg/head",IF(E11="",VLOOKUP(CurrentCropNameFull,CropCoefficients,20,FALSE),E11),"1")</f>
        <v>1</v>
      </c>
      <c r="E11" s="72"/>
      <c r="F11" s="57" t="s">
        <v>133</v>
      </c>
      <c r="G11" s="85">
        <f>IF(H11="",VLOOKUP(CurrentCropNameFull,CropCoefficients,23,FALSE),H11)</f>
        <v>0</v>
      </c>
      <c r="H11" s="69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100</v>
      </c>
      <c r="E12" s="69">
        <v>100</v>
      </c>
      <c r="F12" s="57" t="s">
        <v>135</v>
      </c>
      <c r="G12" s="85">
        <f>IF(H12="",VLOOKUP(CurrentCropNameFull,CropCoefficients,22,FALSE),H12)</f>
        <v>0</v>
      </c>
      <c r="H12" s="69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134</v>
      </c>
      <c r="G13" s="93">
        <f>IF(H13="",VLOOKUP(CurrentCropNameFull,CropCoefficients,26,FALSE),H13)</f>
        <v>88</v>
      </c>
      <c r="H13" s="69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100</v>
      </c>
      <c r="C14" s="64" t="str">
        <f>"Yield "&amp;CurrentYield_tperHa&amp;" (t/ha)"</f>
        <v>Yield 100 (t/ha)</v>
      </c>
      <c r="D14" s="90" t="str">
        <f ca="1">"requires "&amp;ROUND(SUM('Model Interface'!P8:Q8),0)&amp;" kg N/ha from all sources"</f>
        <v>requires 210 kg N/ha from all sources</v>
      </c>
      <c r="F14" s="57" t="s">
        <v>157</v>
      </c>
      <c r="G14" s="85" t="str">
        <f>IF(H14="","None removed",H14)</f>
        <v>None removed</v>
      </c>
      <c r="H14" s="72"/>
      <c r="R14" s="83">
        <f>PriorHarvestDate</f>
        <v>45387</v>
      </c>
      <c r="Z14"/>
      <c r="AA14"/>
      <c r="AB14"/>
      <c r="AC14"/>
    </row>
    <row r="15" spans="2:34" s="55" customFormat="1" ht="16.2" thickBot="1">
      <c r="B15" s="55">
        <f ca="1">SUMIF(B29:B43,1,G29:G43)</f>
        <v>143.83962661801661</v>
      </c>
      <c r="C15" s="105" t="s">
        <v>220</v>
      </c>
      <c r="D15" s="106" t="str">
        <f ca="1">SUMIF(B29:B43,1,G29:G43)&amp;" Kg/ha"</f>
        <v>143.839626618017 Kg/ha</v>
      </c>
      <c r="E15" s="107" t="s">
        <v>186</v>
      </c>
      <c r="F15" s="57" t="s">
        <v>158</v>
      </c>
      <c r="G15" s="85" t="str">
        <f>IF(H15="","Full (Plough)",H15)</f>
        <v>Full (Plough)</v>
      </c>
      <c r="H15" s="72"/>
      <c r="R15" s="122" t="s">
        <v>222</v>
      </c>
      <c r="S15" s="122"/>
      <c r="T15" s="122"/>
      <c r="U15" s="122"/>
      <c r="V15" s="122"/>
      <c r="W15" s="115"/>
      <c r="X15" s="115"/>
      <c r="Y15" s="115"/>
      <c r="Z15" s="120" t="s">
        <v>221</v>
      </c>
      <c r="AA15" s="120"/>
      <c r="AB15" s="120"/>
      <c r="AC15" s="120"/>
      <c r="AD15" s="121" t="s">
        <v>223</v>
      </c>
      <c r="AE15" s="121"/>
      <c r="AF15" s="121"/>
      <c r="AG15" s="121"/>
      <c r="AH15" s="121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9" t="s">
        <v>184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156</v>
      </c>
      <c r="U17" s="55" t="s">
        <v>155</v>
      </c>
      <c r="V17" s="55" t="s">
        <v>13</v>
      </c>
      <c r="W17" s="55" t="s">
        <v>173</v>
      </c>
      <c r="X17" s="55" t="s">
        <v>241</v>
      </c>
      <c r="Y17" s="55" t="s">
        <v>242</v>
      </c>
      <c r="Z17" s="55" t="s">
        <v>201</v>
      </c>
      <c r="AA17" s="55" t="s">
        <v>202</v>
      </c>
      <c r="AB17" s="55" t="s">
        <v>187</v>
      </c>
      <c r="AC17" s="55" t="s">
        <v>205</v>
      </c>
      <c r="AD17" s="55" t="s">
        <v>14</v>
      </c>
      <c r="AE17" s="55"/>
      <c r="AF17" s="55" t="s">
        <v>156</v>
      </c>
      <c r="AG17" s="55" t="s">
        <v>155</v>
      </c>
      <c r="AH17" s="55" t="s">
        <v>13</v>
      </c>
      <c r="AI17" s="54" t="s">
        <v>173</v>
      </c>
      <c r="AJ17" s="55" t="s">
        <v>241</v>
      </c>
      <c r="AK17" s="55" t="s">
        <v>242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Interface'!X11:X500,('Model Interface'!X11:X500&gt;=StartGraphDate)*('Model Interface'!X11:X500&lt;=CurrentHarvestDate),"")</f>
        <v>45387</v>
      </c>
      <c r="S18" s="55">
        <f ca="1">IF(R18&gt;1,R18,"")</f>
        <v>45387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145.6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0.67824532837476781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0.99998457105749694</v>
      </c>
      <c r="AD18" s="83">
        <f t="array" aca="1" ref="AD18:AD662" ca="1">_xlfn._xlws.FILTER('Model Interface'!X11:X1004,('Model Interface'!X11:X1004&gt;=CurrentHarvestDate+1)*('Model Interface'!X11:X1004&lt;=FollowingHarvestDate),"")</f>
        <v>45615</v>
      </c>
      <c r="AE18" s="55">
        <f ca="1">IF(AD18&gt;1,AD18,"")</f>
        <v>45615</v>
      </c>
      <c r="AF18" s="55">
        <f t="shared" ref="AF18:AF20" ca="1" si="6">VLOOKUP(AE18,ModelOutputs,2,FALSE)</f>
        <v>12.832866081482575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0.43958070182911374</v>
      </c>
      <c r="AK18" s="55">
        <f t="shared" ref="AK18" ca="1" si="10">VLOOKUP(AE18,ModelOutputs,4,FALSE)</f>
        <v>-0.78903759022072251</v>
      </c>
    </row>
    <row r="19" spans="1:37" s="55" customFormat="1">
      <c r="C19" s="57" t="s">
        <v>217</v>
      </c>
      <c r="D19" s="85">
        <f>IF(E19="",60,E19)</f>
        <v>55</v>
      </c>
      <c r="E19" s="16">
        <v>55</v>
      </c>
      <c r="F19" s="94" t="str">
        <f ca="1">ROUND('Model Interface'!N7,0)&amp;" kg N/ha available from SOM mineralisation"</f>
        <v>118 kg N/ha available from SOM mineralisation</v>
      </c>
      <c r="R19" s="83">
        <f ca="1"/>
        <v>45388</v>
      </c>
      <c r="S19" s="55">
        <f t="shared" ref="S19:S82" ca="1" si="11">IF(R19&gt;1,R19,"")</f>
        <v>45388</v>
      </c>
      <c r="T19" s="55">
        <f t="shared" ca="1" si="0"/>
        <v>50.626388012632596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1.3512754435924919</v>
      </c>
      <c r="Y19" s="55">
        <f t="shared" ref="Y19:Y82" ca="1" si="14">VLOOKUP(S19,ModelOutputs,4,FALSE)+Y18</f>
        <v>-4.6642102585129436E-2</v>
      </c>
      <c r="Z19">
        <f t="shared" ca="1" si="3"/>
        <v>107.57111111111111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45616</v>
      </c>
      <c r="AE19" s="55">
        <f t="shared" ref="AE19:AE20" ca="1" si="16">IF(AD19&gt;1,AD19,"")</f>
        <v>45616</v>
      </c>
      <c r="AF19" s="55">
        <f t="shared" ca="1" si="6"/>
        <v>12.531584064602043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0.88722357180423028</v>
      </c>
      <c r="AK19" s="55">
        <f t="shared" ref="AK19:AK82" ca="1" si="19">VLOOKUP(AE19,ModelOutputs,4,FALSE)+AK18</f>
        <v>-1.5379624770763698</v>
      </c>
    </row>
    <row r="20" spans="1:37" s="55" customFormat="1">
      <c r="C20" s="57" t="s">
        <v>226</v>
      </c>
      <c r="D20" s="85" t="str">
        <f>IF(E20="","Sedementary",E20)</f>
        <v>Volcanic</v>
      </c>
      <c r="E20" s="16" t="s">
        <v>227</v>
      </c>
      <c r="F20" s="94"/>
      <c r="R20" s="83">
        <f ca="1"/>
        <v>45389</v>
      </c>
      <c r="S20" s="55">
        <f t="shared" ca="1" si="11"/>
        <v>45389</v>
      </c>
      <c r="T20" s="55">
        <f t="shared" ca="1" si="0"/>
        <v>51.366725651340047</v>
      </c>
      <c r="U20" s="55">
        <f t="shared" ca="1" si="1"/>
        <v>2.026289583284667</v>
      </c>
      <c r="V20" s="55">
        <f t="shared" ca="1" si="2"/>
        <v>0</v>
      </c>
      <c r="W20" s="55">
        <f t="shared" ca="1" si="12"/>
        <v>0</v>
      </c>
      <c r="X20" s="55">
        <f t="shared" ca="1" si="13"/>
        <v>2.0230620540605093</v>
      </c>
      <c r="Y20" s="55">
        <f t="shared" ca="1" si="14"/>
        <v>2.1908925654306854E-2</v>
      </c>
      <c r="Z20">
        <f t="shared" ca="1" si="3"/>
        <v>109.36299104480628</v>
      </c>
      <c r="AA20">
        <f t="shared" ca="1" si="15"/>
        <v>0</v>
      </c>
      <c r="AB20">
        <f t="shared" ca="1" si="4"/>
        <v>0</v>
      </c>
      <c r="AC20">
        <f t="shared" ca="1" si="5"/>
        <v>6.0235658318563701E-3</v>
      </c>
      <c r="AD20" s="83">
        <f ca="1"/>
        <v>45617</v>
      </c>
      <c r="AE20" s="55">
        <f t="shared" ca="1" si="16"/>
        <v>45617</v>
      </c>
      <c r="AF20" s="55">
        <f t="shared" ca="1" si="6"/>
        <v>12.28855882816905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1.3621302042181549</v>
      </c>
      <c r="AK20" s="55">
        <f t="shared" ca="1" si="19"/>
        <v>-2.2558943459232879</v>
      </c>
    </row>
    <row r="21" spans="1:37" s="55" customFormat="1" ht="15.75" customHeight="1">
      <c r="B21" s="55">
        <f>VLOOKUP(SampleDepth,depths,2,FALSE)</f>
        <v>3</v>
      </c>
      <c r="C21" s="57" t="s">
        <v>208</v>
      </c>
      <c r="D21" s="85" t="str">
        <f>IF(E21="","0-30cm",E21)</f>
        <v>Top30cm</v>
      </c>
      <c r="E21" s="16" t="s">
        <v>261</v>
      </c>
      <c r="F21" s="94"/>
      <c r="R21" s="83">
        <f ca="1"/>
        <v>45390</v>
      </c>
      <c r="S21" s="55">
        <f t="shared" ca="1" si="11"/>
        <v>45390</v>
      </c>
      <c r="T21" s="55">
        <f t="shared" ca="1" si="0"/>
        <v>52.225966194795426</v>
      </c>
      <c r="U21" s="55">
        <f t="shared" ca="1" si="1"/>
        <v>2.026289583284667</v>
      </c>
      <c r="V21" s="55">
        <f t="shared" ca="1" si="2"/>
        <v>0</v>
      </c>
      <c r="W21" s="55">
        <f t="shared" ca="1" si="12"/>
        <v>0</v>
      </c>
      <c r="X21" s="55">
        <f t="shared" ca="1" si="13"/>
        <v>2.7174255990638363</v>
      </c>
      <c r="Y21" s="55">
        <f t="shared" ca="1" si="14"/>
        <v>0.18678592410635531</v>
      </c>
      <c r="Z21">
        <f t="shared" ca="1" si="3"/>
        <v>114.75575813979675</v>
      </c>
      <c r="AA21">
        <f t="shared" ca="1" si="15"/>
        <v>0</v>
      </c>
      <c r="AB21">
        <f t="shared" ca="1" si="4"/>
        <v>0</v>
      </c>
      <c r="AC21">
        <f t="shared" ca="1" si="5"/>
        <v>6.0235658318563701E-3</v>
      </c>
      <c r="AD21" s="83">
        <f ca="1"/>
        <v>45618</v>
      </c>
      <c r="AE21" s="55">
        <f t="shared" ref="AE21:AE84" ca="1" si="20">IF(AD21&gt;1,AD21,"")</f>
        <v>45618</v>
      </c>
      <c r="AF21" s="55">
        <f t="shared" ref="AF21:AF84" ca="1" si="21">VLOOKUP(AE21,ModelOutputs,2,FALSE)</f>
        <v>12.088830126363538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1.849542838790734</v>
      </c>
      <c r="AK21" s="55">
        <f t="shared" ca="1" si="19"/>
        <v>-2.9430356823013781</v>
      </c>
    </row>
    <row r="22" spans="1:37" s="55" customFormat="1" ht="15" customHeight="1">
      <c r="C22" s="57" t="s">
        <v>209</v>
      </c>
      <c r="D22" s="85" t="str">
        <f>IF(E22="","loam",E22)</f>
        <v>ClayLoam</v>
      </c>
      <c r="E22" s="16" t="s">
        <v>270</v>
      </c>
      <c r="F22" s="94"/>
      <c r="R22" s="83">
        <f ca="1"/>
        <v>45391</v>
      </c>
      <c r="S22" s="55">
        <f t="shared" ca="1" si="11"/>
        <v>45391</v>
      </c>
      <c r="T22" s="55">
        <f t="shared" ca="1" si="0"/>
        <v>53.167748503895105</v>
      </c>
      <c r="U22" s="55">
        <f t="shared" ca="1" si="1"/>
        <v>2.026289583284667</v>
      </c>
      <c r="V22" s="55">
        <f t="shared" ca="1" si="2"/>
        <v>0</v>
      </c>
      <c r="W22" s="55">
        <f t="shared" ca="1" si="12"/>
        <v>0</v>
      </c>
      <c r="X22" s="55">
        <f t="shared" ca="1" si="13"/>
        <v>3.4104020191937048</v>
      </c>
      <c r="Y22" s="55">
        <f t="shared" ca="1" si="14"/>
        <v>0.43559181307616923</v>
      </c>
      <c r="Z22">
        <f t="shared" ca="1" si="3"/>
        <v>115.67436969296257</v>
      </c>
      <c r="AA22">
        <f t="shared" ca="1" si="15"/>
        <v>0</v>
      </c>
      <c r="AB22">
        <f t="shared" ca="1" si="4"/>
        <v>0</v>
      </c>
      <c r="AC22">
        <f t="shared" ca="1" si="5"/>
        <v>6.0235658318563701E-3</v>
      </c>
      <c r="AD22" s="83">
        <f ca="1"/>
        <v>45619</v>
      </c>
      <c r="AE22" s="55">
        <f t="shared" ca="1" si="20"/>
        <v>45619</v>
      </c>
      <c r="AF22" s="55">
        <f t="shared" ca="1" si="21"/>
        <v>11.928252746750934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2.3289945059559134</v>
      </c>
      <c r="AK22" s="55">
        <f t="shared" ca="1" si="19"/>
        <v>-3.5830647290791617</v>
      </c>
    </row>
    <row r="23" spans="1:37" s="55" customFormat="1">
      <c r="C23" s="57"/>
      <c r="D23" s="85"/>
      <c r="E23" s="113"/>
      <c r="F23" s="94"/>
      <c r="R23" s="83">
        <f ca="1"/>
        <v>45392</v>
      </c>
      <c r="S23" s="55">
        <f t="shared" ca="1" si="11"/>
        <v>45392</v>
      </c>
      <c r="T23" s="55">
        <f t="shared" ca="1" si="0"/>
        <v>54.162680154343619</v>
      </c>
      <c r="U23" s="55">
        <f t="shared" ca="1" si="1"/>
        <v>2.026289583284667</v>
      </c>
      <c r="V23" s="55">
        <f t="shared" ca="1" si="2"/>
        <v>0</v>
      </c>
      <c r="W23" s="55">
        <f t="shared" ca="1" si="12"/>
        <v>0</v>
      </c>
      <c r="X23" s="55">
        <f t="shared" ca="1" si="13"/>
        <v>4.0882787075714653</v>
      </c>
      <c r="Y23" s="55">
        <f t="shared" ca="1" si="14"/>
        <v>0.7526467751469248</v>
      </c>
      <c r="Z23">
        <f t="shared" ca="1" si="3"/>
        <v>116.38055409557167</v>
      </c>
      <c r="AA23">
        <f t="shared" ca="1" si="15"/>
        <v>0</v>
      </c>
      <c r="AB23">
        <f t="shared" ca="1" si="4"/>
        <v>0</v>
      </c>
      <c r="AC23">
        <f t="shared" ca="1" si="5"/>
        <v>6.0235658318563701E-3</v>
      </c>
      <c r="AD23" s="83">
        <f ca="1"/>
        <v>45620</v>
      </c>
      <c r="AE23" s="55">
        <f t="shared" ca="1" si="20"/>
        <v>45620</v>
      </c>
      <c r="AF23" s="55">
        <f t="shared" ca="1" si="21"/>
        <v>11.803824129736338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2.8323038772311828</v>
      </c>
      <c r="AK23" s="55">
        <f t="shared" ca="1" si="19"/>
        <v>-4.2108027173690274</v>
      </c>
    </row>
    <row r="24" spans="1:37" s="55" customFormat="1">
      <c r="C24" s="57" t="s">
        <v>225</v>
      </c>
      <c r="D24" s="85">
        <f>IF(E24="",0,E24)</f>
        <v>0</v>
      </c>
      <c r="E24" s="113">
        <v>0</v>
      </c>
      <c r="F24" s="94"/>
      <c r="R24" s="83">
        <f ca="1"/>
        <v>45393</v>
      </c>
      <c r="S24" s="55">
        <f t="shared" ca="1" si="11"/>
        <v>45393</v>
      </c>
      <c r="T24" s="55">
        <f t="shared" ca="1" si="0"/>
        <v>55.225465141339299</v>
      </c>
      <c r="U24" s="55">
        <f t="shared" ca="1" si="1"/>
        <v>2.026289583284667</v>
      </c>
      <c r="V24" s="55">
        <f t="shared" ca="1" si="2"/>
        <v>0</v>
      </c>
      <c r="W24" s="55">
        <f t="shared" ca="1" si="12"/>
        <v>0</v>
      </c>
      <c r="X24" s="55">
        <f t="shared" ca="1" si="13"/>
        <v>4.7689365513838107</v>
      </c>
      <c r="Y24" s="55">
        <f t="shared" ca="1" si="14"/>
        <v>1.1347739183302556</v>
      </c>
      <c r="Z24">
        <f t="shared" ca="1" si="3"/>
        <v>119.94977660652944</v>
      </c>
      <c r="AA24">
        <f t="shared" ca="1" si="15"/>
        <v>0</v>
      </c>
      <c r="AB24">
        <f t="shared" ca="1" si="4"/>
        <v>0</v>
      </c>
      <c r="AC24">
        <f t="shared" ca="1" si="5"/>
        <v>6.0235658318563701E-3</v>
      </c>
      <c r="AD24" s="83">
        <f ca="1"/>
        <v>45621</v>
      </c>
      <c r="AE24" s="55">
        <f t="shared" ca="1" si="20"/>
        <v>45621</v>
      </c>
      <c r="AF24" s="55">
        <f t="shared" ca="1" si="21"/>
        <v>11.711495705496722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3.3304574802676945</v>
      </c>
      <c r="AK24" s="55">
        <f t="shared" ca="1" si="19"/>
        <v>-4.8012847446451552</v>
      </c>
    </row>
    <row r="25" spans="1:37" s="55" customFormat="1">
      <c r="C25" s="61" t="str">
        <f>IF(COUNT(C29:C34)&gt;0,"Side dressings remaining","Side dressings")</f>
        <v>Side dressings remaining</v>
      </c>
      <c r="D25" s="85">
        <f>IF(E25="",1,E25)</f>
        <v>1</v>
      </c>
      <c r="E25" s="98">
        <v>1</v>
      </c>
      <c r="R25" s="83">
        <f ca="1"/>
        <v>45394</v>
      </c>
      <c r="S25" s="55">
        <f t="shared" ca="1" si="11"/>
        <v>45394</v>
      </c>
      <c r="T25" s="55">
        <f t="shared" ca="1" si="0"/>
        <v>56.367523304616412</v>
      </c>
      <c r="U25" s="55">
        <f t="shared" ca="1" si="1"/>
        <v>2.026289583284667</v>
      </c>
      <c r="V25" s="55">
        <f t="shared" ca="1" si="2"/>
        <v>0</v>
      </c>
      <c r="W25" s="55">
        <f t="shared" ca="1" si="12"/>
        <v>0</v>
      </c>
      <c r="X25" s="55">
        <f t="shared" ca="1" si="13"/>
        <v>5.4641669891470412</v>
      </c>
      <c r="Y25" s="55">
        <f t="shared" ca="1" si="14"/>
        <v>1.5816016438441398</v>
      </c>
      <c r="Z25">
        <f t="shared" ca="1" si="3"/>
        <v>119.77431922472539</v>
      </c>
      <c r="AA25">
        <f t="shared" ca="1" si="15"/>
        <v>0</v>
      </c>
      <c r="AB25">
        <f t="shared" ca="1" si="4"/>
        <v>0</v>
      </c>
      <c r="AC25">
        <f t="shared" ca="1" si="5"/>
        <v>6.0235658318563701E-3</v>
      </c>
      <c r="AD25" s="83">
        <f ca="1"/>
        <v>45622</v>
      </c>
      <c r="AE25" s="55">
        <f t="shared" ca="1" si="20"/>
        <v>45622</v>
      </c>
      <c r="AF25" s="55">
        <f t="shared" ca="1" si="21"/>
        <v>11.66432878967556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3.8230598917893936</v>
      </c>
      <c r="AK25" s="55">
        <f t="shared" ca="1" si="19"/>
        <v>-5.3410540719880153</v>
      </c>
    </row>
    <row r="26" spans="1:37" s="55" customFormat="1" ht="15" thickBot="1">
      <c r="C26" s="56"/>
      <c r="D26" s="56"/>
      <c r="E26" s="56"/>
      <c r="F26" s="56"/>
      <c r="R26" s="83">
        <f ca="1"/>
        <v>45395</v>
      </c>
      <c r="S26" s="55">
        <f t="shared" ca="1" si="11"/>
        <v>45395</v>
      </c>
      <c r="T26" s="55">
        <f t="shared" ca="1" si="0"/>
        <v>57.160592372168871</v>
      </c>
      <c r="U26" s="55">
        <f t="shared" ca="1" si="1"/>
        <v>2.026289583284667</v>
      </c>
      <c r="V26" s="55">
        <f t="shared" ca="1" si="2"/>
        <v>0</v>
      </c>
      <c r="W26" s="55">
        <f t="shared" ca="1" si="12"/>
        <v>-0.37133825804668619</v>
      </c>
      <c r="X26" s="55">
        <f t="shared" ca="1" si="13"/>
        <v>6.1420436775248017</v>
      </c>
      <c r="Y26" s="55">
        <f t="shared" ca="1" si="14"/>
        <v>2.0681322810655214</v>
      </c>
      <c r="Z26">
        <f t="shared" ca="1" si="3"/>
        <v>120</v>
      </c>
      <c r="AA26">
        <f t="shared" ca="1" si="15"/>
        <v>0.92317309339172482</v>
      </c>
      <c r="AB26">
        <f t="shared" ca="1" si="4"/>
        <v>0</v>
      </c>
      <c r="AC26">
        <f t="shared" ca="1" si="5"/>
        <v>6.0235658318563701E-3</v>
      </c>
      <c r="AD26" s="83">
        <f ca="1"/>
        <v>45623</v>
      </c>
      <c r="AE26" s="55">
        <f t="shared" ca="1" si="20"/>
        <v>45623</v>
      </c>
      <c r="AF26" s="55">
        <f t="shared" ca="1" si="21"/>
        <v>11.674307125330346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4.3361630923869283</v>
      </c>
      <c r="AK26" s="55">
        <f t="shared" ca="1" si="19"/>
        <v>-5.8441789369307635</v>
      </c>
    </row>
    <row r="27" spans="1:37" s="55" customFormat="1" ht="15" thickBot="1">
      <c r="C27" s="132" t="s">
        <v>137</v>
      </c>
      <c r="D27" s="133"/>
      <c r="E27" s="60"/>
      <c r="F27" s="134" t="s">
        <v>144</v>
      </c>
      <c r="G27" s="135"/>
      <c r="R27" s="83">
        <f ca="1"/>
        <v>45396</v>
      </c>
      <c r="S27" s="55">
        <f t="shared" ca="1" si="11"/>
        <v>45396</v>
      </c>
      <c r="T27" s="55">
        <f t="shared" ca="1" si="0"/>
        <v>58.145821867974057</v>
      </c>
      <c r="U27" s="55">
        <f t="shared" ca="1" si="1"/>
        <v>2.026289583284667</v>
      </c>
      <c r="V27" s="55">
        <f t="shared" ca="1" si="2"/>
        <v>0</v>
      </c>
      <c r="W27" s="55">
        <f t="shared" ca="1" si="12"/>
        <v>-0.57592540906363188</v>
      </c>
      <c r="X27" s="55">
        <f t="shared" ca="1" si="13"/>
        <v>6.8099649534671247</v>
      </c>
      <c r="Y27" s="55">
        <f t="shared" ca="1" si="14"/>
        <v>2.5900276519453342</v>
      </c>
      <c r="Z27">
        <f t="shared" ca="1" si="3"/>
        <v>120</v>
      </c>
      <c r="AA27">
        <f t="shared" ca="1" si="15"/>
        <v>1.4231730933917248</v>
      </c>
      <c r="AB27">
        <f t="shared" ca="1" si="4"/>
        <v>0</v>
      </c>
      <c r="AC27">
        <f t="shared" ca="1" si="5"/>
        <v>6.0235658318563701E-3</v>
      </c>
      <c r="AD27" s="83">
        <f ca="1"/>
        <v>45624</v>
      </c>
      <c r="AE27" s="55">
        <f t="shared" ca="1" si="20"/>
        <v>45624</v>
      </c>
      <c r="AF27" s="55">
        <f t="shared" ca="1" si="21"/>
        <v>11.714129301919613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4.8506832860193514</v>
      </c>
      <c r="AK27" s="55">
        <f t="shared" ca="1" si="19"/>
        <v>-6.3188769539739198</v>
      </c>
    </row>
    <row r="28" spans="1:37" s="55" customFormat="1" ht="15" thickBot="1">
      <c r="C28" s="108" t="s">
        <v>14</v>
      </c>
      <c r="D28" s="109" t="s">
        <v>111</v>
      </c>
      <c r="F28" s="8" t="s">
        <v>14</v>
      </c>
      <c r="G28" s="62" t="s">
        <v>111</v>
      </c>
      <c r="R28" s="83">
        <f ca="1"/>
        <v>45397</v>
      </c>
      <c r="S28" s="55">
        <f t="shared" ca="1" si="11"/>
        <v>45397</v>
      </c>
      <c r="T28" s="55">
        <f t="shared" ca="1" si="0"/>
        <v>58.827193278480777</v>
      </c>
      <c r="U28" s="55">
        <f t="shared" ca="1" si="1"/>
        <v>2.026289583284667</v>
      </c>
      <c r="V28" s="55">
        <f t="shared" ca="1" si="2"/>
        <v>0</v>
      </c>
      <c r="W28" s="55">
        <f t="shared" ca="1" si="12"/>
        <v>-1.1679012762400505</v>
      </c>
      <c r="X28" s="55">
        <f t="shared" ca="1" si="13"/>
        <v>7.5057595823538863</v>
      </c>
      <c r="Y28" s="55">
        <f t="shared" ca="1" si="14"/>
        <v>3.1675803007417112</v>
      </c>
      <c r="Z28">
        <f t="shared" ca="1" si="3"/>
        <v>120</v>
      </c>
      <c r="AA28">
        <f t="shared" ca="1" si="15"/>
        <v>2.8531730933917316</v>
      </c>
      <c r="AB28">
        <f t="shared" ca="1" si="4"/>
        <v>0</v>
      </c>
      <c r="AC28">
        <f t="shared" ca="1" si="5"/>
        <v>6.0235658318563701E-3</v>
      </c>
      <c r="AD28" s="83">
        <f ca="1"/>
        <v>45625</v>
      </c>
      <c r="AE28" s="55">
        <f t="shared" ca="1" si="20"/>
        <v>45625</v>
      </c>
      <c r="AF28" s="55">
        <f t="shared" ca="1" si="21"/>
        <v>11.786995849381036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5.3758548694866457</v>
      </c>
      <c r="AK28" s="55">
        <f t="shared" ca="1" si="19"/>
        <v>-6.7711819899797909</v>
      </c>
    </row>
    <row r="29" spans="1:37" s="55" customFormat="1">
      <c r="A29" s="83">
        <f t="array" aca="1" ref="A29:A43" ca="1">_xlfn._xlws.FILTER('Model Interface'!X11:X500,'Model Interface'!Y11:Y500&gt;0,"")</f>
        <v>45474</v>
      </c>
      <c r="B29" s="55">
        <f t="shared" ref="B29:B43" ca="1" si="24">IF(AND(NOT(F29=""),F29&gt;=StartSchedullingDate),1,0)</f>
        <v>0</v>
      </c>
      <c r="C29" s="78">
        <v>45474</v>
      </c>
      <c r="D29" s="80">
        <v>24</v>
      </c>
      <c r="F29" s="74">
        <f ca="1">A29</f>
        <v>45474</v>
      </c>
      <c r="G29" s="76">
        <f ca="1">IFERROR(VLOOKUP(F29,'Model Interface'!$J$11:$O$500,6,FALSE),"")</f>
        <v>24</v>
      </c>
      <c r="H29" s="55" t="str">
        <f ca="1">IF(B29=1,"Suggested","Applied or Planned")</f>
        <v>Applied or Planned</v>
      </c>
      <c r="R29" s="83">
        <f ca="1"/>
        <v>45398</v>
      </c>
      <c r="S29" s="55">
        <f t="shared" ca="1" si="11"/>
        <v>45398</v>
      </c>
      <c r="T29" s="55">
        <f t="shared" ca="1" si="0"/>
        <v>59.855292204709166</v>
      </c>
      <c r="U29" s="55">
        <f t="shared" ca="1" si="1"/>
        <v>2.026289583284667</v>
      </c>
      <c r="V29" s="55">
        <f t="shared" ca="1" si="2"/>
        <v>0</v>
      </c>
      <c r="W29" s="55">
        <f t="shared" ca="1" si="12"/>
        <v>-1.4206236211043757</v>
      </c>
      <c r="X29" s="55">
        <f t="shared" ca="1" si="13"/>
        <v>8.1875318082893607</v>
      </c>
      <c r="Y29" s="55">
        <f t="shared" ca="1" si="14"/>
        <v>3.7666293458989482</v>
      </c>
      <c r="Z29">
        <f t="shared" ca="1" si="3"/>
        <v>120</v>
      </c>
      <c r="AA29">
        <f t="shared" ca="1" si="15"/>
        <v>3.453173093391726</v>
      </c>
      <c r="AB29">
        <f t="shared" ca="1" si="4"/>
        <v>0</v>
      </c>
      <c r="AC29">
        <f t="shared" ca="1" si="5"/>
        <v>6.0235658318563701E-3</v>
      </c>
      <c r="AD29" s="83">
        <f ca="1"/>
        <v>45626</v>
      </c>
      <c r="AE29" s="55">
        <f t="shared" ca="1" si="20"/>
        <v>45626</v>
      </c>
      <c r="AF29" s="55">
        <f t="shared" ca="1" si="21"/>
        <v>11.878368444040495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5.8962593221521429</v>
      </c>
      <c r="AK29" s="55">
        <f t="shared" ca="1" si="19"/>
        <v>-7.2002138479858289</v>
      </c>
    </row>
    <row r="30" spans="1:37" s="55" customFormat="1">
      <c r="A30" s="83">
        <f ca="1"/>
        <v>45508</v>
      </c>
      <c r="B30" s="55">
        <f t="shared" ca="1" si="24"/>
        <v>0</v>
      </c>
      <c r="C30" s="78">
        <v>45508</v>
      </c>
      <c r="D30" s="81">
        <v>18</v>
      </c>
      <c r="F30" s="74">
        <f t="shared" ref="F30:F43" ca="1" si="25">IFERROR(IF(A30=A29,"",A30),"")</f>
        <v>45508</v>
      </c>
      <c r="G30" s="76">
        <f ca="1">IFERROR(VLOOKUP(F30,'Model Interface'!$J$11:$O$500,6,FALSE),"")</f>
        <v>18</v>
      </c>
      <c r="H30" s="55" t="str">
        <f t="shared" ref="H30:H43" ca="1" si="26">IF(F30="","",IF(F30&lt;=StartSchedullingDate,"Applied or Planned","Suggested"))</f>
        <v>Applied or Planned</v>
      </c>
      <c r="R30" s="83">
        <f ca="1"/>
        <v>45399</v>
      </c>
      <c r="S30" s="55">
        <f t="shared" ca="1" si="11"/>
        <v>45399</v>
      </c>
      <c r="T30" s="55">
        <f t="shared" ca="1" si="0"/>
        <v>60.871976665966052</v>
      </c>
      <c r="U30" s="55">
        <f t="shared" ca="1" si="1"/>
        <v>2.026289583284667</v>
      </c>
      <c r="V30" s="55">
        <f t="shared" ca="1" si="2"/>
        <v>0</v>
      </c>
      <c r="W30" s="55">
        <f t="shared" ca="1" si="12"/>
        <v>-1.7119073020392945</v>
      </c>
      <c r="X30" s="55">
        <f t="shared" ca="1" si="13"/>
        <v>8.86986163676902</v>
      </c>
      <c r="Y30" s="55">
        <f t="shared" ca="1" si="14"/>
        <v>4.3922676596110906</v>
      </c>
      <c r="Z30">
        <f t="shared" ca="1" si="3"/>
        <v>120</v>
      </c>
      <c r="AA30">
        <f t="shared" ca="1" si="15"/>
        <v>4.1331730933917257</v>
      </c>
      <c r="AB30">
        <f t="shared" ca="1" si="4"/>
        <v>0</v>
      </c>
      <c r="AC30">
        <f t="shared" ca="1" si="5"/>
        <v>6.0235658318563701E-3</v>
      </c>
      <c r="AD30" s="83">
        <f ca="1"/>
        <v>45627</v>
      </c>
      <c r="AE30" s="55">
        <f t="shared" ca="1" si="20"/>
        <v>45627</v>
      </c>
      <c r="AF30" s="55">
        <f t="shared" ca="1" si="21"/>
        <v>12.041412166981823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6.469589718093081</v>
      </c>
      <c r="AK30" s="55">
        <f t="shared" ca="1" si="19"/>
        <v>-7.6105005209854397</v>
      </c>
    </row>
    <row r="31" spans="1:37" s="55" customFormat="1">
      <c r="A31" s="83">
        <f ca="1"/>
        <v>45549</v>
      </c>
      <c r="B31" s="55">
        <f t="shared" ca="1" si="24"/>
        <v>1</v>
      </c>
      <c r="C31" s="78"/>
      <c r="D31" s="81"/>
      <c r="F31" s="74">
        <f t="shared" ca="1" si="25"/>
        <v>45549</v>
      </c>
      <c r="G31" s="76">
        <f ca="1">IFERROR(VLOOKUP(F31,'Model Interface'!$J$11:$O$500,6,FALSE),"")</f>
        <v>143.83962661801661</v>
      </c>
      <c r="H31" s="55" t="str">
        <f t="shared" ca="1" si="26"/>
        <v>Suggested</v>
      </c>
      <c r="R31" s="83">
        <f ca="1"/>
        <v>45400</v>
      </c>
      <c r="S31" s="55">
        <f t="shared" ca="1" si="11"/>
        <v>45400</v>
      </c>
      <c r="T31" s="55">
        <f t="shared" ca="1" si="0"/>
        <v>62.121635270834474</v>
      </c>
      <c r="U31" s="55">
        <f t="shared" ca="1" si="1"/>
        <v>2.026289583284667</v>
      </c>
      <c r="V31" s="55">
        <f t="shared" ca="1" si="2"/>
        <v>0</v>
      </c>
      <c r="W31" s="55">
        <f t="shared" ca="1" si="12"/>
        <v>-1.7687370943055776</v>
      </c>
      <c r="X31" s="55">
        <f t="shared" ca="1" si="13"/>
        <v>9.5394359824688095</v>
      </c>
      <c r="Y31" s="55">
        <f t="shared" ca="1" si="14"/>
        <v>5.0291817110460038</v>
      </c>
      <c r="Z31">
        <f t="shared" ca="1" si="3"/>
        <v>120</v>
      </c>
      <c r="AA31">
        <f t="shared" ca="1" si="15"/>
        <v>4.2631730933917282</v>
      </c>
      <c r="AB31">
        <f t="shared" ca="1" si="4"/>
        <v>0</v>
      </c>
      <c r="AC31">
        <f t="shared" ca="1" si="5"/>
        <v>6.0235658318563701E-3</v>
      </c>
      <c r="AD31" s="83">
        <f ca="1"/>
        <v>45628</v>
      </c>
      <c r="AE31" s="55">
        <f t="shared" ca="1" si="20"/>
        <v>45628</v>
      </c>
      <c r="AF31" s="55">
        <f t="shared" ca="1" si="21"/>
        <v>12.222778176231419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7.0387889323446933</v>
      </c>
      <c r="AK31" s="55">
        <f t="shared" ca="1" si="19"/>
        <v>-7.9983337259874574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Interface'!$J$11:$O$500,6,FALSE),"")</f>
        <v/>
      </c>
      <c r="H32" s="55" t="str">
        <f t="shared" ca="1" si="26"/>
        <v/>
      </c>
      <c r="R32" s="83">
        <f ca="1"/>
        <v>45401</v>
      </c>
      <c r="S32" s="55">
        <f t="shared" ca="1" si="11"/>
        <v>45401</v>
      </c>
      <c r="T32" s="55">
        <f t="shared" ca="1" si="0"/>
        <v>63.467548014194094</v>
      </c>
      <c r="U32" s="55">
        <f t="shared" ca="1" si="1"/>
        <v>2.026289583284667</v>
      </c>
      <c r="V32" s="55">
        <f t="shared" ca="1" si="2"/>
        <v>0</v>
      </c>
      <c r="W32" s="55">
        <f t="shared" ca="1" si="12"/>
        <v>-1.7687370943055776</v>
      </c>
      <c r="X32" s="55">
        <f t="shared" ca="1" si="13"/>
        <v>10.221208208404283</v>
      </c>
      <c r="Y32" s="55">
        <f t="shared" ca="1" si="14"/>
        <v>5.6933222284701461</v>
      </c>
      <c r="Z32">
        <f t="shared" ca="1" si="3"/>
        <v>118.68888888888888</v>
      </c>
      <c r="AA32">
        <f t="shared" ca="1" si="15"/>
        <v>4.2631730933917282</v>
      </c>
      <c r="AB32">
        <f t="shared" ca="1" si="4"/>
        <v>0</v>
      </c>
      <c r="AC32">
        <f t="shared" ca="1" si="5"/>
        <v>6.0235658318563701E-3</v>
      </c>
      <c r="AD32" s="83">
        <f ca="1"/>
        <v>45629</v>
      </c>
      <c r="AE32" s="55">
        <f t="shared" ca="1" si="20"/>
        <v>45629</v>
      </c>
      <c r="AF32" s="55">
        <f t="shared" ca="1" si="21"/>
        <v>12.483276968364258</v>
      </c>
      <c r="AG32" s="55">
        <f t="shared" ca="1" si="22"/>
        <v>1.539611058845207</v>
      </c>
      <c r="AH32" s="55">
        <f t="shared" ca="1" si="23"/>
        <v>0</v>
      </c>
      <c r="AI32" s="55">
        <f t="shared" ca="1" si="17"/>
        <v>0</v>
      </c>
      <c r="AJ32" s="55">
        <f t="shared" ca="1" si="18"/>
        <v>7.6589183930897047</v>
      </c>
      <c r="AK32" s="55">
        <f t="shared" ca="1" si="19"/>
        <v>-8.3579643945996303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Interface'!$J$11:$O$500,6,FALSE),"")</f>
        <v/>
      </c>
      <c r="H33" s="55" t="str">
        <f t="shared" ca="1" si="26"/>
        <v/>
      </c>
      <c r="R33" s="83">
        <f ca="1"/>
        <v>45402</v>
      </c>
      <c r="S33" s="55">
        <f t="shared" ca="1" si="11"/>
        <v>45402</v>
      </c>
      <c r="T33" s="55">
        <f t="shared" ca="1" si="0"/>
        <v>64.302731961739809</v>
      </c>
      <c r="U33" s="55">
        <f t="shared" ca="1" si="1"/>
        <v>2.026289583284667</v>
      </c>
      <c r="V33" s="55">
        <f t="shared" ca="1" si="2"/>
        <v>0</v>
      </c>
      <c r="W33" s="55">
        <f t="shared" ca="1" si="12"/>
        <v>-2.2779379777421562</v>
      </c>
      <c r="X33" s="55">
        <f t="shared" ca="1" si="13"/>
        <v>10.894649306299488</v>
      </c>
      <c r="Y33" s="55">
        <f t="shared" ca="1" si="14"/>
        <v>6.3642659615572388</v>
      </c>
      <c r="Z33">
        <f t="shared" ca="1" si="3"/>
        <v>120</v>
      </c>
      <c r="AA33">
        <f t="shared" ca="1" si="15"/>
        <v>5.3884771564297012</v>
      </c>
      <c r="AB33">
        <f t="shared" ca="1" si="4"/>
        <v>0</v>
      </c>
      <c r="AC33">
        <f t="shared" ca="1" si="5"/>
        <v>6.0235658318563701E-3</v>
      </c>
      <c r="AD33" s="83">
        <f ca="1"/>
        <v>45630</v>
      </c>
      <c r="AE33" s="55">
        <f t="shared" ca="1" si="20"/>
        <v>45630</v>
      </c>
      <c r="AF33" s="55">
        <f t="shared" ca="1" si="21"/>
        <v>12.725473632291617</v>
      </c>
      <c r="AG33" s="55">
        <f t="shared" ca="1" si="22"/>
        <v>1.6089279739078004</v>
      </c>
      <c r="AH33" s="55">
        <f t="shared" ca="1" si="23"/>
        <v>0</v>
      </c>
      <c r="AI33" s="55">
        <f t="shared" ca="1" si="17"/>
        <v>0</v>
      </c>
      <c r="AJ33" s="55">
        <f t="shared" ca="1" si="18"/>
        <v>8.2981515710770086</v>
      </c>
      <c r="AK33" s="55">
        <f t="shared" ca="1" si="19"/>
        <v>-8.6856839935969816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Interface'!$J$11:$O$500,6,FALSE),"")</f>
        <v/>
      </c>
      <c r="H34" s="55" t="str">
        <f t="shared" ca="1" si="26"/>
        <v/>
      </c>
      <c r="R34" s="83">
        <f ca="1"/>
        <v>45403</v>
      </c>
      <c r="S34" s="55">
        <f t="shared" ca="1" si="11"/>
        <v>45403</v>
      </c>
      <c r="T34" s="55">
        <f t="shared" ca="1" si="0"/>
        <v>64.938052903794031</v>
      </c>
      <c r="U34" s="55">
        <f t="shared" ca="1" si="1"/>
        <v>2.0735733315503353</v>
      </c>
      <c r="V34" s="55">
        <f t="shared" ca="1" si="2"/>
        <v>0</v>
      </c>
      <c r="W34" s="55">
        <f t="shared" ca="1" si="12"/>
        <v>-2.8765706209923176</v>
      </c>
      <c r="X34" s="55">
        <f t="shared" ca="1" si="13"/>
        <v>11.528424824721958</v>
      </c>
      <c r="Y34" s="55">
        <f t="shared" ca="1" si="14"/>
        <v>7.0117277767048147</v>
      </c>
      <c r="Z34">
        <f t="shared" ca="1" si="3"/>
        <v>120</v>
      </c>
      <c r="AA34">
        <f t="shared" ca="1" si="15"/>
        <v>6.6984771564297034</v>
      </c>
      <c r="AB34">
        <f t="shared" ca="1" si="4"/>
        <v>0</v>
      </c>
      <c r="AC34">
        <f t="shared" ca="1" si="5"/>
        <v>6.2716804085214189E-3</v>
      </c>
      <c r="AD34" s="83">
        <f ca="1"/>
        <v>45631</v>
      </c>
      <c r="AE34" s="55">
        <f t="shared" ca="1" si="20"/>
        <v>45631</v>
      </c>
      <c r="AF34" s="55">
        <f t="shared" ca="1" si="21"/>
        <v>12.997500466895152</v>
      </c>
      <c r="AG34" s="55">
        <f t="shared" ca="1" si="22"/>
        <v>1.6814750343119274</v>
      </c>
      <c r="AH34" s="55">
        <f t="shared" ca="1" si="23"/>
        <v>0</v>
      </c>
      <c r="AI34" s="55">
        <f t="shared" ca="1" si="17"/>
        <v>0</v>
      </c>
      <c r="AJ34" s="55">
        <f t="shared" ca="1" si="18"/>
        <v>8.9452726897139421</v>
      </c>
      <c r="AK34" s="55">
        <f t="shared" ca="1" si="19"/>
        <v>-8.9882312172262537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Interface'!$J$11:$O$500,6,FALSE),"")</f>
        <v/>
      </c>
      <c r="H35" s="55" t="str">
        <f t="shared" ca="1" si="26"/>
        <v/>
      </c>
      <c r="R35" s="83">
        <f ca="1"/>
        <v>45404</v>
      </c>
      <c r="S35" s="55">
        <f t="shared" ca="1" si="11"/>
        <v>45404</v>
      </c>
      <c r="T35" s="55">
        <f t="shared" ca="1" si="0"/>
        <v>66.144551229632896</v>
      </c>
      <c r="U35" s="55">
        <f t="shared" ca="1" si="1"/>
        <v>2.1513855493116947</v>
      </c>
      <c r="V35" s="55">
        <f t="shared" ca="1" si="2"/>
        <v>0</v>
      </c>
      <c r="W35" s="55">
        <f t="shared" ca="1" si="12"/>
        <v>-2.8951890872643622</v>
      </c>
      <c r="X35" s="55">
        <f t="shared" ca="1" si="13"/>
        <v>12.170231921545245</v>
      </c>
      <c r="Y35" s="55">
        <f t="shared" ca="1" si="14"/>
        <v>7.6728496897538019</v>
      </c>
      <c r="Z35">
        <f t="shared" ca="1" si="3"/>
        <v>120</v>
      </c>
      <c r="AA35">
        <f t="shared" ca="1" si="15"/>
        <v>6.7384771564297026</v>
      </c>
      <c r="AB35">
        <f t="shared" ca="1" si="4"/>
        <v>0</v>
      </c>
      <c r="AC35">
        <f t="shared" ca="1" si="5"/>
        <v>6.6892228642108191E-3</v>
      </c>
      <c r="AD35" s="83">
        <f ca="1"/>
        <v>45632</v>
      </c>
      <c r="AE35" s="55">
        <f t="shared" ca="1" si="20"/>
        <v>45632</v>
      </c>
      <c r="AF35" s="55">
        <f t="shared" ca="1" si="21"/>
        <v>13.285550293942228</v>
      </c>
      <c r="AG35" s="55">
        <f t="shared" ca="1" si="22"/>
        <v>1.7548537263812132</v>
      </c>
      <c r="AH35" s="55">
        <f t="shared" ca="1" si="23"/>
        <v>0</v>
      </c>
      <c r="AI35" s="55">
        <f t="shared" ca="1" si="17"/>
        <v>0</v>
      </c>
      <c r="AJ35" s="55">
        <f t="shared" ca="1" si="18"/>
        <v>9.5753558508028895</v>
      </c>
      <c r="AK35" s="55">
        <f t="shared" ca="1" si="19"/>
        <v>-9.2568858591988423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32" t="s">
        <v>138</v>
      </c>
      <c r="D36" s="133"/>
      <c r="F36" s="74" t="str">
        <f t="shared" ca="1" si="25"/>
        <v/>
      </c>
      <c r="G36" s="76" t="str">
        <f ca="1">IFERROR(VLOOKUP(F36,'Model Interface'!$J$11:$O$500,6,FALSE),"")</f>
        <v/>
      </c>
      <c r="H36" s="55" t="str">
        <f t="shared" ca="1" si="26"/>
        <v/>
      </c>
      <c r="R36" s="83">
        <f ca="1"/>
        <v>45405</v>
      </c>
      <c r="S36" s="55">
        <f t="shared" ca="1" si="11"/>
        <v>45405</v>
      </c>
      <c r="T36" s="55">
        <f t="shared" ca="1" si="0"/>
        <v>66.373206895292455</v>
      </c>
      <c r="U36" s="55">
        <f t="shared" ca="1" si="1"/>
        <v>2.2304832977741338</v>
      </c>
      <c r="V36" s="55">
        <f t="shared" ca="1" si="2"/>
        <v>0</v>
      </c>
      <c r="W36" s="55">
        <f t="shared" ca="1" si="12"/>
        <v>-3.876037589161466</v>
      </c>
      <c r="X36" s="55">
        <f t="shared" ca="1" si="13"/>
        <v>12.801876052125477</v>
      </c>
      <c r="Y36" s="55">
        <f t="shared" ca="1" si="14"/>
        <v>8.3298074751926823</v>
      </c>
      <c r="Z36">
        <f t="shared" ca="1" si="3"/>
        <v>120</v>
      </c>
      <c r="AA36">
        <f t="shared" ca="1" si="15"/>
        <v>8.8384771564297111</v>
      </c>
      <c r="AB36">
        <f t="shared" ca="1" si="4"/>
        <v>0</v>
      </c>
      <c r="AC36">
        <f t="shared" ca="1" si="5"/>
        <v>7.1253283038264364E-3</v>
      </c>
      <c r="AD36" s="83">
        <f ca="1"/>
        <v>45633</v>
      </c>
      <c r="AE36" s="55">
        <f t="shared" ca="1" si="20"/>
        <v>45633</v>
      </c>
      <c r="AF36" s="55">
        <f t="shared" ca="1" si="21"/>
        <v>13.575120043380965</v>
      </c>
      <c r="AG36" s="55">
        <f t="shared" ca="1" si="22"/>
        <v>1.8311658692030757</v>
      </c>
      <c r="AH36" s="55">
        <f t="shared" ca="1" si="23"/>
        <v>0</v>
      </c>
      <c r="AI36" s="55">
        <f t="shared" ca="1" si="17"/>
        <v>0</v>
      </c>
      <c r="AJ36" s="55">
        <f t="shared" ca="1" si="18"/>
        <v>10.187547210503244</v>
      </c>
      <c r="AK36" s="55">
        <f t="shared" ca="1" si="19"/>
        <v>-9.5031953266385969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Interface'!$J$11:$O$500,6,FALSE),"")</f>
        <v/>
      </c>
      <c r="H37" s="55" t="str">
        <f t="shared" ca="1" si="26"/>
        <v/>
      </c>
      <c r="R37" s="83">
        <f ca="1"/>
        <v>45406</v>
      </c>
      <c r="S37" s="55">
        <f t="shared" ca="1" si="11"/>
        <v>45406</v>
      </c>
      <c r="T37" s="55">
        <f t="shared" ca="1" si="0"/>
        <v>65.554851339455809</v>
      </c>
      <c r="U37" s="55">
        <f t="shared" ca="1" si="1"/>
        <v>2.3149305638677991</v>
      </c>
      <c r="V37" s="55">
        <f t="shared" ca="1" si="2"/>
        <v>0</v>
      </c>
      <c r="W37" s="55">
        <f t="shared" ca="1" si="12"/>
        <v>-5.9288756190692382</v>
      </c>
      <c r="X37" s="55">
        <f t="shared" ca="1" si="13"/>
        <v>13.448531578392522</v>
      </c>
      <c r="Y37" s="55">
        <f t="shared" ca="1" si="14"/>
        <v>9.0020816890904296</v>
      </c>
      <c r="Z37">
        <f t="shared" ca="1" si="3"/>
        <v>120</v>
      </c>
      <c r="AA37">
        <f t="shared" ca="1" si="15"/>
        <v>13.288477156429707</v>
      </c>
      <c r="AB37">
        <f t="shared" ca="1" si="4"/>
        <v>0</v>
      </c>
      <c r="AC37">
        <f t="shared" ca="1" si="5"/>
        <v>7.6037693774976692E-3</v>
      </c>
      <c r="AD37" s="83">
        <f ca="1"/>
        <v>45634</v>
      </c>
      <c r="AE37" s="55">
        <f t="shared" ca="1" si="20"/>
        <v>45634</v>
      </c>
      <c r="AF37" s="55">
        <f t="shared" ca="1" si="21"/>
        <v>13.864808241398443</v>
      </c>
      <c r="AG37" s="55">
        <f t="shared" ca="1" si="22"/>
        <v>1.9130900889075992</v>
      </c>
      <c r="AH37" s="55">
        <f t="shared" ca="1" si="23"/>
        <v>0</v>
      </c>
      <c r="AI37" s="55">
        <f t="shared" ca="1" si="17"/>
        <v>0</v>
      </c>
      <c r="AJ37" s="55">
        <f t="shared" ca="1" si="18"/>
        <v>10.792242324459746</v>
      </c>
      <c r="AK37" s="55">
        <f t="shared" ca="1" si="19"/>
        <v>-9.7362780228730976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Interface'!$J$11:$O$500,6,FALSE),"")</f>
        <v/>
      </c>
      <c r="H38" s="55" t="str">
        <f t="shared" ca="1" si="26"/>
        <v/>
      </c>
      <c r="R38" s="83">
        <f ca="1"/>
        <v>45407</v>
      </c>
      <c r="S38" s="55">
        <f t="shared" ca="1" si="11"/>
        <v>45407</v>
      </c>
      <c r="T38" s="55">
        <f t="shared" ca="1" si="0"/>
        <v>66.313216580758208</v>
      </c>
      <c r="U38" s="55">
        <f t="shared" ca="1" si="1"/>
        <v>2.4046513196343935</v>
      </c>
      <c r="V38" s="55">
        <f t="shared" ca="1" si="2"/>
        <v>0</v>
      </c>
      <c r="W38" s="55">
        <f t="shared" ca="1" si="12"/>
        <v>-6.4235230938605214</v>
      </c>
      <c r="X38" s="55">
        <f t="shared" ca="1" si="13"/>
        <v>14.107678104979142</v>
      </c>
      <c r="Y38" s="55">
        <f t="shared" ca="1" si="14"/>
        <v>9.6856686343640757</v>
      </c>
      <c r="Z38">
        <f t="shared" ca="1" si="3"/>
        <v>120</v>
      </c>
      <c r="AA38">
        <f t="shared" ca="1" si="15"/>
        <v>14.348477156429702</v>
      </c>
      <c r="AB38">
        <f t="shared" ca="1" si="4"/>
        <v>0</v>
      </c>
      <c r="AC38">
        <f t="shared" ca="1" si="5"/>
        <v>8.1264569344763164E-3</v>
      </c>
      <c r="AD38" s="83">
        <f ca="1"/>
        <v>45635</v>
      </c>
      <c r="AE38" s="55">
        <f t="shared" ca="1" si="20"/>
        <v>45635</v>
      </c>
      <c r="AF38" s="55">
        <f t="shared" ca="1" si="21"/>
        <v>14.164966977884312</v>
      </c>
      <c r="AG38" s="55">
        <f t="shared" ca="1" si="22"/>
        <v>1.9981711421274431</v>
      </c>
      <c r="AH38" s="55">
        <f t="shared" ca="1" si="23"/>
        <v>0</v>
      </c>
      <c r="AI38" s="55">
        <f t="shared" ca="1" si="17"/>
        <v>0</v>
      </c>
      <c r="AJ38" s="55">
        <f t="shared" ca="1" si="18"/>
        <v>11.388948947906792</v>
      </c>
      <c r="AK38" s="55">
        <f t="shared" ca="1" si="19"/>
        <v>-9.9477448566144311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Interface'!$J$11:$O$500,6,FALSE),"")</f>
        <v/>
      </c>
      <c r="H39" s="55" t="str">
        <f t="shared" ca="1" si="26"/>
        <v/>
      </c>
      <c r="R39" s="83">
        <f ca="1"/>
        <v>45408</v>
      </c>
      <c r="S39" s="55">
        <f t="shared" ca="1" si="11"/>
        <v>45408</v>
      </c>
      <c r="T39" s="55">
        <f t="shared" ca="1" si="0"/>
        <v>67.258085302335274</v>
      </c>
      <c r="U39" s="55">
        <f t="shared" ca="1" si="1"/>
        <v>2.501620832506255</v>
      </c>
      <c r="V39" s="55">
        <f t="shared" ca="1" si="2"/>
        <v>0</v>
      </c>
      <c r="W39" s="55">
        <f t="shared" ca="1" si="12"/>
        <v>-6.7642973927256866</v>
      </c>
      <c r="X39" s="55">
        <f t="shared" ca="1" si="13"/>
        <v>14.788893002697563</v>
      </c>
      <c r="Y39" s="55">
        <f t="shared" ca="1" si="14"/>
        <v>10.387066269959764</v>
      </c>
      <c r="Z39">
        <f t="shared" ca="1" si="3"/>
        <v>120</v>
      </c>
      <c r="AA39">
        <f t="shared" ca="1" si="15"/>
        <v>15.068477156429701</v>
      </c>
      <c r="AB39">
        <f t="shared" ca="1" si="4"/>
        <v>0</v>
      </c>
      <c r="AC39">
        <f t="shared" ca="1" si="5"/>
        <v>8.7078285039246823E-3</v>
      </c>
      <c r="AD39" s="83">
        <f ca="1"/>
        <v>45636</v>
      </c>
      <c r="AE39" s="55">
        <f t="shared" ca="1" si="20"/>
        <v>45636</v>
      </c>
      <c r="AF39" s="55">
        <f t="shared" ca="1" si="21"/>
        <v>14.464375796086877</v>
      </c>
      <c r="AG39" s="55">
        <f t="shared" ca="1" si="22"/>
        <v>2.089975702996349</v>
      </c>
      <c r="AH39" s="55">
        <f t="shared" ca="1" si="23"/>
        <v>0</v>
      </c>
      <c r="AI39" s="55">
        <f t="shared" ca="1" si="17"/>
        <v>0</v>
      </c>
      <c r="AJ39" s="55">
        <f t="shared" ca="1" si="18"/>
        <v>11.97963151020657</v>
      </c>
      <c r="AK39" s="55">
        <f t="shared" ca="1" si="19"/>
        <v>-10.147214039842737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Interface'!$J$11:$O$500,6,FALSE),"")</f>
        <v/>
      </c>
      <c r="H40" s="55" t="str">
        <f t="shared" ca="1" si="26"/>
        <v/>
      </c>
      <c r="R40" s="83">
        <f ca="1"/>
        <v>45409</v>
      </c>
      <c r="S40" s="55">
        <f t="shared" ca="1" si="11"/>
        <v>45409</v>
      </c>
      <c r="T40" s="55">
        <f t="shared" ca="1" si="0"/>
        <v>67.748913478908236</v>
      </c>
      <c r="U40" s="55">
        <f t="shared" ca="1" si="1"/>
        <v>2.6048410138743985</v>
      </c>
      <c r="V40" s="55">
        <f t="shared" ca="1" si="2"/>
        <v>0</v>
      </c>
      <c r="W40" s="55">
        <f t="shared" ca="1" si="12"/>
        <v>-7.5747751354548498</v>
      </c>
      <c r="X40" s="55">
        <f t="shared" ca="1" si="13"/>
        <v>15.483559524038419</v>
      </c>
      <c r="Y40" s="55">
        <f t="shared" ca="1" si="14"/>
        <v>11.096925849289168</v>
      </c>
      <c r="Z40">
        <f t="shared" ca="1" si="3"/>
        <v>120</v>
      </c>
      <c r="AA40">
        <f t="shared" ca="1" si="15"/>
        <v>16.768477156429704</v>
      </c>
      <c r="AB40">
        <f t="shared" ca="1" si="4"/>
        <v>0</v>
      </c>
      <c r="AC40">
        <f t="shared" ca="1" si="5"/>
        <v>9.3452308299822925E-3</v>
      </c>
      <c r="AD40" s="83">
        <f ca="1"/>
        <v>45637</v>
      </c>
      <c r="AE40" s="55">
        <f t="shared" ca="1" si="20"/>
        <v>45637</v>
      </c>
      <c r="AF40" s="55">
        <f t="shared" ca="1" si="21"/>
        <v>14.777074226858678</v>
      </c>
      <c r="AG40" s="55">
        <f t="shared" ca="1" si="22"/>
        <v>2.1886096062101243</v>
      </c>
      <c r="AH40" s="55">
        <f t="shared" ca="1" si="23"/>
        <v>0</v>
      </c>
      <c r="AI40" s="55">
        <f t="shared" ca="1" si="17"/>
        <v>0</v>
      </c>
      <c r="AJ40" s="55">
        <f t="shared" ca="1" si="18"/>
        <v>12.576701667061851</v>
      </c>
      <c r="AK40" s="55">
        <f t="shared" ca="1" si="19"/>
        <v>-10.332951862712441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Interface'!$J$11:$O$500,6,FALSE),"")</f>
        <v/>
      </c>
      <c r="H41" s="55" t="str">
        <f t="shared" ca="1" si="26"/>
        <v/>
      </c>
      <c r="R41" s="83">
        <f ca="1"/>
        <v>45410</v>
      </c>
      <c r="S41" s="55">
        <f t="shared" ca="1" si="11"/>
        <v>45410</v>
      </c>
      <c r="T41" s="55">
        <f t="shared" ca="1" si="0"/>
        <v>68.384611353993449</v>
      </c>
      <c r="U41" s="55">
        <f t="shared" ca="1" si="1"/>
        <v>2.702923485952367</v>
      </c>
      <c r="V41" s="55">
        <f t="shared" ca="1" si="2"/>
        <v>0</v>
      </c>
      <c r="W41" s="55">
        <f t="shared" ca="1" si="12"/>
        <v>-8.1474329364599569</v>
      </c>
      <c r="X41" s="55">
        <f t="shared" ca="1" si="13"/>
        <v>16.128057461618397</v>
      </c>
      <c r="Y41" s="55">
        <f t="shared" ca="1" si="14"/>
        <v>11.75886605987748</v>
      </c>
      <c r="Z41">
        <f t="shared" ca="1" si="3"/>
        <v>120</v>
      </c>
      <c r="AA41">
        <f t="shared" ca="1" si="15"/>
        <v>17.958477156429701</v>
      </c>
      <c r="AB41">
        <f t="shared" ca="1" si="4"/>
        <v>0</v>
      </c>
      <c r="AC41">
        <f t="shared" ca="1" si="5"/>
        <v>9.9684211327432035E-3</v>
      </c>
      <c r="AD41" s="83">
        <f ca="1"/>
        <v>45638</v>
      </c>
      <c r="AE41" s="55">
        <f t="shared" ca="1" si="20"/>
        <v>45638</v>
      </c>
      <c r="AF41" s="55">
        <f t="shared" ca="1" si="21"/>
        <v>15.079584014903389</v>
      </c>
      <c r="AG41" s="55">
        <f t="shared" ca="1" si="22"/>
        <v>2.2904602477945568</v>
      </c>
      <c r="AH41" s="55">
        <f t="shared" ca="1" si="23"/>
        <v>0</v>
      </c>
      <c r="AI41" s="55">
        <f t="shared" ca="1" si="17"/>
        <v>0</v>
      </c>
      <c r="AJ41" s="55">
        <f t="shared" ca="1" si="18"/>
        <v>13.145025295337216</v>
      </c>
      <c r="AK41" s="55">
        <f t="shared" ca="1" si="19"/>
        <v>-10.496915061358663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Interface'!$J$11:$O$500,6,FALSE),"")</f>
        <v/>
      </c>
      <c r="H42" s="55" t="str">
        <f t="shared" ca="1" si="26"/>
        <v/>
      </c>
      <c r="R42" s="83">
        <f ca="1"/>
        <v>45411</v>
      </c>
      <c r="S42" s="55">
        <f t="shared" ca="1" si="11"/>
        <v>45411</v>
      </c>
      <c r="T42" s="55">
        <f t="shared" ca="1" si="0"/>
        <v>68.251931710250204</v>
      </c>
      <c r="U42" s="55">
        <f t="shared" ca="1" si="1"/>
        <v>2.8004082425420838</v>
      </c>
      <c r="V42" s="55">
        <f t="shared" ca="1" si="2"/>
        <v>0</v>
      </c>
      <c r="W42" s="55">
        <f t="shared" ca="1" si="12"/>
        <v>-9.4442196389547117</v>
      </c>
      <c r="X42" s="55">
        <f t="shared" ca="1" si="13"/>
        <v>16.751219650789835</v>
      </c>
      <c r="Y42" s="55">
        <f t="shared" ca="1" si="14"/>
        <v>12.397295686047274</v>
      </c>
      <c r="Z42">
        <f t="shared" ca="1" si="3"/>
        <v>120</v>
      </c>
      <c r="AA42">
        <f t="shared" ca="1" si="15"/>
        <v>20.658477156429704</v>
      </c>
      <c r="AB42">
        <f t="shared" ca="1" si="4"/>
        <v>0</v>
      </c>
      <c r="AC42">
        <f t="shared" ca="1" si="5"/>
        <v>1.060452288967458E-2</v>
      </c>
      <c r="AD42" s="83">
        <f ca="1"/>
        <v>45639</v>
      </c>
      <c r="AE42" s="55">
        <f t="shared" ca="1" si="20"/>
        <v>45639</v>
      </c>
      <c r="AF42" s="55">
        <f t="shared" ca="1" si="21"/>
        <v>15.41026922921637</v>
      </c>
      <c r="AG42" s="55">
        <f t="shared" ca="1" si="22"/>
        <v>2.3964932943243089</v>
      </c>
      <c r="AH42" s="55">
        <f t="shared" ca="1" si="23"/>
        <v>0</v>
      </c>
      <c r="AI42" s="55">
        <f t="shared" ca="1" si="17"/>
        <v>0</v>
      </c>
      <c r="AJ42" s="55">
        <f t="shared" ca="1" si="18"/>
        <v>13.727385057118225</v>
      </c>
      <c r="AK42" s="55">
        <f t="shared" ca="1" si="19"/>
        <v>-10.642556562296939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Interface'!$J$11:$O$500,6,FALSE),"")</f>
        <v/>
      </c>
      <c r="H43" s="55" t="str">
        <f t="shared" ca="1" si="26"/>
        <v/>
      </c>
      <c r="R43" s="83">
        <f ca="1"/>
        <v>45412</v>
      </c>
      <c r="S43" s="55">
        <f t="shared" ca="1" si="11"/>
        <v>45412</v>
      </c>
      <c r="T43" s="55">
        <f t="shared" ca="1" si="0"/>
        <v>68.811744168231883</v>
      </c>
      <c r="U43" s="55">
        <f t="shared" ca="1" si="1"/>
        <v>2.9021459133889906</v>
      </c>
      <c r="V43" s="55">
        <f t="shared" ca="1" si="2"/>
        <v>0</v>
      </c>
      <c r="W43" s="55">
        <f t="shared" ca="1" si="12"/>
        <v>-10.04466582140047</v>
      </c>
      <c r="X43" s="55">
        <f t="shared" ca="1" si="13"/>
        <v>17.378084106443357</v>
      </c>
      <c r="Y43" s="55">
        <f t="shared" ca="1" si="14"/>
        <v>13.032427541668092</v>
      </c>
      <c r="Z43">
        <f t="shared" ca="1" si="3"/>
        <v>120</v>
      </c>
      <c r="AA43">
        <f t="shared" ca="1" si="15"/>
        <v>21.898477156429706</v>
      </c>
      <c r="AB43">
        <f t="shared" ca="1" si="4"/>
        <v>0</v>
      </c>
      <c r="AC43">
        <f t="shared" ca="1" si="5"/>
        <v>1.128593164717759E-2</v>
      </c>
      <c r="AD43" s="83">
        <f ca="1"/>
        <v>45640</v>
      </c>
      <c r="AE43" s="55">
        <f t="shared" ca="1" si="20"/>
        <v>45640</v>
      </c>
      <c r="AF43" s="55">
        <f t="shared" ca="1" si="21"/>
        <v>15.740681460003652</v>
      </c>
      <c r="AG43" s="55">
        <f t="shared" ca="1" si="22"/>
        <v>2.5063220911258766</v>
      </c>
      <c r="AH43" s="55">
        <f t="shared" ca="1" si="23"/>
        <v>0</v>
      </c>
      <c r="AI43" s="55">
        <f t="shared" ca="1" si="17"/>
        <v>0</v>
      </c>
      <c r="AJ43" s="55">
        <f t="shared" ca="1" si="18"/>
        <v>14.295607330886011</v>
      </c>
      <c r="AK43" s="55">
        <f t="shared" ca="1" si="19"/>
        <v>-10.770537808475876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45389</v>
      </c>
      <c r="C44" s="94" t="s">
        <v>149</v>
      </c>
      <c r="D44" s="96">
        <f ca="1">MAX(CurrentEstablishDate,C38:C43,MAX(C29:C34)+1)</f>
        <v>45509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45413</v>
      </c>
      <c r="S44" s="55">
        <f t="shared" ca="1" si="11"/>
        <v>45413</v>
      </c>
      <c r="T44" s="55">
        <f t="shared" ca="1" si="0"/>
        <v>67.749940234176407</v>
      </c>
      <c r="U44" s="55">
        <f t="shared" ca="1" si="1"/>
        <v>3.0064016689173978</v>
      </c>
      <c r="V44" s="55">
        <f t="shared" ca="1" si="2"/>
        <v>0</v>
      </c>
      <c r="W44" s="55">
        <f t="shared" ca="1" si="12"/>
        <v>-12.247291656124915</v>
      </c>
      <c r="X44" s="55">
        <f t="shared" ca="1" si="13"/>
        <v>17.999663695073963</v>
      </c>
      <c r="Y44" s="55">
        <f t="shared" ca="1" si="14"/>
        <v>13.655925609234867</v>
      </c>
      <c r="Z44">
        <f t="shared" ca="1" si="3"/>
        <v>120</v>
      </c>
      <c r="AA44">
        <f t="shared" ca="1" si="15"/>
        <v>26.518477156429704</v>
      </c>
      <c r="AB44">
        <f t="shared" ca="1" si="4"/>
        <v>0</v>
      </c>
      <c r="AC44">
        <f t="shared" ca="1" si="5"/>
        <v>1.2002589025265561E-2</v>
      </c>
      <c r="AD44" s="83">
        <f ca="1"/>
        <v>45641</v>
      </c>
      <c r="AE44" s="55">
        <f t="shared" ca="1" si="20"/>
        <v>45641</v>
      </c>
      <c r="AF44" s="55">
        <f t="shared" ca="1" si="21"/>
        <v>16.119391670934878</v>
      </c>
      <c r="AG44" s="55">
        <f t="shared" ca="1" si="22"/>
        <v>2.6218136428043075</v>
      </c>
      <c r="AH44" s="55">
        <f t="shared" ca="1" si="23"/>
        <v>0</v>
      </c>
      <c r="AI44" s="55">
        <f t="shared" ca="1" si="17"/>
        <v>0</v>
      </c>
      <c r="AJ44" s="55">
        <f t="shared" ca="1" si="18"/>
        <v>14.903522627239747</v>
      </c>
      <c r="AK44" s="55">
        <f t="shared" ca="1" si="19"/>
        <v>-10.884251342219954</v>
      </c>
    </row>
    <row r="45" spans="1:37" s="55" customFormat="1">
      <c r="R45" s="83">
        <f ca="1"/>
        <v>45414</v>
      </c>
      <c r="S45" s="55">
        <f t="shared" ca="1" si="11"/>
        <v>45414</v>
      </c>
      <c r="T45" s="55">
        <f t="shared" ca="1" si="0"/>
        <v>68.522741596585675</v>
      </c>
      <c r="U45" s="55">
        <f t="shared" ca="1" si="1"/>
        <v>3.1130646489057789</v>
      </c>
      <c r="V45" s="55">
        <f t="shared" ca="1" si="2"/>
        <v>0</v>
      </c>
      <c r="W45" s="55">
        <f t="shared" ca="1" si="12"/>
        <v>-12.594473546880952</v>
      </c>
      <c r="X45" s="55">
        <f t="shared" ca="1" si="13"/>
        <v>18.615461373701983</v>
      </c>
      <c r="Y45" s="55">
        <f t="shared" ca="1" si="14"/>
        <v>14.26677416376052</v>
      </c>
      <c r="Z45">
        <f t="shared" ca="1" si="3"/>
        <v>120</v>
      </c>
      <c r="AA45">
        <f t="shared" ca="1" si="15"/>
        <v>27.23847715642971</v>
      </c>
      <c r="AB45">
        <f t="shared" ca="1" si="4"/>
        <v>0</v>
      </c>
      <c r="AC45">
        <f t="shared" ca="1" si="5"/>
        <v>1.2754820940806247E-2</v>
      </c>
      <c r="AD45" s="83">
        <f ca="1"/>
        <v>45642</v>
      </c>
      <c r="AE45" s="55">
        <f t="shared" ca="1" si="20"/>
        <v>45642</v>
      </c>
      <c r="AF45" s="55">
        <f t="shared" ca="1" si="21"/>
        <v>16.53229361277225</v>
      </c>
      <c r="AG45" s="55">
        <f t="shared" ca="1" si="22"/>
        <v>2.7428485733072248</v>
      </c>
      <c r="AH45" s="55">
        <f t="shared" ca="1" si="23"/>
        <v>0</v>
      </c>
      <c r="AI45" s="55">
        <f t="shared" ca="1" si="17"/>
        <v>0</v>
      </c>
      <c r="AJ45" s="55">
        <f t="shared" ca="1" si="18"/>
        <v>15.537144216348512</v>
      </c>
      <c r="AK45" s="55">
        <f t="shared" ca="1" si="19"/>
        <v>-10.983936058988427</v>
      </c>
    </row>
    <row r="46" spans="1:37" s="55" customFormat="1" ht="15" thickBot="1">
      <c r="C46" s="129" t="s">
        <v>153</v>
      </c>
      <c r="D46" s="129"/>
      <c r="E46" s="129"/>
      <c r="F46" s="129"/>
      <c r="G46" s="129"/>
      <c r="H46" s="129"/>
      <c r="R46" s="83">
        <f ca="1"/>
        <v>45415</v>
      </c>
      <c r="S46" s="55">
        <f t="shared" ca="1" si="11"/>
        <v>45415</v>
      </c>
      <c r="T46" s="55">
        <f t="shared" ca="1" si="0"/>
        <v>69.417272148050756</v>
      </c>
      <c r="U46" s="55">
        <f t="shared" ca="1" si="1"/>
        <v>3.2200508062765505</v>
      </c>
      <c r="V46" s="55">
        <f t="shared" ca="1" si="2"/>
        <v>0</v>
      </c>
      <c r="W46" s="55">
        <f t="shared" ca="1" si="12"/>
        <v>-12.784985393776157</v>
      </c>
      <c r="X46" s="55">
        <f t="shared" ca="1" si="13"/>
        <v>19.216689911440874</v>
      </c>
      <c r="Y46" s="55">
        <f t="shared" ca="1" si="14"/>
        <v>14.857574181752687</v>
      </c>
      <c r="Z46">
        <f t="shared" ca="1" si="3"/>
        <v>120</v>
      </c>
      <c r="AA46">
        <f t="shared" ca="1" si="15"/>
        <v>27.62847715642971</v>
      </c>
      <c r="AB46">
        <f t="shared" ca="1" si="4"/>
        <v>0</v>
      </c>
      <c r="AC46">
        <f t="shared" ca="1" si="5"/>
        <v>1.3528431950854422E-2</v>
      </c>
      <c r="AD46" s="83">
        <f ca="1"/>
        <v>45643</v>
      </c>
      <c r="AE46" s="55">
        <f t="shared" ca="1" si="20"/>
        <v>45643</v>
      </c>
      <c r="AF46" s="55">
        <f t="shared" ca="1" si="21"/>
        <v>16.962390927602701</v>
      </c>
      <c r="AG46" s="55">
        <f t="shared" ca="1" si="22"/>
        <v>2.8671348476044991</v>
      </c>
      <c r="AH46" s="55">
        <f t="shared" ca="1" si="23"/>
        <v>0</v>
      </c>
      <c r="AI46" s="55">
        <f t="shared" ca="1" si="17"/>
        <v>0</v>
      </c>
      <c r="AJ46" s="55">
        <f t="shared" ca="1" si="18"/>
        <v>16.176088518209021</v>
      </c>
      <c r="AK46" s="55">
        <f t="shared" ca="1" si="19"/>
        <v>-11.068496771721211</v>
      </c>
    </row>
    <row r="47" spans="1:37" s="55" customFormat="1">
      <c r="C47" s="61" t="s">
        <v>26</v>
      </c>
      <c r="D47" s="88" t="str">
        <f>IF(E47="","Fodder",E47)</f>
        <v>Green_manure</v>
      </c>
      <c r="E47" s="87" t="s">
        <v>282</v>
      </c>
      <c r="F47" s="61" t="s">
        <v>133</v>
      </c>
      <c r="G47" s="88">
        <f>IF(H47="",VLOOKUP(PriorCropNameFull,CropCoefficients,23,FALSE),H47)</f>
        <v>1</v>
      </c>
      <c r="H47" s="89"/>
      <c r="R47" s="83">
        <f ca="1"/>
        <v>45416</v>
      </c>
      <c r="S47" s="55">
        <f t="shared" ca="1" si="11"/>
        <v>45416</v>
      </c>
      <c r="T47" s="55">
        <f t="shared" ca="1" si="0"/>
        <v>69.872578583561804</v>
      </c>
      <c r="U47" s="55">
        <f t="shared" ca="1" si="1"/>
        <v>3.3318092218458655</v>
      </c>
      <c r="V47" s="55">
        <f t="shared" ca="1" si="2"/>
        <v>0</v>
      </c>
      <c r="W47" s="55">
        <f t="shared" ca="1" si="12"/>
        <v>-13.409439216450728</v>
      </c>
      <c r="X47" s="55">
        <f t="shared" ca="1" si="13"/>
        <v>19.822578160404962</v>
      </c>
      <c r="Y47" s="55">
        <f t="shared" ca="1" si="14"/>
        <v>15.443204606543524</v>
      </c>
      <c r="Z47">
        <f t="shared" ca="1" si="3"/>
        <v>120</v>
      </c>
      <c r="AA47">
        <f t="shared" ca="1" si="15"/>
        <v>28.898477156429706</v>
      </c>
      <c r="AB47">
        <f t="shared" ca="1" si="4"/>
        <v>0</v>
      </c>
      <c r="AC47">
        <f t="shared" ca="1" si="5"/>
        <v>1.4356730576076587E-2</v>
      </c>
      <c r="AD47" s="83">
        <f ca="1"/>
        <v>45644</v>
      </c>
      <c r="AE47" s="55">
        <f t="shared" ca="1" si="20"/>
        <v>45644</v>
      </c>
      <c r="AF47" s="55">
        <f t="shared" ca="1" si="21"/>
        <v>17.419733426150415</v>
      </c>
      <c r="AG47" s="55">
        <f t="shared" ca="1" si="22"/>
        <v>2.9983930704255082</v>
      </c>
      <c r="AH47" s="55">
        <f t="shared" ca="1" si="23"/>
        <v>0</v>
      </c>
      <c r="AI47" s="55">
        <f t="shared" ca="1" si="17"/>
        <v>0</v>
      </c>
      <c r="AJ47" s="55">
        <f t="shared" ca="1" si="18"/>
        <v>16.837942170241821</v>
      </c>
      <c r="AK47" s="55">
        <f t="shared" ca="1" si="19"/>
        <v>-11.141749702385287</v>
      </c>
    </row>
    <row r="48" spans="1:37" s="55" customFormat="1">
      <c r="C48" s="61" t="s">
        <v>94</v>
      </c>
      <c r="D48" s="84" t="str">
        <f>IF(E48="","Barley",E48)</f>
        <v>Mustard</v>
      </c>
      <c r="E48" s="66" t="s">
        <v>55</v>
      </c>
      <c r="F48" s="61" t="s">
        <v>135</v>
      </c>
      <c r="G48" s="84">
        <f>IF(H48="",VLOOKUP(PriorCropNameFull,CropCoefficients,22,FALSE),H48)</f>
        <v>0</v>
      </c>
      <c r="H48" s="72"/>
      <c r="R48" s="83">
        <f ca="1"/>
        <v>45417</v>
      </c>
      <c r="S48" s="55">
        <f t="shared" ca="1" si="11"/>
        <v>45417</v>
      </c>
      <c r="T48" s="55">
        <f t="shared" ca="1" si="0"/>
        <v>70.132492071829517</v>
      </c>
      <c r="U48" s="55">
        <f t="shared" ca="1" si="1"/>
        <v>3.4494922403842119</v>
      </c>
      <c r="V48" s="55">
        <f t="shared" ca="1" si="2"/>
        <v>0</v>
      </c>
      <c r="W48" s="55">
        <f t="shared" ca="1" si="12"/>
        <v>-14.228690623837954</v>
      </c>
      <c r="X48" s="55">
        <f t="shared" ca="1" si="13"/>
        <v>20.436804667907378</v>
      </c>
      <c r="Y48" s="55">
        <f t="shared" ca="1" si="14"/>
        <v>16.02582601323439</v>
      </c>
      <c r="Z48">
        <f t="shared" ca="1" si="3"/>
        <v>120</v>
      </c>
      <c r="AA48">
        <f t="shared" ca="1" si="15"/>
        <v>30.55847715642971</v>
      </c>
      <c r="AB48">
        <f t="shared" ca="1" si="4"/>
        <v>0</v>
      </c>
      <c r="AC48">
        <f t="shared" ca="1" si="5"/>
        <v>1.5250951134814245E-2</v>
      </c>
      <c r="AD48" s="83">
        <f ca="1"/>
        <v>45645</v>
      </c>
      <c r="AE48" s="55">
        <f t="shared" ca="1" si="20"/>
        <v>45645</v>
      </c>
      <c r="AF48" s="55">
        <f t="shared" ca="1" si="21"/>
        <v>17.859183652950392</v>
      </c>
      <c r="AG48" s="55">
        <f t="shared" ca="1" si="22"/>
        <v>3.1378799534927544</v>
      </c>
      <c r="AH48" s="55">
        <f t="shared" ca="1" si="23"/>
        <v>0</v>
      </c>
      <c r="AI48" s="55">
        <f t="shared" ca="1" si="17"/>
        <v>0</v>
      </c>
      <c r="AJ48" s="55">
        <f t="shared" ca="1" si="18"/>
        <v>17.479552374551723</v>
      </c>
      <c r="AK48" s="55">
        <f t="shared" ca="1" si="19"/>
        <v>-11.204422796827966</v>
      </c>
    </row>
    <row r="49" spans="2:37" s="55" customFormat="1">
      <c r="C49" s="61" t="s">
        <v>95</v>
      </c>
      <c r="D49" s="84" t="str">
        <f>IF(E49="","General",E49)</f>
        <v>General</v>
      </c>
      <c r="E49" s="66" t="s">
        <v>29</v>
      </c>
      <c r="F49" s="61" t="s">
        <v>134</v>
      </c>
      <c r="G49" s="84">
        <f>IF(H49="",VLOOKUP(PriorCropNameFull,CropCoefficients,26,FALSE),H49)</f>
        <v>0</v>
      </c>
      <c r="H49" s="72"/>
      <c r="R49" s="83">
        <f ca="1"/>
        <v>45418</v>
      </c>
      <c r="S49" s="55">
        <f t="shared" ca="1" si="11"/>
        <v>45418</v>
      </c>
      <c r="T49" s="55">
        <f t="shared" ca="1" si="0"/>
        <v>71.172794356267076</v>
      </c>
      <c r="U49" s="55">
        <f t="shared" ca="1" si="1"/>
        <v>3.5669569281702875</v>
      </c>
      <c r="V49" s="55">
        <f t="shared" ca="1" si="2"/>
        <v>0</v>
      </c>
      <c r="W49" s="55">
        <f t="shared" ca="1" si="12"/>
        <v>-14.228690623837954</v>
      </c>
      <c r="X49" s="55">
        <f t="shared" ca="1" si="13"/>
        <v>21.034424183803061</v>
      </c>
      <c r="Y49" s="55">
        <f t="shared" ca="1" si="14"/>
        <v>16.585973469562344</v>
      </c>
      <c r="Z49">
        <f t="shared" ca="1" si="3"/>
        <v>119.91111111111113</v>
      </c>
      <c r="AA49">
        <f t="shared" ca="1" si="15"/>
        <v>30.55847715642971</v>
      </c>
      <c r="AB49">
        <f t="shared" ca="1" si="4"/>
        <v>0</v>
      </c>
      <c r="AC49">
        <f t="shared" ca="1" si="5"/>
        <v>1.6165744130427723E-2</v>
      </c>
      <c r="AD49" s="83">
        <f ca="1"/>
        <v>45646</v>
      </c>
      <c r="AE49" s="55">
        <f t="shared" ca="1" si="20"/>
        <v>45646</v>
      </c>
      <c r="AF49" s="55">
        <f t="shared" ca="1" si="21"/>
        <v>18.311594353027242</v>
      </c>
      <c r="AG49" s="55">
        <f t="shared" ca="1" si="22"/>
        <v>3.2837576571207214</v>
      </c>
      <c r="AH49" s="55">
        <f t="shared" ca="1" si="23"/>
        <v>0</v>
      </c>
      <c r="AI49" s="55">
        <f t="shared" ca="1" si="17"/>
        <v>0</v>
      </c>
      <c r="AJ49" s="55">
        <f t="shared" ca="1" si="18"/>
        <v>18.129154131543807</v>
      </c>
      <c r="AK49" s="55">
        <f t="shared" ca="1" si="19"/>
        <v>-11.255736150115233</v>
      </c>
    </row>
    <row r="50" spans="2:37" s="55" customFormat="1">
      <c r="B50" s="90">
        <f>IF(PriorUnits="kg/head",PriorYield*PriorPopulation/1000,IF(PriorUnits="kg/ha",PriorYield/1000,PriorYield))</f>
        <v>7</v>
      </c>
      <c r="C50" s="64" t="s">
        <v>150</v>
      </c>
      <c r="D50" s="65" t="str">
        <f>SUBSTITUTE(PriorCropName&amp;" "&amp;PriorCropType&amp;" "&amp;PriorCropVariety,"_"," ")</f>
        <v>Mustard Green manure General</v>
      </c>
      <c r="F50" s="56"/>
      <c r="R50" s="83">
        <f ca="1"/>
        <v>45419</v>
      </c>
      <c r="S50" s="55">
        <f t="shared" ca="1" si="11"/>
        <v>45419</v>
      </c>
      <c r="T50" s="55">
        <f t="shared" ca="1" si="0"/>
        <v>71.415260320457989</v>
      </c>
      <c r="U50" s="55">
        <f t="shared" ca="1" si="1"/>
        <v>3.6847436838983509</v>
      </c>
      <c r="V50" s="55">
        <f t="shared" ca="1" si="2"/>
        <v>0</v>
      </c>
      <c r="W50" s="55">
        <f t="shared" ca="1" si="12"/>
        <v>-14.993246310492138</v>
      </c>
      <c r="X50" s="55">
        <f t="shared" ca="1" si="13"/>
        <v>21.618755047029484</v>
      </c>
      <c r="Y50" s="55">
        <f t="shared" ca="1" si="14"/>
        <v>17.126451012909079</v>
      </c>
      <c r="Z50">
        <f t="shared" ca="1" si="3"/>
        <v>120</v>
      </c>
      <c r="AA50">
        <f t="shared" ca="1" si="15"/>
        <v>32.079824086530223</v>
      </c>
      <c r="AB50">
        <f t="shared" ca="1" si="4"/>
        <v>0</v>
      </c>
      <c r="AC50">
        <f t="shared" ca="1" si="5"/>
        <v>1.7105061790093922E-2</v>
      </c>
      <c r="AD50" s="83">
        <f ca="1"/>
        <v>45647</v>
      </c>
      <c r="AE50" s="55">
        <f t="shared" ca="1" si="20"/>
        <v>45647</v>
      </c>
      <c r="AF50" s="55">
        <f t="shared" ca="1" si="21"/>
        <v>18.747276837527536</v>
      </c>
      <c r="AG50" s="55">
        <f t="shared" ca="1" si="22"/>
        <v>3.4377517699296685</v>
      </c>
      <c r="AH50" s="55">
        <f t="shared" ca="1" si="23"/>
        <v>0</v>
      </c>
      <c r="AI50" s="55">
        <f t="shared" ca="1" si="17"/>
        <v>0</v>
      </c>
      <c r="AJ50" s="55">
        <f t="shared" ca="1" si="18"/>
        <v>18.75991622194956</v>
      </c>
      <c r="AK50" s="55">
        <f t="shared" ca="1" si="19"/>
        <v>-11.296821643211743</v>
      </c>
    </row>
    <row r="51" spans="2:37" s="55" customFormat="1">
      <c r="C51" s="61" t="s">
        <v>4</v>
      </c>
      <c r="D51" s="68">
        <f>IF(E51="",CurrentEstablishDate-60,E51)</f>
        <v>45262</v>
      </c>
      <c r="E51" s="67">
        <v>45262</v>
      </c>
      <c r="F51" s="61" t="s">
        <v>145</v>
      </c>
      <c r="G51" s="84" t="str">
        <f>IF(H51="",VLOOKUP(PriorCropNameFull,CropCoefficients,13,FALSE),H51)</f>
        <v>Seed</v>
      </c>
      <c r="H51" s="72"/>
      <c r="R51" s="83">
        <f ca="1"/>
        <v>45420</v>
      </c>
      <c r="S51" s="55">
        <f t="shared" ca="1" si="11"/>
        <v>45420</v>
      </c>
      <c r="T51" s="55">
        <f t="shared" ca="1" si="0"/>
        <v>72.074155294816833</v>
      </c>
      <c r="U51" s="55">
        <f t="shared" ca="1" si="1"/>
        <v>3.8003254920921443</v>
      </c>
      <c r="V51" s="55">
        <f t="shared" ca="1" si="2"/>
        <v>0</v>
      </c>
      <c r="W51" s="55">
        <f t="shared" ca="1" si="12"/>
        <v>-15.297559410625807</v>
      </c>
      <c r="X51" s="55">
        <f t="shared" ca="1" si="13"/>
        <v>22.182005821452385</v>
      </c>
      <c r="Y51" s="55">
        <f t="shared" ca="1" si="14"/>
        <v>17.641990121172483</v>
      </c>
      <c r="Z51">
        <f t="shared" ca="1" si="3"/>
        <v>120</v>
      </c>
      <c r="AA51">
        <f t="shared" ca="1" si="15"/>
        <v>32.679824086530218</v>
      </c>
      <c r="AB51">
        <f t="shared" ca="1" si="4"/>
        <v>0</v>
      </c>
      <c r="AC51">
        <f t="shared" ca="1" si="5"/>
        <v>1.8047955775277021E-2</v>
      </c>
      <c r="AD51" s="83">
        <f ca="1"/>
        <v>45648</v>
      </c>
      <c r="AE51" s="55">
        <f t="shared" ca="1" si="20"/>
        <v>45648</v>
      </c>
      <c r="AF51" s="55">
        <f t="shared" ca="1" si="21"/>
        <v>19.15684098995871</v>
      </c>
      <c r="AG51" s="55">
        <f t="shared" ca="1" si="22"/>
        <v>3.5952657906369696</v>
      </c>
      <c r="AH51" s="55">
        <f t="shared" ca="1" si="23"/>
        <v>0</v>
      </c>
      <c r="AI51" s="55">
        <f t="shared" ca="1" si="17"/>
        <v>0</v>
      </c>
      <c r="AJ51" s="55">
        <f t="shared" ca="1" si="18"/>
        <v>19.357254172209426</v>
      </c>
      <c r="AK51" s="55">
        <f t="shared" ca="1" si="19"/>
        <v>-11.327081420333137</v>
      </c>
    </row>
    <row r="52" spans="2:37" s="55" customFormat="1">
      <c r="C52" s="61" t="s">
        <v>5</v>
      </c>
      <c r="D52" s="68">
        <f>IF(E52="",CurrentEstablishDate-15,E52)</f>
        <v>45387</v>
      </c>
      <c r="E52" s="67">
        <v>45387</v>
      </c>
      <c r="F52" s="61" t="s">
        <v>146</v>
      </c>
      <c r="G52" s="84" t="str">
        <f>IF(H52="",VLOOKUP(PriorCropNameFull,CropCoefficients,15,FALSE),H52)</f>
        <v>EarlyReproductive</v>
      </c>
      <c r="H52" s="72"/>
      <c r="R52" s="83">
        <f ca="1"/>
        <v>45421</v>
      </c>
      <c r="S52" s="55">
        <f t="shared" ca="1" si="11"/>
        <v>45421</v>
      </c>
      <c r="T52" s="55">
        <f t="shared" ca="1" si="0"/>
        <v>72.270509646727277</v>
      </c>
      <c r="U52" s="55">
        <f t="shared" ca="1" si="1"/>
        <v>3.921413233888726</v>
      </c>
      <c r="V52" s="55">
        <f t="shared" ca="1" si="2"/>
        <v>0</v>
      </c>
      <c r="W52" s="55">
        <f t="shared" ca="1" si="12"/>
        <v>-16.060414790230151</v>
      </c>
      <c r="X52" s="55">
        <f t="shared" ca="1" si="13"/>
        <v>22.751730494123585</v>
      </c>
      <c r="Y52" s="55">
        <f t="shared" ca="1" si="14"/>
        <v>18.15256292181266</v>
      </c>
      <c r="Z52">
        <f t="shared" ca="1" si="3"/>
        <v>120</v>
      </c>
      <c r="AA52">
        <f t="shared" ca="1" si="15"/>
        <v>34.179824086530218</v>
      </c>
      <c r="AB52">
        <f t="shared" ca="1" si="4"/>
        <v>0</v>
      </c>
      <c r="AC52">
        <f t="shared" ca="1" si="5"/>
        <v>1.9057961966144621E-2</v>
      </c>
      <c r="AD52" s="83">
        <f ca="1"/>
        <v>45649</v>
      </c>
      <c r="AE52" s="55">
        <f t="shared" ca="1" si="20"/>
        <v>45649</v>
      </c>
      <c r="AF52" s="55">
        <f t="shared" ca="1" si="21"/>
        <v>19.575617668678344</v>
      </c>
      <c r="AG52" s="55">
        <f t="shared" ca="1" si="22"/>
        <v>3.7612502083002428</v>
      </c>
      <c r="AH52" s="55">
        <f t="shared" ca="1" si="23"/>
        <v>0</v>
      </c>
      <c r="AI52" s="55">
        <f t="shared" ca="1" si="17"/>
        <v>0</v>
      </c>
      <c r="AJ52" s="55">
        <f t="shared" ca="1" si="18"/>
        <v>19.963444701093174</v>
      </c>
      <c r="AK52" s="55">
        <f t="shared" ca="1" si="19"/>
        <v>-11.348510852833975</v>
      </c>
    </row>
    <row r="53" spans="2:37" s="55" customFormat="1">
      <c r="C53" s="61" t="s">
        <v>136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45422</v>
      </c>
      <c r="S53" s="55">
        <f t="shared" ca="1" si="11"/>
        <v>45422</v>
      </c>
      <c r="T53" s="55">
        <f t="shared" ca="1" si="0"/>
        <v>72.928376358371153</v>
      </c>
      <c r="U53" s="55">
        <f t="shared" ca="1" si="1"/>
        <v>4.0507462447642792</v>
      </c>
      <c r="V53" s="55">
        <f t="shared" ca="1" si="2"/>
        <v>0</v>
      </c>
      <c r="W53" s="55">
        <f t="shared" ca="1" si="12"/>
        <v>-16.368334601521052</v>
      </c>
      <c r="X53" s="55">
        <f t="shared" ca="1" si="13"/>
        <v>23.336061357350008</v>
      </c>
      <c r="Y53" s="55">
        <f t="shared" ca="1" si="14"/>
        <v>18.663351592396562</v>
      </c>
      <c r="Z53">
        <f t="shared" ca="1" si="3"/>
        <v>120</v>
      </c>
      <c r="AA53">
        <f t="shared" ca="1" si="15"/>
        <v>34.779824086530219</v>
      </c>
      <c r="AB53">
        <f t="shared" ca="1" si="4"/>
        <v>0</v>
      </c>
      <c r="AC53">
        <f t="shared" ca="1" si="5"/>
        <v>2.0161499674722489E-2</v>
      </c>
      <c r="AD53" s="83">
        <f ca="1"/>
        <v>45650</v>
      </c>
      <c r="AE53" s="55">
        <f t="shared" ca="1" si="20"/>
        <v>45650</v>
      </c>
      <c r="AF53" s="55">
        <f t="shared" ca="1" si="21"/>
        <v>20.027564561069735</v>
      </c>
      <c r="AG53" s="55">
        <f t="shared" ca="1" si="22"/>
        <v>3.9373329005919699</v>
      </c>
      <c r="AH53" s="55">
        <f t="shared" ca="1" si="23"/>
        <v>0</v>
      </c>
      <c r="AI53" s="55">
        <f t="shared" ca="1" si="17"/>
        <v>0</v>
      </c>
      <c r="AJ53" s="55">
        <f t="shared" ca="1" si="18"/>
        <v>20.60449579181644</v>
      </c>
      <c r="AK53" s="55">
        <f t="shared" ca="1" si="19"/>
        <v>-11.361532358874118</v>
      </c>
    </row>
    <row r="54" spans="2:37" s="54" customFormat="1">
      <c r="B54" s="55"/>
      <c r="C54" s="61" t="s">
        <v>100</v>
      </c>
      <c r="D54" s="70">
        <f>IF(E54="",VLOOKUP(PriorCropNameFull,CropCoefficients,17,FALSE),E54)</f>
        <v>7</v>
      </c>
      <c r="E54" s="69">
        <v>7</v>
      </c>
      <c r="F54" s="61" t="s">
        <v>148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45423</v>
      </c>
      <c r="S54" s="55">
        <f t="shared" ca="1" si="11"/>
        <v>45423</v>
      </c>
      <c r="T54" s="55">
        <f t="shared" ca="1" si="0"/>
        <v>72.886431055749057</v>
      </c>
      <c r="U54" s="55">
        <f t="shared" ca="1" si="1"/>
        <v>4.1893486471540928</v>
      </c>
      <c r="V54" s="55">
        <f t="shared" ca="1" si="2"/>
        <v>0</v>
      </c>
      <c r="W54" s="55">
        <f t="shared" ca="1" si="12"/>
        <v>-17.383885540897825</v>
      </c>
      <c r="X54" s="55">
        <f t="shared" ca="1" si="13"/>
        <v>23.936773506593767</v>
      </c>
      <c r="Y54" s="55">
        <f t="shared" ca="1" si="14"/>
        <v>19.17484748229727</v>
      </c>
      <c r="Z54">
        <f t="shared" ca="1" si="3"/>
        <v>120</v>
      </c>
      <c r="AA54">
        <f t="shared" ca="1" si="15"/>
        <v>36.759824086530223</v>
      </c>
      <c r="AB54">
        <f t="shared" ca="1" si="4"/>
        <v>0</v>
      </c>
      <c r="AC54">
        <f t="shared" ca="1" si="5"/>
        <v>2.1372122536390498E-2</v>
      </c>
      <c r="AD54" s="83">
        <f ca="1"/>
        <v>45651</v>
      </c>
      <c r="AE54" s="55">
        <f t="shared" ca="1" si="20"/>
        <v>45651</v>
      </c>
      <c r="AF54" s="55">
        <f t="shared" ca="1" si="21"/>
        <v>20.433212704451076</v>
      </c>
      <c r="AG54" s="55">
        <f t="shared" ca="1" si="22"/>
        <v>4.1183784906929768</v>
      </c>
      <c r="AH54" s="55">
        <f t="shared" ca="1" si="23"/>
        <v>0</v>
      </c>
      <c r="AI54" s="55">
        <f t="shared" ca="1" si="17"/>
        <v>0</v>
      </c>
      <c r="AJ54" s="55">
        <f t="shared" ca="1" si="18"/>
        <v>21.195939305590439</v>
      </c>
      <c r="AK54" s="55">
        <f t="shared" ca="1" si="19"/>
        <v>-11.366282139165769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158</v>
      </c>
      <c r="G55" s="85" t="str">
        <f>IF(H55="","Full (Plough)",H55)</f>
        <v>Full (Plough)</v>
      </c>
      <c r="H55" s="72"/>
      <c r="R55" s="83">
        <f ca="1"/>
        <v>45424</v>
      </c>
      <c r="S55" s="55">
        <f t="shared" ca="1" si="11"/>
        <v>45424</v>
      </c>
      <c r="T55" s="55">
        <f t="shared" ca="1" si="0"/>
        <v>73.001478013410349</v>
      </c>
      <c r="U55" s="55">
        <f t="shared" ca="1" si="1"/>
        <v>4.3313156114683427</v>
      </c>
      <c r="V55" s="55">
        <f t="shared" ca="1" si="2"/>
        <v>0</v>
      </c>
      <c r="W55" s="55">
        <f t="shared" ca="1" si="12"/>
        <v>-18.221239531296092</v>
      </c>
      <c r="X55" s="55">
        <f t="shared" ca="1" si="13"/>
        <v>24.533364314666681</v>
      </c>
      <c r="Y55" s="55">
        <f t="shared" ca="1" si="14"/>
        <v>19.672624586598165</v>
      </c>
      <c r="Z55">
        <f t="shared" ca="1" si="3"/>
        <v>120</v>
      </c>
      <c r="AA55">
        <f t="shared" ca="1" si="15"/>
        <v>38.389824086530226</v>
      </c>
      <c r="AB55">
        <f t="shared" ca="1" si="4"/>
        <v>0</v>
      </c>
      <c r="AC55">
        <f t="shared" ca="1" si="5"/>
        <v>2.2641721650499689E-2</v>
      </c>
      <c r="AD55" s="83">
        <f ca="1"/>
        <v>45652</v>
      </c>
      <c r="AE55" s="55">
        <f t="shared" ca="1" si="20"/>
        <v>45652</v>
      </c>
      <c r="AF55" s="55">
        <f t="shared" ca="1" si="21"/>
        <v>20.821377056991459</v>
      </c>
      <c r="AG55" s="55">
        <f t="shared" ca="1" si="22"/>
        <v>4.3083705476482583</v>
      </c>
      <c r="AH55" s="55">
        <f t="shared" ca="1" si="23"/>
        <v>0</v>
      </c>
      <c r="AI55" s="55">
        <f t="shared" ca="1" si="17"/>
        <v>0</v>
      </c>
      <c r="AJ55" s="55">
        <f t="shared" ca="1" si="18"/>
        <v>21.771428626902814</v>
      </c>
      <c r="AK55" s="55">
        <f t="shared" ca="1" si="19"/>
        <v>-11.363615050982482</v>
      </c>
    </row>
    <row r="56" spans="2:37" s="55" customFormat="1">
      <c r="C56" s="64" t="str">
        <f>"Yield "&amp;ROUND(PriorYield_tperHa,0)&amp;" (t/ha)"</f>
        <v>Yield 7 (t/ha)</v>
      </c>
      <c r="D56" s="90" t="str">
        <f ca="1">"Previous crop residues are providing "&amp;ROUND('Model Interface'!M9,0)&amp;" kg N/ha to the current crop"</f>
        <v>Previous crop residues are providing 36 kg N/ha to the current crop</v>
      </c>
      <c r="R56" s="83">
        <f ca="1"/>
        <v>45425</v>
      </c>
      <c r="S56" s="55">
        <f t="shared" ca="1" si="11"/>
        <v>45425</v>
      </c>
      <c r="T56" s="55">
        <f t="shared" ca="1" si="0"/>
        <v>73.292006008876882</v>
      </c>
      <c r="U56" s="55">
        <f t="shared" ca="1" si="1"/>
        <v>4.4724452245557256</v>
      </c>
      <c r="V56" s="55">
        <f t="shared" ca="1" si="2"/>
        <v>0</v>
      </c>
      <c r="W56" s="55">
        <f t="shared" ca="1" si="12"/>
        <v>-18.845307389867973</v>
      </c>
      <c r="X56" s="55">
        <f t="shared" ca="1" si="13"/>
        <v>25.11313789845217</v>
      </c>
      <c r="Y56" s="55">
        <f t="shared" ca="1" si="14"/>
        <v>20.148576469938458</v>
      </c>
      <c r="Z56">
        <f t="shared" ca="1" si="3"/>
        <v>120</v>
      </c>
      <c r="AA56">
        <f t="shared" ca="1" si="15"/>
        <v>39.599824086530226</v>
      </c>
      <c r="AB56">
        <f t="shared" ca="1" si="4"/>
        <v>0</v>
      </c>
      <c r="AC56">
        <f t="shared" ca="1" si="5"/>
        <v>2.3933067516537634E-2</v>
      </c>
      <c r="AD56" s="83">
        <f ca="1"/>
        <v>45653</v>
      </c>
      <c r="AE56" s="55">
        <f t="shared" ca="1" si="20"/>
        <v>45653</v>
      </c>
      <c r="AF56" s="55">
        <f t="shared" ca="1" si="21"/>
        <v>21.200622958451749</v>
      </c>
      <c r="AG56" s="55">
        <f t="shared" ca="1" si="22"/>
        <v>4.516362555880665</v>
      </c>
      <c r="AH56" s="55">
        <f t="shared" ca="1" si="23"/>
        <v>0</v>
      </c>
      <c r="AI56" s="55">
        <f t="shared" ca="1" si="17"/>
        <v>0</v>
      </c>
      <c r="AJ56" s="55">
        <f t="shared" ca="1" si="18"/>
        <v>22.348313063871363</v>
      </c>
      <c r="AK56" s="55">
        <f t="shared" ca="1" si="19"/>
        <v>-11.353261578258333</v>
      </c>
    </row>
    <row r="57" spans="2:37" s="55" customFormat="1" ht="15" thickBot="1">
      <c r="C57" s="129" t="s">
        <v>154</v>
      </c>
      <c r="D57" s="129"/>
      <c r="E57" s="129"/>
      <c r="F57" s="129"/>
      <c r="G57" s="129"/>
      <c r="H57" s="129"/>
      <c r="R57" s="83">
        <f ca="1"/>
        <v>45426</v>
      </c>
      <c r="S57" s="55">
        <f t="shared" ca="1" si="11"/>
        <v>45426</v>
      </c>
      <c r="T57" s="55">
        <f t="shared" ca="1" si="0"/>
        <v>72.989641519195899</v>
      </c>
      <c r="U57" s="55">
        <f t="shared" ca="1" si="1"/>
        <v>4.6167081137226011</v>
      </c>
      <c r="V57" s="55">
        <f t="shared" ca="1" si="2"/>
        <v>0</v>
      </c>
      <c r="W57" s="55">
        <f t="shared" ca="1" si="12"/>
        <v>-20.04206717877716</v>
      </c>
      <c r="X57" s="55">
        <f t="shared" ca="1" si="13"/>
        <v>25.688878952072077</v>
      </c>
      <c r="Y57" s="55">
        <f t="shared" ca="1" si="14"/>
        <v>20.611493604713633</v>
      </c>
      <c r="Z57">
        <f t="shared" ca="1" si="3"/>
        <v>120</v>
      </c>
      <c r="AA57">
        <f t="shared" ca="1" si="15"/>
        <v>41.929824086530225</v>
      </c>
      <c r="AB57">
        <f t="shared" ca="1" si="4"/>
        <v>0</v>
      </c>
      <c r="AC57">
        <f t="shared" ca="1" si="5"/>
        <v>2.5282753057522318E-2</v>
      </c>
      <c r="AD57" s="83">
        <f ca="1"/>
        <v>45654</v>
      </c>
      <c r="AE57" s="55">
        <f t="shared" ca="1" si="20"/>
        <v>45654</v>
      </c>
      <c r="AF57" s="55">
        <f t="shared" ca="1" si="21"/>
        <v>21.587895245677547</v>
      </c>
      <c r="AG57" s="55">
        <f t="shared" ca="1" si="22"/>
        <v>4.7382493396508467</v>
      </c>
      <c r="AH57" s="55">
        <f t="shared" ca="1" si="23"/>
        <v>0</v>
      </c>
      <c r="AI57" s="55">
        <f t="shared" ca="1" si="17"/>
        <v>0</v>
      </c>
      <c r="AJ57" s="55">
        <f t="shared" ca="1" si="18"/>
        <v>22.939456779195321</v>
      </c>
      <c r="AK57" s="55">
        <f t="shared" ca="1" si="19"/>
        <v>-11.335246222586314</v>
      </c>
    </row>
    <row r="58" spans="2:37" s="55" customFormat="1">
      <c r="C58" s="61" t="s">
        <v>26</v>
      </c>
      <c r="D58" s="88" t="str">
        <f>IF(E58="","Fodder",E58)</f>
        <v>Fodder</v>
      </c>
      <c r="E58" s="87"/>
      <c r="F58" s="61" t="s">
        <v>133</v>
      </c>
      <c r="G58" s="88">
        <f>IF(H58="",VLOOKUP(FollowingCropFullName,CropCoefficients,23,FALSE),H58)</f>
        <v>0</v>
      </c>
      <c r="H58" s="89"/>
      <c r="R58" s="83">
        <f ca="1"/>
        <v>45427</v>
      </c>
      <c r="S58" s="55">
        <f t="shared" ca="1" si="11"/>
        <v>45427</v>
      </c>
      <c r="T58" s="55">
        <f t="shared" ca="1" si="0"/>
        <v>72.673020223290195</v>
      </c>
      <c r="U58" s="55">
        <f t="shared" ca="1" si="1"/>
        <v>4.7657297550632975</v>
      </c>
      <c r="V58" s="55">
        <f t="shared" ca="1" si="2"/>
        <v>0</v>
      </c>
      <c r="W58" s="55">
        <f t="shared" ca="1" si="12"/>
        <v>-21.238749578454005</v>
      </c>
      <c r="X58" s="55">
        <f t="shared" ca="1" si="13"/>
        <v>26.26512312615522</v>
      </c>
      <c r="Y58" s="55">
        <f t="shared" ca="1" si="14"/>
        <v>21.064332175742319</v>
      </c>
      <c r="Z58">
        <f t="shared" ca="1" si="3"/>
        <v>120</v>
      </c>
      <c r="AA58">
        <f t="shared" ca="1" si="15"/>
        <v>44.269824086530228</v>
      </c>
      <c r="AB58">
        <f t="shared" ca="1" si="4"/>
        <v>0</v>
      </c>
      <c r="AC58">
        <f t="shared" ca="1" si="5"/>
        <v>2.6707970716833708E-2</v>
      </c>
      <c r="AD58" s="83">
        <f ca="1"/>
        <v>45655</v>
      </c>
      <c r="AE58" s="55">
        <f t="shared" ca="1" si="20"/>
        <v>45655</v>
      </c>
      <c r="AF58" s="55">
        <f t="shared" ca="1" si="21"/>
        <v>21.988900272989664</v>
      </c>
      <c r="AG58" s="55">
        <f t="shared" ca="1" si="22"/>
        <v>4.9678098520543355</v>
      </c>
      <c r="AH58" s="55">
        <f t="shared" ca="1" si="23"/>
        <v>0</v>
      </c>
      <c r="AI58" s="55">
        <f t="shared" ca="1" si="17"/>
        <v>0</v>
      </c>
      <c r="AJ58" s="55">
        <f t="shared" ca="1" si="18"/>
        <v>23.545523339438468</v>
      </c>
      <c r="AK58" s="55">
        <f t="shared" ca="1" si="19"/>
        <v>-11.310747243113855</v>
      </c>
    </row>
    <row r="59" spans="2:37" s="55" customFormat="1">
      <c r="C59" s="61" t="s">
        <v>94</v>
      </c>
      <c r="D59" s="84" t="str">
        <f>IF(E59="","Oat",E59)</f>
        <v>Oat</v>
      </c>
      <c r="E59" s="66"/>
      <c r="F59" s="61" t="s">
        <v>135</v>
      </c>
      <c r="G59" s="84">
        <f>IF(H59="",VLOOKUP(FollowingCropFullName,CropCoefficients,22,FALSE),H59)</f>
        <v>0</v>
      </c>
      <c r="H59" s="72"/>
      <c r="R59" s="83">
        <f ca="1"/>
        <v>45428</v>
      </c>
      <c r="S59" s="55">
        <f t="shared" ca="1" si="11"/>
        <v>45428</v>
      </c>
      <c r="T59" s="55">
        <f t="shared" ca="1" si="0"/>
        <v>72.402782431886877</v>
      </c>
      <c r="U59" s="55">
        <f t="shared" ca="1" si="1"/>
        <v>4.9120689489622595</v>
      </c>
      <c r="V59" s="55">
        <f t="shared" ca="1" si="2"/>
        <v>0</v>
      </c>
      <c r="W59" s="55">
        <f t="shared" ca="1" si="12"/>
        <v>-22.349461892649838</v>
      </c>
      <c r="X59" s="55">
        <f t="shared" ca="1" si="13"/>
        <v>26.821452943033055</v>
      </c>
      <c r="Y59" s="55">
        <f t="shared" ca="1" si="14"/>
        <v>21.494816075555967</v>
      </c>
      <c r="Z59">
        <f t="shared" ca="1" si="3"/>
        <v>120</v>
      </c>
      <c r="AA59">
        <f t="shared" ca="1" si="15"/>
        <v>46.449824086530228</v>
      </c>
      <c r="AB59">
        <f t="shared" ca="1" si="4"/>
        <v>0</v>
      </c>
      <c r="AC59">
        <f t="shared" ca="1" si="5"/>
        <v>2.8137722031985817E-2</v>
      </c>
      <c r="AD59" s="83">
        <f ca="1"/>
        <v>45656</v>
      </c>
      <c r="AE59" s="55">
        <f t="shared" ca="1" si="20"/>
        <v>45656</v>
      </c>
      <c r="AF59" s="55">
        <f t="shared" ca="1" si="21"/>
        <v>22.465194391406058</v>
      </c>
      <c r="AG59" s="55">
        <f t="shared" ca="1" si="22"/>
        <v>5.203484044500498</v>
      </c>
      <c r="AH59" s="55">
        <f t="shared" ca="1" si="23"/>
        <v>0</v>
      </c>
      <c r="AI59" s="55">
        <f t="shared" ca="1" si="17"/>
        <v>0</v>
      </c>
      <c r="AJ59" s="55">
        <f t="shared" ca="1" si="18"/>
        <v>24.227607283294041</v>
      </c>
      <c r="AK59" s="55">
        <f t="shared" ca="1" si="19"/>
        <v>-11.28086287610687</v>
      </c>
    </row>
    <row r="60" spans="2:37" s="55" customFormat="1">
      <c r="C60" s="61" t="s">
        <v>95</v>
      </c>
      <c r="D60" s="84" t="str">
        <f>IF(E60="","General",E60)</f>
        <v>General</v>
      </c>
      <c r="E60" s="66"/>
      <c r="F60" s="61" t="s">
        <v>134</v>
      </c>
      <c r="G60" s="84">
        <f>IF(H60="",VLOOKUP(FollowingCropFullName,CropCoefficients,26,FALSE),H60)</f>
        <v>0</v>
      </c>
      <c r="H60" s="72"/>
      <c r="R60" s="83">
        <f ca="1"/>
        <v>45429</v>
      </c>
      <c r="S60" s="55">
        <f t="shared" ca="1" si="11"/>
        <v>45429</v>
      </c>
      <c r="T60" s="55">
        <f t="shared" ca="1" si="0"/>
        <v>72.184571026670056</v>
      </c>
      <c r="U60" s="55">
        <f t="shared" ca="1" si="1"/>
        <v>5.0601551077699609</v>
      </c>
      <c r="V60" s="55">
        <f t="shared" ca="1" si="2"/>
        <v>0</v>
      </c>
      <c r="W60" s="55">
        <f t="shared" ca="1" si="12"/>
        <v>-23.385711512277148</v>
      </c>
      <c r="X60" s="55">
        <f t="shared" ca="1" si="13"/>
        <v>27.370914548508448</v>
      </c>
      <c r="Y60" s="55">
        <f t="shared" ca="1" si="14"/>
        <v>21.911478843298756</v>
      </c>
      <c r="Z60">
        <f t="shared" ca="1" si="3"/>
        <v>120</v>
      </c>
      <c r="AA60">
        <f t="shared" ca="1" si="15"/>
        <v>48.489824086530227</v>
      </c>
      <c r="AB60">
        <f t="shared" ca="1" si="4"/>
        <v>0</v>
      </c>
      <c r="AC60">
        <f t="shared" ca="1" si="5"/>
        <v>2.9614511044700691E-2</v>
      </c>
      <c r="AD60" s="83">
        <f ca="1"/>
        <v>45657</v>
      </c>
      <c r="AE60" s="55">
        <f t="shared" ca="1" si="20"/>
        <v>45657</v>
      </c>
      <c r="AF60" s="55">
        <f t="shared" ca="1" si="21"/>
        <v>22.913007801165552</v>
      </c>
      <c r="AG60" s="55">
        <f t="shared" ca="1" si="22"/>
        <v>5.4483564781647891</v>
      </c>
      <c r="AH60" s="55">
        <f t="shared" ca="1" si="23"/>
        <v>0</v>
      </c>
      <c r="AI60" s="55">
        <f t="shared" ca="1" si="17"/>
        <v>0</v>
      </c>
      <c r="AJ60" s="55">
        <f t="shared" ca="1" si="18"/>
        <v>24.88528319593868</v>
      </c>
      <c r="AK60" s="55">
        <f t="shared" ca="1" si="19"/>
        <v>-11.245852945327723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150</v>
      </c>
      <c r="D61" s="65" t="str">
        <f>SUBSTITUTE(FollowingCropName&amp;" "&amp;FollowingCropType&amp;" "&amp;FollowingCropVariety,"_"," ")</f>
        <v>Oat Fodder General</v>
      </c>
      <c r="F61" s="56"/>
      <c r="R61" s="83">
        <f ca="1"/>
        <v>45430</v>
      </c>
      <c r="S61" s="55">
        <f t="shared" ca="1" si="11"/>
        <v>45430</v>
      </c>
      <c r="T61" s="55">
        <f t="shared" ca="1" si="0"/>
        <v>73.016591462233919</v>
      </c>
      <c r="U61" s="55">
        <f t="shared" ca="1" si="1"/>
        <v>5.2220596999167599</v>
      </c>
      <c r="V61" s="55">
        <f t="shared" ca="1" si="2"/>
        <v>0</v>
      </c>
      <c r="W61" s="55">
        <f t="shared" ca="1" si="12"/>
        <v>-23.385711512277148</v>
      </c>
      <c r="X61" s="55">
        <f t="shared" ca="1" si="13"/>
        <v>27.944144051605246</v>
      </c>
      <c r="Y61" s="55">
        <f t="shared" ca="1" si="14"/>
        <v>22.332174367912621</v>
      </c>
      <c r="Z61">
        <f t="shared" ca="1" si="3"/>
        <v>119.17777777777778</v>
      </c>
      <c r="AA61">
        <f t="shared" ca="1" si="15"/>
        <v>48.489824086530227</v>
      </c>
      <c r="AB61">
        <f t="shared" ca="1" si="4"/>
        <v>0</v>
      </c>
      <c r="AC61">
        <f t="shared" ca="1" si="5"/>
        <v>3.1263038513740578E-2</v>
      </c>
      <c r="AD61" s="83">
        <f ca="1"/>
        <v>45658</v>
      </c>
      <c r="AE61" s="55">
        <f t="shared" ca="1" si="20"/>
        <v>45658</v>
      </c>
      <c r="AF61" s="55">
        <f t="shared" ca="1" si="21"/>
        <v>23.338115285723831</v>
      </c>
      <c r="AG61" s="55">
        <f t="shared" ca="1" si="22"/>
        <v>5.7037063498280505</v>
      </c>
      <c r="AH61" s="55">
        <f t="shared" ca="1" si="23"/>
        <v>0</v>
      </c>
      <c r="AI61" s="55">
        <f t="shared" ca="1" si="17"/>
        <v>0</v>
      </c>
      <c r="AJ61" s="55">
        <f t="shared" ca="1" si="18"/>
        <v>25.525946996387756</v>
      </c>
      <c r="AK61" s="55">
        <f t="shared" ca="1" si="19"/>
        <v>-11.206059389555261</v>
      </c>
    </row>
    <row r="62" spans="2:37" s="55" customFormat="1">
      <c r="C62" s="61" t="s">
        <v>4</v>
      </c>
      <c r="D62" s="68">
        <f>IF(E62="",CurrentHarvestDate+15,E62)</f>
        <v>45629</v>
      </c>
      <c r="E62" s="67"/>
      <c r="F62" s="61" t="s">
        <v>145</v>
      </c>
      <c r="G62" s="84" t="str">
        <f>IF(H62="",VLOOKUP(FollowingCropFullName,CropCoefficients,13,FALSE),H62)</f>
        <v>Seed</v>
      </c>
      <c r="H62" s="72"/>
      <c r="R62" s="83">
        <f ca="1"/>
        <v>45431</v>
      </c>
      <c r="S62" s="55">
        <f t="shared" ca="1" si="11"/>
        <v>45431</v>
      </c>
      <c r="T62" s="55">
        <f t="shared" ca="1" si="0"/>
        <v>72.105442734195066</v>
      </c>
      <c r="U62" s="55">
        <f t="shared" ca="1" si="1"/>
        <v>5.3880366380138645</v>
      </c>
      <c r="V62" s="55">
        <f t="shared" ca="1" si="2"/>
        <v>0</v>
      </c>
      <c r="W62" s="55">
        <f t="shared" ca="1" si="12"/>
        <v>-25.110735421248606</v>
      </c>
      <c r="X62" s="55">
        <f t="shared" ca="1" si="13"/>
        <v>28.514868754795469</v>
      </c>
      <c r="Y62" s="55">
        <f t="shared" ca="1" si="14"/>
        <v>22.741301783752096</v>
      </c>
      <c r="Z62">
        <f t="shared" ca="1" si="3"/>
        <v>120</v>
      </c>
      <c r="AA62">
        <f t="shared" ca="1" si="15"/>
        <v>51.889497776097592</v>
      </c>
      <c r="AB62">
        <f t="shared" ca="1" si="4"/>
        <v>0</v>
      </c>
      <c r="AC62">
        <f t="shared" ca="1" si="5"/>
        <v>3.2989195412943664E-2</v>
      </c>
      <c r="AD62" s="83">
        <f ca="1"/>
        <v>45659</v>
      </c>
      <c r="AE62" s="55">
        <f t="shared" ca="1" si="20"/>
        <v>45659</v>
      </c>
      <c r="AF62" s="55">
        <f t="shared" ca="1" si="21"/>
        <v>23.732201102867435</v>
      </c>
      <c r="AG62" s="55">
        <f t="shared" ca="1" si="22"/>
        <v>5.97641892729688</v>
      </c>
      <c r="AH62" s="55">
        <f t="shared" ca="1" si="23"/>
        <v>0</v>
      </c>
      <c r="AI62" s="55">
        <f t="shared" ca="1" si="17"/>
        <v>0</v>
      </c>
      <c r="AJ62" s="55">
        <f t="shared" ca="1" si="18"/>
        <v>26.147239776912109</v>
      </c>
      <c r="AK62" s="55">
        <f t="shared" ca="1" si="19"/>
        <v>-11.160553775467179</v>
      </c>
    </row>
    <row r="63" spans="2:37" s="55" customFormat="1">
      <c r="C63" s="61" t="s">
        <v>5</v>
      </c>
      <c r="D63" s="68">
        <f>IF(E63="",FollowingEstablishDate+120,E63)</f>
        <v>45749</v>
      </c>
      <c r="E63" s="67"/>
      <c r="F63" s="61" t="s">
        <v>146</v>
      </c>
      <c r="G63" s="84" t="str">
        <f>IF(H63="",VLOOKUP(FollowingCropFullName,CropCoefficients,15,FALSE),H63)</f>
        <v>EarlyReproductive</v>
      </c>
      <c r="H63" s="72"/>
      <c r="R63" s="83">
        <f ca="1"/>
        <v>45432</v>
      </c>
      <c r="S63" s="55">
        <f t="shared" ca="1" si="11"/>
        <v>45432</v>
      </c>
      <c r="T63" s="55">
        <f t="shared" ca="1" si="0"/>
        <v>71.089725913355011</v>
      </c>
      <c r="U63" s="55">
        <f t="shared" ca="1" si="1"/>
        <v>5.5652586319202522</v>
      </c>
      <c r="V63" s="55">
        <f t="shared" ca="1" si="2"/>
        <v>0</v>
      </c>
      <c r="W63" s="55">
        <f t="shared" ca="1" si="12"/>
        <v>-26.94169080643924</v>
      </c>
      <c r="X63" s="55">
        <f t="shared" ca="1" si="13"/>
        <v>29.1002153225662</v>
      </c>
      <c r="Y63" s="55">
        <f t="shared" ca="1" si="14"/>
        <v>23.148415774238334</v>
      </c>
      <c r="Z63">
        <f t="shared" ca="1" si="3"/>
        <v>120</v>
      </c>
      <c r="AA63">
        <f t="shared" ca="1" si="15"/>
        <v>55.549497776097596</v>
      </c>
      <c r="AB63">
        <f t="shared" ca="1" si="4"/>
        <v>0</v>
      </c>
      <c r="AC63">
        <f t="shared" ca="1" si="5"/>
        <v>3.4871979122080198E-2</v>
      </c>
      <c r="AD63" s="83">
        <f ca="1"/>
        <v>45660</v>
      </c>
      <c r="AE63" s="55">
        <f t="shared" ca="1" si="20"/>
        <v>45660</v>
      </c>
      <c r="AF63" s="55">
        <f t="shared" ca="1" si="21"/>
        <v>24.078430213371675</v>
      </c>
      <c r="AG63" s="55">
        <f t="shared" ca="1" si="22"/>
        <v>6.2588732584040709</v>
      </c>
      <c r="AH63" s="55">
        <f t="shared" ca="1" si="23"/>
        <v>0</v>
      </c>
      <c r="AI63" s="55">
        <f t="shared" ca="1" si="17"/>
        <v>0</v>
      </c>
      <c r="AJ63" s="55">
        <f t="shared" ca="1" si="18"/>
        <v>26.72671644010979</v>
      </c>
      <c r="AK63" s="55">
        <f t="shared" ca="1" si="19"/>
        <v>-11.111346997053431</v>
      </c>
    </row>
    <row r="64" spans="2:37" s="54" customFormat="1">
      <c r="B64" s="55"/>
      <c r="C64" s="61" t="s">
        <v>136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45433</v>
      </c>
      <c r="S64" s="55">
        <f t="shared" ca="1" si="11"/>
        <v>45433</v>
      </c>
      <c r="T64" s="55">
        <f t="shared" ca="1" si="0"/>
        <v>70.214325654497983</v>
      </c>
      <c r="U64" s="55">
        <f t="shared" ca="1" si="1"/>
        <v>5.7367544038053966</v>
      </c>
      <c r="V64" s="55">
        <f t="shared" ca="1" si="2"/>
        <v>0</v>
      </c>
      <c r="W64" s="55">
        <f t="shared" ca="1" si="12"/>
        <v>-28.587046504276312</v>
      </c>
      <c r="X64" s="55">
        <f t="shared" ca="1" si="13"/>
        <v>29.659010851024171</v>
      </c>
      <c r="Y64" s="55">
        <f t="shared" ca="1" si="14"/>
        <v>23.531071456645549</v>
      </c>
      <c r="Z64">
        <f t="shared" ca="1" si="3"/>
        <v>120</v>
      </c>
      <c r="AA64">
        <f t="shared" ca="1" si="15"/>
        <v>58.879497776097601</v>
      </c>
      <c r="AB64">
        <f t="shared" ca="1" si="4"/>
        <v>0</v>
      </c>
      <c r="AC64">
        <f t="shared" ca="1" si="5"/>
        <v>3.6732208493494858E-2</v>
      </c>
      <c r="AD64" s="83">
        <f ca="1"/>
        <v>45661</v>
      </c>
      <c r="AE64" s="55">
        <f t="shared" ca="1" si="20"/>
        <v>45661</v>
      </c>
      <c r="AF64" s="55">
        <f t="shared" ca="1" si="21"/>
        <v>24.391923854362883</v>
      </c>
      <c r="AG64" s="55">
        <f t="shared" ca="1" si="22"/>
        <v>6.5583349517866365</v>
      </c>
      <c r="AH64" s="55">
        <f t="shared" ca="1" si="23"/>
        <v>0</v>
      </c>
      <c r="AI64" s="55">
        <f t="shared" ca="1" si="17"/>
        <v>0</v>
      </c>
      <c r="AJ64" s="55">
        <f t="shared" ca="1" si="18"/>
        <v>27.285666175950603</v>
      </c>
      <c r="AK64" s="55">
        <f t="shared" ca="1" si="19"/>
        <v>-11.057341398520471</v>
      </c>
    </row>
    <row r="65" spans="2:37" s="55" customFormat="1">
      <c r="C65" s="61" t="s">
        <v>100</v>
      </c>
      <c r="D65" s="70">
        <f>IF(E65="",VLOOKUP(FollowingCropFullName,CropCoefficients,17,FALSE),E65)</f>
        <v>10</v>
      </c>
      <c r="E65" s="69"/>
      <c r="F65" s="61" t="s">
        <v>148</v>
      </c>
      <c r="G65" s="85" t="str">
        <f>IF(H65="","None removed",H65)</f>
        <v>None removed</v>
      </c>
      <c r="H65" s="72"/>
      <c r="R65" s="83">
        <f ca="1"/>
        <v>45434</v>
      </c>
      <c r="S65" s="55">
        <f t="shared" ca="1" si="11"/>
        <v>45434</v>
      </c>
      <c r="T65" s="55">
        <f t="shared" ca="1" si="0"/>
        <v>67.917405629576777</v>
      </c>
      <c r="U65" s="55">
        <f t="shared" ca="1" si="1"/>
        <v>5.9080993106644009</v>
      </c>
      <c r="V65" s="55">
        <f t="shared" ca="1" si="2"/>
        <v>0</v>
      </c>
      <c r="W65" s="55">
        <f t="shared" ca="1" si="12"/>
        <v>-31.626727725120034</v>
      </c>
      <c r="X65" s="55">
        <f t="shared" ca="1" si="13"/>
        <v>30.206032292156099</v>
      </c>
      <c r="Y65" s="55">
        <f t="shared" ca="1" si="14"/>
        <v>23.89815611829513</v>
      </c>
      <c r="Z65">
        <f t="shared" ca="1" si="3"/>
        <v>120</v>
      </c>
      <c r="AA65">
        <f t="shared" ca="1" si="15"/>
        <v>65.239497776097593</v>
      </c>
      <c r="AB65">
        <f t="shared" ca="1" si="4"/>
        <v>0</v>
      </c>
      <c r="AC65">
        <f t="shared" ca="1" si="5"/>
        <v>3.8627682857562018E-2</v>
      </c>
      <c r="AD65" s="83">
        <f ca="1"/>
        <v>45662</v>
      </c>
      <c r="AE65" s="55">
        <f t="shared" ca="1" si="20"/>
        <v>45662</v>
      </c>
      <c r="AF65" s="55">
        <f t="shared" ca="1" si="21"/>
        <v>24.659473495403113</v>
      </c>
      <c r="AG65" s="55">
        <f t="shared" ca="1" si="22"/>
        <v>6.8643967043849301</v>
      </c>
      <c r="AH65" s="55">
        <f t="shared" ca="1" si="23"/>
        <v>0</v>
      </c>
      <c r="AI65" s="55">
        <f t="shared" ca="1" si="17"/>
        <v>0</v>
      </c>
      <c r="AJ65" s="55">
        <f t="shared" ca="1" si="18"/>
        <v>27.803281276167553</v>
      </c>
      <c r="AK65" s="55">
        <f t="shared" ca="1" si="19"/>
        <v>-11.001345105098899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158</v>
      </c>
      <c r="G66" s="85" t="str">
        <f>IF(H66="","Full (Plough)",H66)</f>
        <v>Full (Plough)</v>
      </c>
      <c r="H66" s="72"/>
      <c r="R66" s="83">
        <f ca="1"/>
        <v>45435</v>
      </c>
      <c r="S66" s="55">
        <f t="shared" ca="1" si="11"/>
        <v>45435</v>
      </c>
      <c r="T66" s="55">
        <f t="shared" ca="1" si="0"/>
        <v>66.841072638444899</v>
      </c>
      <c r="U66" s="55">
        <f t="shared" ca="1" si="1"/>
        <v>6.0828578445542565</v>
      </c>
      <c r="V66" s="55">
        <f t="shared" ca="1" si="2"/>
        <v>0</v>
      </c>
      <c r="W66" s="55">
        <f t="shared" ca="1" si="12"/>
        <v>-33.428218412490267</v>
      </c>
      <c r="X66" s="55">
        <f t="shared" ca="1" si="13"/>
        <v>30.749648782743055</v>
      </c>
      <c r="Y66" s="55">
        <f t="shared" ca="1" si="14"/>
        <v>24.254455857836387</v>
      </c>
      <c r="Z66">
        <f t="shared" ca="1" si="3"/>
        <v>120</v>
      </c>
      <c r="AA66">
        <f t="shared" ca="1" si="15"/>
        <v>69.069497776097592</v>
      </c>
      <c r="AB66">
        <f t="shared" ca="1" si="4"/>
        <v>0</v>
      </c>
      <c r="AC66">
        <f t="shared" ca="1" si="5"/>
        <v>4.0598162835183034E-2</v>
      </c>
      <c r="AD66" s="83">
        <f ca="1"/>
        <v>45663</v>
      </c>
      <c r="AE66" s="55">
        <f t="shared" ca="1" si="20"/>
        <v>45663</v>
      </c>
      <c r="AF66" s="55">
        <f t="shared" ca="1" si="21"/>
        <v>24.899860308965469</v>
      </c>
      <c r="AG66" s="55">
        <f t="shared" ca="1" si="22"/>
        <v>7.1857421717832999</v>
      </c>
      <c r="AH66" s="55">
        <f t="shared" ca="1" si="23"/>
        <v>0</v>
      </c>
      <c r="AI66" s="55">
        <f t="shared" ca="1" si="17"/>
        <v>0</v>
      </c>
      <c r="AJ66" s="55">
        <f t="shared" ca="1" si="18"/>
        <v>28.305535949260829</v>
      </c>
      <c r="AK66" s="55">
        <f t="shared" ca="1" si="19"/>
        <v>-10.941867497231449</v>
      </c>
    </row>
    <row r="67" spans="2:37">
      <c r="B67" s="55"/>
      <c r="C67" s="64" t="str">
        <f>"Yield "&amp;ROUND(FollowingYield_tperHa,0)&amp;" (t/ha)"</f>
        <v>Yield 10 (t/ha)</v>
      </c>
      <c r="D67" s="101" t="str">
        <f ca="1">"Following crop will take up "&amp;ROUND('Model Interface'!L9,0)&amp;" kg N/ha"</f>
        <v>Following crop will take up 155 kg N/ha</v>
      </c>
      <c r="R67" s="83">
        <f ca="1"/>
        <v>45436</v>
      </c>
      <c r="S67" s="55">
        <f t="shared" ca="1" si="11"/>
        <v>45436</v>
      </c>
      <c r="T67" s="55">
        <f t="shared" ca="1" si="0"/>
        <v>65.505617085750202</v>
      </c>
      <c r="U67" s="55">
        <f t="shared" ca="1" si="1"/>
        <v>6.2692612448365406</v>
      </c>
      <c r="V67" s="55">
        <f t="shared" ca="1" si="2"/>
        <v>0</v>
      </c>
      <c r="W67" s="55">
        <f t="shared" ca="1" si="12"/>
        <v>-35.48873398993203</v>
      </c>
      <c r="X67" s="55">
        <f t="shared" ca="1" si="13"/>
        <v>31.306964076718589</v>
      </c>
      <c r="Y67" s="55">
        <f t="shared" ca="1" si="14"/>
        <v>24.608603988890206</v>
      </c>
      <c r="Z67">
        <f t="shared" ca="1" si="3"/>
        <v>120</v>
      </c>
      <c r="AA67">
        <f t="shared" ca="1" si="15"/>
        <v>73.539497776097591</v>
      </c>
      <c r="AB67">
        <f t="shared" ca="1" si="4"/>
        <v>0</v>
      </c>
      <c r="AC67">
        <f t="shared" ca="1" si="5"/>
        <v>4.274056721622653E-2</v>
      </c>
      <c r="AD67" s="83">
        <f ca="1"/>
        <v>45664</v>
      </c>
      <c r="AE67" s="55">
        <f t="shared" ca="1" si="20"/>
        <v>45664</v>
      </c>
      <c r="AF67" s="55">
        <f t="shared" ca="1" si="21"/>
        <v>25.121244690253732</v>
      </c>
      <c r="AG67" s="55">
        <f t="shared" ca="1" si="22"/>
        <v>7.5301198361657464</v>
      </c>
      <c r="AH67" s="55">
        <f t="shared" ca="1" si="23"/>
        <v>0</v>
      </c>
      <c r="AI67" s="55">
        <f t="shared" ca="1" si="17"/>
        <v>0</v>
      </c>
      <c r="AJ67" s="55">
        <f t="shared" ca="1" si="18"/>
        <v>28.806959950968782</v>
      </c>
      <c r="AK67" s="55">
        <f t="shared" ca="1" si="19"/>
        <v>-10.877529453268689</v>
      </c>
    </row>
    <row r="68" spans="2:37" ht="15" thickBot="1">
      <c r="C68" s="131" t="s">
        <v>185</v>
      </c>
      <c r="D68" s="131"/>
      <c r="E68" s="131"/>
      <c r="F68" s="131"/>
      <c r="G68" s="131"/>
      <c r="H68" s="131"/>
      <c r="R68" s="83">
        <f ca="1"/>
        <v>45437</v>
      </c>
      <c r="S68" s="55">
        <f t="shared" ca="1" si="11"/>
        <v>45437</v>
      </c>
      <c r="T68" s="55">
        <f t="shared" ca="1" si="0"/>
        <v>63.785037095411198</v>
      </c>
      <c r="U68" s="55">
        <f t="shared" ca="1" si="1"/>
        <v>6.4709529403938149</v>
      </c>
      <c r="V68" s="55">
        <f t="shared" ca="1" si="2"/>
        <v>0</v>
      </c>
      <c r="W68" s="55">
        <f t="shared" ca="1" si="12"/>
        <v>-37.939496859664601</v>
      </c>
      <c r="X68" s="55">
        <f t="shared" ca="1" si="13"/>
        <v>31.884215302292542</v>
      </c>
      <c r="Y68" s="55">
        <f t="shared" ca="1" si="14"/>
        <v>24.963227338267085</v>
      </c>
      <c r="Z68">
        <f t="shared" ca="1" si="3"/>
        <v>120</v>
      </c>
      <c r="AA68">
        <f t="shared" ca="1" si="15"/>
        <v>78.999497776097584</v>
      </c>
      <c r="AB68">
        <f t="shared" ca="1" si="4"/>
        <v>0</v>
      </c>
      <c r="AC68">
        <f t="shared" ca="1" si="5"/>
        <v>4.5104908671332516E-2</v>
      </c>
      <c r="AD68" s="83">
        <f ca="1"/>
        <v>45665</v>
      </c>
      <c r="AE68" s="55">
        <f t="shared" ca="1" si="20"/>
        <v>45665</v>
      </c>
      <c r="AF68" s="55">
        <f t="shared" ca="1" si="21"/>
        <v>25.332422228008763</v>
      </c>
      <c r="AG68" s="55">
        <f t="shared" ca="1" si="22"/>
        <v>7.8946469829049848</v>
      </c>
      <c r="AH68" s="55">
        <f t="shared" ca="1" si="23"/>
        <v>0</v>
      </c>
      <c r="AI68" s="55">
        <f t="shared" ca="1" si="17"/>
        <v>0</v>
      </c>
      <c r="AJ68" s="55">
        <f t="shared" ca="1" si="18"/>
        <v>29.314557377198351</v>
      </c>
      <c r="AK68" s="55">
        <f t="shared" ca="1" si="19"/>
        <v>-10.809422195003989</v>
      </c>
    </row>
    <row r="69" spans="2:37">
      <c r="C69" s="61"/>
      <c r="D69" s="88"/>
      <c r="E69" s="99"/>
      <c r="R69" s="83">
        <f ca="1"/>
        <v>45438</v>
      </c>
      <c r="S69" s="55">
        <f t="shared" ca="1" si="11"/>
        <v>45438</v>
      </c>
      <c r="T69" s="55">
        <f t="shared" ca="1" si="0"/>
        <v>63.211029520250392</v>
      </c>
      <c r="U69" s="55">
        <f t="shared" ca="1" si="1"/>
        <v>6.6634850863948198</v>
      </c>
      <c r="V69" s="55">
        <f t="shared" ca="1" si="2"/>
        <v>0</v>
      </c>
      <c r="W69" s="55">
        <f t="shared" ca="1" si="12"/>
        <v>-39.198332806814179</v>
      </c>
      <c r="X69" s="55">
        <f t="shared" ca="1" si="13"/>
        <v>32.430749516408689</v>
      </c>
      <c r="Y69" s="55">
        <f t="shared" ca="1" si="14"/>
        <v>25.2940536421407</v>
      </c>
      <c r="Z69">
        <f t="shared" ca="1" si="3"/>
        <v>120</v>
      </c>
      <c r="AA69">
        <f t="shared" ca="1" si="15"/>
        <v>81.829497776097583</v>
      </c>
      <c r="AB69">
        <f t="shared" ca="1" si="4"/>
        <v>0</v>
      </c>
      <c r="AC69">
        <f t="shared" ca="1" si="5"/>
        <v>4.7405696116920269E-2</v>
      </c>
      <c r="AD69" s="83">
        <f ca="1"/>
        <v>45666</v>
      </c>
      <c r="AE69" s="55">
        <f t="shared" ca="1" si="20"/>
        <v>45666</v>
      </c>
      <c r="AF69" s="55">
        <f t="shared" ca="1" si="21"/>
        <v>25.534510343876921</v>
      </c>
      <c r="AG69" s="55">
        <f t="shared" ca="1" si="22"/>
        <v>8.2808025865973391</v>
      </c>
      <c r="AH69" s="55">
        <f t="shared" ca="1" si="23"/>
        <v>0</v>
      </c>
      <c r="AI69" s="55">
        <f t="shared" ca="1" si="17"/>
        <v>0</v>
      </c>
      <c r="AJ69" s="55">
        <f t="shared" ca="1" si="18"/>
        <v>29.831036796102033</v>
      </c>
      <c r="AK69" s="55">
        <f t="shared" ca="1" si="19"/>
        <v>-10.737657894347159</v>
      </c>
    </row>
    <row r="70" spans="2:37">
      <c r="C70" s="61"/>
      <c r="D70" s="84"/>
      <c r="E70" s="69"/>
      <c r="R70" s="83">
        <f ca="1"/>
        <v>45439</v>
      </c>
      <c r="S70" s="55">
        <f t="shared" ca="1" si="11"/>
        <v>45439</v>
      </c>
      <c r="T70" s="55">
        <f t="shared" ca="1" si="0"/>
        <v>62.819885871689792</v>
      </c>
      <c r="U70" s="55">
        <f t="shared" ca="1" si="1"/>
        <v>6.8428767776836574</v>
      </c>
      <c r="V70" s="55">
        <f t="shared" ca="1" si="2"/>
        <v>0</v>
      </c>
      <c r="W70" s="55">
        <f t="shared" ca="1" si="12"/>
        <v>-40.228346268865927</v>
      </c>
      <c r="X70" s="55">
        <f t="shared" ca="1" si="13"/>
        <v>32.942439598278398</v>
      </c>
      <c r="Y70" s="55">
        <f t="shared" ca="1" si="14"/>
        <v>25.600625065050977</v>
      </c>
      <c r="Z70">
        <f t="shared" ca="1" si="3"/>
        <v>120</v>
      </c>
      <c r="AA70">
        <f t="shared" ca="1" si="15"/>
        <v>84.159497776097595</v>
      </c>
      <c r="AB70">
        <f t="shared" ca="1" si="4"/>
        <v>0</v>
      </c>
      <c r="AC70">
        <f t="shared" ca="1" si="5"/>
        <v>4.958711025657709E-2</v>
      </c>
      <c r="AD70" s="83">
        <f ca="1"/>
        <v>45667</v>
      </c>
      <c r="AE70" s="55">
        <f t="shared" ca="1" si="20"/>
        <v>45667</v>
      </c>
      <c r="AF70" s="55">
        <f t="shared" ca="1" si="21"/>
        <v>25.692842570256886</v>
      </c>
      <c r="AG70" s="55">
        <f t="shared" ca="1" si="22"/>
        <v>8.6815180082088084</v>
      </c>
      <c r="AH70" s="55">
        <f t="shared" ca="1" si="23"/>
        <v>0</v>
      </c>
      <c r="AI70" s="55">
        <f t="shared" ca="1" si="17"/>
        <v>0</v>
      </c>
      <c r="AJ70" s="55">
        <f t="shared" ca="1" si="18"/>
        <v>30.316806256146108</v>
      </c>
      <c r="AK70" s="55">
        <f t="shared" ca="1" si="19"/>
        <v>-10.664379706399799</v>
      </c>
    </row>
    <row r="71" spans="2:37">
      <c r="C71" s="61"/>
      <c r="D71" s="84"/>
      <c r="E71" s="69"/>
      <c r="R71" s="83">
        <f ca="1"/>
        <v>45440</v>
      </c>
      <c r="S71" s="55">
        <f t="shared" ca="1" si="11"/>
        <v>45440</v>
      </c>
      <c r="T71" s="55">
        <f t="shared" ca="1" si="0"/>
        <v>61.898319153804998</v>
      </c>
      <c r="U71" s="55">
        <f t="shared" ca="1" si="1"/>
        <v>7.0172570605133409</v>
      </c>
      <c r="V71" s="55">
        <f t="shared" ca="1" si="2"/>
        <v>0</v>
      </c>
      <c r="W71" s="55">
        <f t="shared" ca="1" si="12"/>
        <v>-41.761590559609068</v>
      </c>
      <c r="X71" s="55">
        <f t="shared" ca="1" si="13"/>
        <v>33.43701168318433</v>
      </c>
      <c r="Y71" s="55">
        <f t="shared" ca="1" si="14"/>
        <v>25.892110835833073</v>
      </c>
      <c r="Z71">
        <f t="shared" ca="1" si="3"/>
        <v>120</v>
      </c>
      <c r="AA71">
        <f t="shared" ca="1" si="15"/>
        <v>87.679497776097605</v>
      </c>
      <c r="AB71">
        <f t="shared" ca="1" si="4"/>
        <v>0</v>
      </c>
      <c r="AC71">
        <f t="shared" ca="1" si="5"/>
        <v>5.1741651135361798E-2</v>
      </c>
      <c r="AD71" s="83">
        <f ca="1"/>
        <v>45668</v>
      </c>
      <c r="AE71" s="55">
        <f t="shared" ca="1" si="20"/>
        <v>45668</v>
      </c>
      <c r="AF71" s="55">
        <f t="shared" ca="1" si="21"/>
        <v>25.806064418973715</v>
      </c>
      <c r="AG71" s="55">
        <f t="shared" ca="1" si="22"/>
        <v>9.0947500448230443</v>
      </c>
      <c r="AH71" s="55">
        <f t="shared" ca="1" si="23"/>
        <v>0</v>
      </c>
      <c r="AI71" s="55">
        <f t="shared" ca="1" si="17"/>
        <v>0</v>
      </c>
      <c r="AJ71" s="55">
        <f t="shared" ca="1" si="18"/>
        <v>30.771588582555985</v>
      </c>
      <c r="AK71" s="55">
        <f t="shared" ca="1" si="19"/>
        <v>-10.592708147478611</v>
      </c>
    </row>
    <row r="72" spans="2:37">
      <c r="C72" s="61"/>
      <c r="D72" s="84">
        <v>120</v>
      </c>
      <c r="E72" s="69">
        <v>120</v>
      </c>
      <c r="R72" s="83">
        <f ca="1"/>
        <v>45441</v>
      </c>
      <c r="S72" s="55">
        <f t="shared" ca="1" si="11"/>
        <v>45441</v>
      </c>
      <c r="T72" s="55">
        <f t="shared" ca="1" si="0"/>
        <v>60.769727435975817</v>
      </c>
      <c r="U72" s="55">
        <f t="shared" ca="1" si="1"/>
        <v>7.2040542060993289</v>
      </c>
      <c r="V72" s="55">
        <f t="shared" ca="1" si="2"/>
        <v>0</v>
      </c>
      <c r="W72" s="55">
        <f t="shared" ca="1" si="12"/>
        <v>-43.50208056798833</v>
      </c>
      <c r="X72" s="55">
        <f t="shared" ca="1" si="13"/>
        <v>33.945435311471016</v>
      </c>
      <c r="Y72" s="55">
        <f t="shared" ca="1" si="14"/>
        <v>26.182382643682455</v>
      </c>
      <c r="Z72">
        <f t="shared" ca="1" si="3"/>
        <v>120</v>
      </c>
      <c r="AA72">
        <f t="shared" ca="1" si="15"/>
        <v>91.749497776097598</v>
      </c>
      <c r="AB72">
        <f t="shared" ca="1" si="4"/>
        <v>0</v>
      </c>
      <c r="AC72">
        <f t="shared" ca="1" si="5"/>
        <v>5.4086054623650417E-2</v>
      </c>
      <c r="AD72" s="83">
        <f ca="1"/>
        <v>45669</v>
      </c>
      <c r="AE72" s="55">
        <f t="shared" ca="1" si="20"/>
        <v>45669</v>
      </c>
      <c r="AF72" s="55">
        <f t="shared" ca="1" si="21"/>
        <v>25.87706183630775</v>
      </c>
      <c r="AG72" s="55">
        <f t="shared" ca="1" si="22"/>
        <v>9.5296789412216079</v>
      </c>
      <c r="AH72" s="55">
        <f t="shared" ca="1" si="23"/>
        <v>0</v>
      </c>
      <c r="AI72" s="55">
        <f t="shared" ca="1" si="17"/>
        <v>0</v>
      </c>
      <c r="AJ72" s="55">
        <f t="shared" ca="1" si="18"/>
        <v>31.209207570602963</v>
      </c>
      <c r="AK72" s="55">
        <f t="shared" ca="1" si="19"/>
        <v>-10.524400821792995</v>
      </c>
    </row>
    <row r="73" spans="2:37">
      <c r="R73" s="83">
        <f ca="1"/>
        <v>45442</v>
      </c>
      <c r="S73" s="55">
        <f t="shared" ca="1" si="11"/>
        <v>45442</v>
      </c>
      <c r="T73" s="55">
        <f t="shared" ca="1" si="0"/>
        <v>59.580830687239391</v>
      </c>
      <c r="U73" s="55">
        <f t="shared" ca="1" si="1"/>
        <v>7.3876849775958604</v>
      </c>
      <c r="V73" s="55">
        <f t="shared" ca="1" si="2"/>
        <v>0</v>
      </c>
      <c r="W73" s="55">
        <f t="shared" ca="1" si="12"/>
        <v>-45.279796019900928</v>
      </c>
      <c r="X73" s="55">
        <f t="shared" ca="1" si="13"/>
        <v>34.440465265558188</v>
      </c>
      <c r="Y73" s="55">
        <f t="shared" ca="1" si="14"/>
        <v>26.45980216426798</v>
      </c>
      <c r="Z73">
        <f t="shared" ca="1" si="3"/>
        <v>120</v>
      </c>
      <c r="AA73">
        <f t="shared" ca="1" si="15"/>
        <v>95.989497776097608</v>
      </c>
      <c r="AB73">
        <f t="shared" ca="1" si="4"/>
        <v>0</v>
      </c>
      <c r="AC73">
        <f t="shared" ca="1" si="5"/>
        <v>5.6426650378636811E-2</v>
      </c>
      <c r="AD73" s="83">
        <f ca="1"/>
        <v>45670</v>
      </c>
      <c r="AE73" s="55">
        <f t="shared" ca="1" si="20"/>
        <v>45670</v>
      </c>
      <c r="AF73" s="55">
        <f t="shared" ca="1" si="21"/>
        <v>25.940065716015692</v>
      </c>
      <c r="AG73" s="55">
        <f t="shared" ca="1" si="22"/>
        <v>9.9884858610688383</v>
      </c>
      <c r="AH73" s="55">
        <f t="shared" ca="1" si="23"/>
        <v>0</v>
      </c>
      <c r="AI73" s="55">
        <f t="shared" ca="1" si="17"/>
        <v>0</v>
      </c>
      <c r="AJ73" s="55">
        <f t="shared" ca="1" si="18"/>
        <v>31.658821782718338</v>
      </c>
      <c r="AK73" s="55">
        <f t="shared" ca="1" si="19"/>
        <v>-10.452204234353196</v>
      </c>
    </row>
    <row r="74" spans="2:37">
      <c r="R74" s="83">
        <f ca="1"/>
        <v>45443</v>
      </c>
      <c r="S74" s="55">
        <f t="shared" ca="1" si="11"/>
        <v>45443</v>
      </c>
      <c r="T74" s="55">
        <f t="shared" ca="1" si="0"/>
        <v>58.964277179864766</v>
      </c>
      <c r="U74" s="55">
        <f t="shared" ca="1" si="1"/>
        <v>7.5767257632849994</v>
      </c>
      <c r="V74" s="55">
        <f t="shared" ca="1" si="2"/>
        <v>0</v>
      </c>
      <c r="W74" s="55">
        <f t="shared" ca="1" si="12"/>
        <v>-46.474805370746189</v>
      </c>
      <c r="X74" s="55">
        <f t="shared" ca="1" si="13"/>
        <v>34.93687041809315</v>
      </c>
      <c r="Y74" s="55">
        <f t="shared" ca="1" si="14"/>
        <v>26.730893640892791</v>
      </c>
      <c r="Z74">
        <f t="shared" ca="1" si="3"/>
        <v>120</v>
      </c>
      <c r="AA74">
        <f t="shared" ca="1" si="15"/>
        <v>98.869497776097603</v>
      </c>
      <c r="AB74">
        <f t="shared" ca="1" si="4"/>
        <v>0</v>
      </c>
      <c r="AC74">
        <f t="shared" ca="1" si="5"/>
        <v>5.8872557624017018E-2</v>
      </c>
      <c r="AD74" s="83">
        <f ca="1"/>
        <v>45671</v>
      </c>
      <c r="AE74" s="55">
        <f t="shared" ca="1" si="20"/>
        <v>45671</v>
      </c>
      <c r="AF74" s="55">
        <f t="shared" ca="1" si="21"/>
        <v>25.971533393343829</v>
      </c>
      <c r="AG74" s="55">
        <f t="shared" ca="1" si="22"/>
        <v>10.474128393127312</v>
      </c>
      <c r="AH74" s="55">
        <f t="shared" ca="1" si="23"/>
        <v>0</v>
      </c>
      <c r="AI74" s="55">
        <f t="shared" ca="1" si="17"/>
        <v>0</v>
      </c>
      <c r="AJ74" s="55">
        <f t="shared" ca="1" si="18"/>
        <v>32.104560812492565</v>
      </c>
      <c r="AK74" s="55">
        <f t="shared" ca="1" si="19"/>
        <v>-10.380833054740812</v>
      </c>
    </row>
    <row r="75" spans="2:37">
      <c r="R75" s="83">
        <f ca="1"/>
        <v>45444</v>
      </c>
      <c r="S75" s="55">
        <f t="shared" ca="1" si="11"/>
        <v>45444</v>
      </c>
      <c r="T75" s="55">
        <f t="shared" ca="1" si="0"/>
        <v>57.971410409778557</v>
      </c>
      <c r="U75" s="55">
        <f t="shared" ca="1" si="1"/>
        <v>7.7658355080123336</v>
      </c>
      <c r="V75" s="55">
        <f t="shared" ca="1" si="2"/>
        <v>0</v>
      </c>
      <c r="W75" s="55">
        <f t="shared" ca="1" si="12"/>
        <v>-48.029083296510585</v>
      </c>
      <c r="X75" s="55">
        <f t="shared" ca="1" si="13"/>
        <v>35.425968740294017</v>
      </c>
      <c r="Y75" s="55">
        <f t="shared" ca="1" si="14"/>
        <v>26.99231621909744</v>
      </c>
      <c r="Z75">
        <f t="shared" ca="1" si="3"/>
        <v>120</v>
      </c>
      <c r="AA75">
        <f t="shared" ca="1" si="15"/>
        <v>102.67949777609761</v>
      </c>
      <c r="AB75">
        <f t="shared" ca="1" si="4"/>
        <v>0</v>
      </c>
      <c r="AC75">
        <f t="shared" ca="1" si="5"/>
        <v>6.1355389203838283E-2</v>
      </c>
      <c r="AD75" s="83">
        <f ca="1"/>
        <v>45672</v>
      </c>
      <c r="AE75" s="55">
        <f t="shared" ca="1" si="20"/>
        <v>45672</v>
      </c>
      <c r="AF75" s="55">
        <f t="shared" ca="1" si="21"/>
        <v>25.954624232622365</v>
      </c>
      <c r="AG75" s="55">
        <f t="shared" ca="1" si="22"/>
        <v>10.981314494240499</v>
      </c>
      <c r="AH75" s="55">
        <f t="shared" ca="1" si="23"/>
        <v>0</v>
      </c>
      <c r="AI75" s="55">
        <f t="shared" ca="1" si="17"/>
        <v>0</v>
      </c>
      <c r="AJ75" s="55">
        <f t="shared" ca="1" si="18"/>
        <v>32.528756272856739</v>
      </c>
      <c r="AK75" s="55">
        <f t="shared" ca="1" si="19"/>
        <v>-10.314751574713267</v>
      </c>
    </row>
    <row r="76" spans="2:37">
      <c r="R76" s="83">
        <f ca="1"/>
        <v>45445</v>
      </c>
      <c r="S76" s="55">
        <f t="shared" ca="1" si="11"/>
        <v>45445</v>
      </c>
      <c r="T76" s="55">
        <f t="shared" ca="1" si="0"/>
        <v>57.97396425585714</v>
      </c>
      <c r="U76" s="55">
        <f t="shared" ca="1" si="1"/>
        <v>7.9435146095252112</v>
      </c>
      <c r="V76" s="55">
        <f t="shared" ca="1" si="2"/>
        <v>0</v>
      </c>
      <c r="W76" s="55">
        <f t="shared" ca="1" si="12"/>
        <v>-48.559437710258614</v>
      </c>
      <c r="X76" s="55">
        <f t="shared" ca="1" si="13"/>
        <v>35.890905900039371</v>
      </c>
      <c r="Y76" s="55">
        <f t="shared" ca="1" si="14"/>
        <v>27.237966420691574</v>
      </c>
      <c r="Z76">
        <f t="shared" ca="1" si="3"/>
        <v>120</v>
      </c>
      <c r="AA76">
        <f t="shared" ca="1" si="15"/>
        <v>103.97949777609762</v>
      </c>
      <c r="AB76">
        <f t="shared" ca="1" si="4"/>
        <v>0</v>
      </c>
      <c r="AC76">
        <f t="shared" ca="1" si="5"/>
        <v>6.3720205546995076E-2</v>
      </c>
      <c r="AD76" s="83">
        <f ca="1"/>
        <v>45673</v>
      </c>
      <c r="AE76" s="55">
        <f t="shared" ca="1" si="20"/>
        <v>45673</v>
      </c>
      <c r="AF76" s="55">
        <f t="shared" ca="1" si="21"/>
        <v>25.915718321649294</v>
      </c>
      <c r="AG76" s="55">
        <f t="shared" ca="1" si="22"/>
        <v>11.511129496088504</v>
      </c>
      <c r="AH76" s="55">
        <f t="shared" ca="1" si="23"/>
        <v>0</v>
      </c>
      <c r="AI76" s="55">
        <f t="shared" ca="1" si="17"/>
        <v>0</v>
      </c>
      <c r="AJ76" s="55">
        <f t="shared" ca="1" si="18"/>
        <v>32.952815921875754</v>
      </c>
      <c r="AK76" s="55">
        <f t="shared" ca="1" si="19"/>
        <v>-10.247902132857348</v>
      </c>
    </row>
    <row r="77" spans="2:37">
      <c r="R77" s="83">
        <f ca="1"/>
        <v>45446</v>
      </c>
      <c r="S77" s="55">
        <f t="shared" ca="1" si="11"/>
        <v>45446</v>
      </c>
      <c r="T77" s="55">
        <f t="shared" ca="1" si="0"/>
        <v>57.275051394682933</v>
      </c>
      <c r="U77" s="55">
        <f t="shared" ca="1" si="1"/>
        <v>8.128480962882751</v>
      </c>
      <c r="V77" s="55">
        <f t="shared" ca="1" si="2"/>
        <v>0</v>
      </c>
      <c r="W77" s="55">
        <f t="shared" ca="1" si="12"/>
        <v>-49.784699550464872</v>
      </c>
      <c r="X77" s="55">
        <f t="shared" ca="1" si="13"/>
        <v>36.360702455309955</v>
      </c>
      <c r="Y77" s="55">
        <f t="shared" ca="1" si="14"/>
        <v>27.479485197810575</v>
      </c>
      <c r="Z77">
        <f t="shared" ca="1" si="3"/>
        <v>120</v>
      </c>
      <c r="AA77">
        <f t="shared" ca="1" si="15"/>
        <v>107.01949777609762</v>
      </c>
      <c r="AB77">
        <f t="shared" ca="1" si="4"/>
        <v>0</v>
      </c>
      <c r="AC77">
        <f t="shared" ca="1" si="5"/>
        <v>6.6214217807569323E-2</v>
      </c>
      <c r="AD77" s="83">
        <f ca="1"/>
        <v>45674</v>
      </c>
      <c r="AE77" s="55">
        <f t="shared" ca="1" si="20"/>
        <v>45674</v>
      </c>
      <c r="AF77" s="55">
        <f t="shared" ca="1" si="21"/>
        <v>25.851145352597658</v>
      </c>
      <c r="AG77" s="55">
        <f t="shared" ca="1" si="22"/>
        <v>12.058349524809739</v>
      </c>
      <c r="AH77" s="55">
        <f t="shared" ca="1" si="23"/>
        <v>0</v>
      </c>
      <c r="AI77" s="55">
        <f t="shared" ca="1" si="17"/>
        <v>0</v>
      </c>
      <c r="AJ77" s="55">
        <f t="shared" ca="1" si="18"/>
        <v>33.369264955423567</v>
      </c>
      <c r="AK77" s="55">
        <f t="shared" ca="1" si="19"/>
        <v>-10.181704106735559</v>
      </c>
    </row>
    <row r="78" spans="2:37">
      <c r="R78" s="83">
        <f ca="1"/>
        <v>45447</v>
      </c>
      <c r="S78" s="55">
        <f t="shared" ca="1" si="11"/>
        <v>45447</v>
      </c>
      <c r="T78" s="55">
        <f t="shared" ca="1" si="0"/>
        <v>56.977210565156795</v>
      </c>
      <c r="U78" s="55">
        <f t="shared" ca="1" si="1"/>
        <v>8.3216638154764695</v>
      </c>
      <c r="V78" s="55">
        <f t="shared" ca="1" si="2"/>
        <v>0</v>
      </c>
      <c r="W78" s="55">
        <f t="shared" ca="1" si="12"/>
        <v>-50.602639062133569</v>
      </c>
      <c r="X78" s="55">
        <f t="shared" ca="1" si="13"/>
        <v>36.836282984905729</v>
      </c>
      <c r="Y78" s="55">
        <f t="shared" ca="1" si="14"/>
        <v>27.717186202951083</v>
      </c>
      <c r="Z78">
        <f t="shared" ca="1" si="3"/>
        <v>120</v>
      </c>
      <c r="AA78">
        <f t="shared" ca="1" si="15"/>
        <v>109.05949777609763</v>
      </c>
      <c r="AB78">
        <f t="shared" ca="1" si="4"/>
        <v>0</v>
      </c>
      <c r="AC78">
        <f t="shared" ca="1" si="5"/>
        <v>6.8853233255252722E-2</v>
      </c>
      <c r="AD78" s="83">
        <f ca="1"/>
        <v>45675</v>
      </c>
      <c r="AE78" s="55">
        <f t="shared" ca="1" si="20"/>
        <v>45675</v>
      </c>
      <c r="AF78" s="55">
        <f t="shared" ca="1" si="21"/>
        <v>25.754108901319775</v>
      </c>
      <c r="AG78" s="55">
        <f t="shared" ca="1" si="22"/>
        <v>12.631593581372705</v>
      </c>
      <c r="AH78" s="55">
        <f t="shared" ca="1" si="23"/>
        <v>0</v>
      </c>
      <c r="AI78" s="55">
        <f t="shared" ca="1" si="17"/>
        <v>0</v>
      </c>
      <c r="AJ78" s="55">
        <f t="shared" ca="1" si="18"/>
        <v>33.780654385955188</v>
      </c>
      <c r="AK78" s="55">
        <f t="shared" ca="1" si="19"/>
        <v>-10.116885931982097</v>
      </c>
    </row>
    <row r="79" spans="2:37">
      <c r="R79" s="83">
        <f ca="1"/>
        <v>45448</v>
      </c>
      <c r="S79" s="55">
        <f t="shared" ca="1" si="11"/>
        <v>45448</v>
      </c>
      <c r="T79" s="55">
        <f t="shared" ca="1" si="0"/>
        <v>56.624520184827539</v>
      </c>
      <c r="U79" s="55">
        <f t="shared" ca="1" si="1"/>
        <v>8.51740149887606</v>
      </c>
      <c r="V79" s="55">
        <f t="shared" ca="1" si="2"/>
        <v>0</v>
      </c>
      <c r="W79" s="55">
        <f t="shared" ca="1" si="12"/>
        <v>-51.463331768942943</v>
      </c>
      <c r="X79" s="55">
        <f t="shared" ca="1" si="13"/>
        <v>37.309188456953621</v>
      </c>
      <c r="Y79" s="55">
        <f t="shared" ca="1" si="14"/>
        <v>27.948020740782905</v>
      </c>
      <c r="Z79">
        <f t="shared" ca="1" si="3"/>
        <v>120</v>
      </c>
      <c r="AA79">
        <f t="shared" ca="1" si="15"/>
        <v>111.21949777609763</v>
      </c>
      <c r="AB79">
        <f t="shared" ca="1" si="4"/>
        <v>0</v>
      </c>
      <c r="AC79">
        <f t="shared" ca="1" si="5"/>
        <v>7.1561886536650743E-2</v>
      </c>
      <c r="AD79" s="83">
        <f ca="1"/>
        <v>45676</v>
      </c>
      <c r="AE79" s="55">
        <f t="shared" ca="1" si="20"/>
        <v>45676</v>
      </c>
      <c r="AF79" s="55">
        <f t="shared" ca="1" si="21"/>
        <v>25.62616317587873</v>
      </c>
      <c r="AG79" s="55">
        <f t="shared" ca="1" si="22"/>
        <v>13.239965343507583</v>
      </c>
      <c r="AH79" s="55">
        <f t="shared" ca="1" si="23"/>
        <v>0</v>
      </c>
      <c r="AI79" s="55">
        <f t="shared" ca="1" si="17"/>
        <v>0</v>
      </c>
      <c r="AJ79" s="55">
        <f t="shared" ca="1" si="18"/>
        <v>34.196121568958553</v>
      </c>
      <c r="AK79" s="55">
        <f t="shared" ca="1" si="19"/>
        <v>-10.051927078291634</v>
      </c>
    </row>
    <row r="80" spans="2:37">
      <c r="R80" s="83">
        <f ca="1"/>
        <v>45449</v>
      </c>
      <c r="S80" s="55">
        <f t="shared" ca="1" si="11"/>
        <v>45449</v>
      </c>
      <c r="T80" s="55">
        <f t="shared" ca="1" si="0"/>
        <v>56.434336139286046</v>
      </c>
      <c r="U80" s="55">
        <f t="shared" ca="1" si="1"/>
        <v>8.7211768099296378</v>
      </c>
      <c r="V80" s="55">
        <f t="shared" ca="1" si="2"/>
        <v>0</v>
      </c>
      <c r="W80" s="55">
        <f t="shared" ca="1" si="12"/>
        <v>-52.154338862559534</v>
      </c>
      <c r="X80" s="55">
        <f t="shared" ca="1" si="13"/>
        <v>37.787005450104843</v>
      </c>
      <c r="Y80" s="55">
        <f t="shared" ca="1" si="14"/>
        <v>28.174802106760353</v>
      </c>
      <c r="Z80">
        <f t="shared" ca="1" si="3"/>
        <v>120</v>
      </c>
      <c r="AA80">
        <f t="shared" ca="1" si="15"/>
        <v>112.95949777609762</v>
      </c>
      <c r="AB80">
        <f t="shared" ca="1" si="4"/>
        <v>0</v>
      </c>
      <c r="AC80">
        <f t="shared" ca="1" si="5"/>
        <v>7.4417908296097221E-2</v>
      </c>
      <c r="AD80" s="83">
        <f ca="1"/>
        <v>45677</v>
      </c>
      <c r="AE80" s="55">
        <f t="shared" ca="1" si="20"/>
        <v>45677</v>
      </c>
      <c r="AF80" s="55">
        <f t="shared" ca="1" si="21"/>
        <v>25.451994647160078</v>
      </c>
      <c r="AG80" s="55">
        <f t="shared" ca="1" si="22"/>
        <v>13.873253357902632</v>
      </c>
      <c r="AH80" s="55">
        <f t="shared" ca="1" si="23"/>
        <v>0</v>
      </c>
      <c r="AI80" s="55">
        <f t="shared" ca="1" si="17"/>
        <v>0</v>
      </c>
      <c r="AJ80" s="55">
        <f t="shared" ca="1" si="18"/>
        <v>34.59516167860199</v>
      </c>
      <c r="AK80" s="55">
        <f t="shared" ca="1" si="19"/>
        <v>-9.9918477022586742</v>
      </c>
    </row>
    <row r="81" spans="18:37">
      <c r="R81" s="83">
        <f ca="1"/>
        <v>45450</v>
      </c>
      <c r="S81" s="55">
        <f t="shared" ca="1" si="11"/>
        <v>45450</v>
      </c>
      <c r="T81" s="55">
        <f t="shared" ca="1" si="0"/>
        <v>56.369324986796066</v>
      </c>
      <c r="U81" s="55">
        <f t="shared" ca="1" si="1"/>
        <v>8.9393161076042578</v>
      </c>
      <c r="V81" s="55">
        <f t="shared" ca="1" si="2"/>
        <v>0</v>
      </c>
      <c r="W81" s="55">
        <f t="shared" ca="1" si="12"/>
        <v>-52.717614561872033</v>
      </c>
      <c r="X81" s="55">
        <f t="shared" ca="1" si="13"/>
        <v>38.277924122048546</v>
      </c>
      <c r="Y81" s="55">
        <f t="shared" ca="1" si="14"/>
        <v>28.40028727931379</v>
      </c>
      <c r="Z81">
        <f t="shared" ca="1" si="3"/>
        <v>120</v>
      </c>
      <c r="AA81">
        <f t="shared" ca="1" si="15"/>
        <v>114.37949777609762</v>
      </c>
      <c r="AB81">
        <f t="shared" ca="1" si="4"/>
        <v>0</v>
      </c>
      <c r="AC81">
        <f t="shared" ca="1" si="5"/>
        <v>7.751493325613297E-2</v>
      </c>
      <c r="AD81" s="83">
        <f ca="1"/>
        <v>45678</v>
      </c>
      <c r="AE81" s="55">
        <f t="shared" ca="1" si="20"/>
        <v>45678</v>
      </c>
      <c r="AF81" s="55">
        <f t="shared" ca="1" si="21"/>
        <v>25.330802870866798</v>
      </c>
      <c r="AG81" s="55">
        <f t="shared" ca="1" si="22"/>
        <v>14.543022924918443</v>
      </c>
      <c r="AH81" s="55">
        <f t="shared" ca="1" si="23"/>
        <v>0</v>
      </c>
      <c r="AI81" s="55">
        <f t="shared" ca="1" si="17"/>
        <v>0</v>
      </c>
      <c r="AJ81" s="55">
        <f t="shared" ca="1" si="18"/>
        <v>35.062904961117624</v>
      </c>
      <c r="AK81" s="55">
        <f t="shared" ca="1" si="19"/>
        <v>-9.9110131940517761</v>
      </c>
    </row>
    <row r="82" spans="18:37">
      <c r="R82" s="83">
        <f ca="1"/>
        <v>45451</v>
      </c>
      <c r="S82" s="55">
        <f t="shared" ca="1" si="11"/>
        <v>45451</v>
      </c>
      <c r="T82" s="55">
        <f t="shared" ref="T82:T145" ca="1" si="27">VLOOKUP(S82,ModelOutputs,2,FALSE)</f>
        <v>55.38222531136023</v>
      </c>
      <c r="U82" s="55">
        <f t="shared" ref="U82:U145" ca="1" si="28">VLOOKUP(S82,ModelOutputs,7,FALSE)</f>
        <v>9.1760313898446739</v>
      </c>
      <c r="V82" s="55">
        <f t="shared" ref="V82:V145" ca="1" si="29">VLOOKUP(S82,ModelOutputs,6,FALSE)</f>
        <v>0</v>
      </c>
      <c r="W82" s="55">
        <f t="shared" ca="1" si="12"/>
        <v>-54.2024735582755</v>
      </c>
      <c r="X82" s="55">
        <f t="shared" ca="1" si="13"/>
        <v>38.786813588006986</v>
      </c>
      <c r="Y82" s="55">
        <f t="shared" ca="1" si="14"/>
        <v>28.625872416563404</v>
      </c>
      <c r="Z82">
        <f t="shared" ref="Z82:Z145" ca="1" si="30">VLOOKUP(S82,ModelOutputs,10,FALSE)*AWC</f>
        <v>120</v>
      </c>
      <c r="AA82">
        <f t="shared" ca="1" si="15"/>
        <v>118.18949777609762</v>
      </c>
      <c r="AB82">
        <f t="shared" ref="AB82:AB145" ca="1" si="31">VLOOKUP(S82,ModelOutputs,12,FALSE)</f>
        <v>0</v>
      </c>
      <c r="AC82">
        <f t="shared" ref="AC82:AC145" ca="1" si="32">VLOOKUP(S82,ModelOutputs,13,FALSE)</f>
        <v>8.0920662583854913E-2</v>
      </c>
      <c r="AD82" s="83">
        <f ca="1"/>
        <v>45679</v>
      </c>
      <c r="AE82" s="55">
        <f t="shared" ca="1" si="20"/>
        <v>45679</v>
      </c>
      <c r="AF82" s="55">
        <f t="shared" ca="1" si="21"/>
        <v>25.190827086225948</v>
      </c>
      <c r="AG82" s="55">
        <f t="shared" ca="1" si="22"/>
        <v>15.246138337197117</v>
      </c>
      <c r="AH82" s="55">
        <f t="shared" ca="1" si="23"/>
        <v>0</v>
      </c>
      <c r="AI82" s="55">
        <f t="shared" ca="1" si="17"/>
        <v>0</v>
      </c>
      <c r="AJ82" s="55">
        <f t="shared" ca="1" si="18"/>
        <v>35.54206339896885</v>
      </c>
      <c r="AK82" s="55">
        <f t="shared" ca="1" si="19"/>
        <v>-9.827032004265174</v>
      </c>
    </row>
    <row r="83" spans="18:37">
      <c r="R83" s="83">
        <f ca="1"/>
        <v>45452</v>
      </c>
      <c r="S83" s="55">
        <f t="shared" ref="S83:S146" ca="1" si="33">IF(R83&gt;1,R83,"")</f>
        <v>45452</v>
      </c>
      <c r="T83" s="55">
        <f t="shared" ca="1" si="27"/>
        <v>53.644938743826351</v>
      </c>
      <c r="U83" s="55">
        <f t="shared" ca="1" si="28"/>
        <v>9.4195135057114072</v>
      </c>
      <c r="V83" s="55">
        <f t="shared" ca="1" si="29"/>
        <v>0</v>
      </c>
      <c r="W83" s="55">
        <f t="shared" ref="W83:W146" ca="1" si="34">-VLOOKUP(S83,ModelOutputs,9,FALSE)+W82</f>
        <v>-56.425956926727949</v>
      </c>
      <c r="X83" s="55">
        <f t="shared" ref="X83:X146" ca="1" si="35">VLOOKUP(S83,ModelOutputs,5,FALSE)+X82</f>
        <v>39.296635527733088</v>
      </c>
      <c r="Y83" s="55">
        <f t="shared" ref="Y83:Y146" ca="1" si="36">VLOOKUP(S83,ModelOutputs,4,FALSE)+Y82</f>
        <v>28.845729393622605</v>
      </c>
      <c r="Z83">
        <f t="shared" ca="1" si="30"/>
        <v>120</v>
      </c>
      <c r="AA83">
        <f t="shared" ref="AA83:AA146" ca="1" si="37">VLOOKUP(S83,ModelOutputs,11,FALSE)+AA82</f>
        <v>124.07949777609764</v>
      </c>
      <c r="AB83">
        <f t="shared" ca="1" si="31"/>
        <v>0</v>
      </c>
      <c r="AC83">
        <f t="shared" ca="1" si="32"/>
        <v>8.4470927878004476E-2</v>
      </c>
      <c r="AD83" s="83">
        <f ca="1"/>
        <v>45680</v>
      </c>
      <c r="AE83" s="55">
        <f t="shared" ca="1" si="20"/>
        <v>45680</v>
      </c>
      <c r="AF83" s="55">
        <f t="shared" ca="1" si="21"/>
        <v>25.009919829271077</v>
      </c>
      <c r="AG83" s="55">
        <f t="shared" ca="1" si="22"/>
        <v>15.981393275612412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36.014305341424866</v>
      </c>
      <c r="AK83" s="55">
        <f t="shared" ref="AK83:AK146" ca="1" si="40">VLOOKUP(AE83,ModelOutputs,4,FALSE)+AK82</f>
        <v>-9.7449262652607658</v>
      </c>
    </row>
    <row r="84" spans="18:37">
      <c r="R84" s="83">
        <f ca="1"/>
        <v>45453</v>
      </c>
      <c r="S84" s="55">
        <f t="shared" ca="1" si="33"/>
        <v>45453</v>
      </c>
      <c r="T84" s="55">
        <f t="shared" ca="1" si="27"/>
        <v>52.805073231161295</v>
      </c>
      <c r="U84" s="55">
        <f t="shared" ca="1" si="28"/>
        <v>9.6713961290808097</v>
      </c>
      <c r="V84" s="55">
        <f t="shared" ca="1" si="29"/>
        <v>0</v>
      </c>
      <c r="W84" s="55">
        <f t="shared" ca="1" si="34"/>
        <v>-57.741389973219768</v>
      </c>
      <c r="X84" s="55">
        <f t="shared" ca="1" si="35"/>
        <v>39.809261278497871</v>
      </c>
      <c r="Y84" s="55">
        <f t="shared" ca="1" si="36"/>
        <v>29.060553800053988</v>
      </c>
      <c r="Z84">
        <f t="shared" ca="1" si="30"/>
        <v>120</v>
      </c>
      <c r="AA84">
        <f t="shared" ca="1" si="37"/>
        <v>127.61949777609763</v>
      </c>
      <c r="AB84">
        <f t="shared" ca="1" si="31"/>
        <v>0</v>
      </c>
      <c r="AC84">
        <f t="shared" ca="1" si="32"/>
        <v>8.8192196076200921E-2</v>
      </c>
      <c r="AD84" s="83">
        <f ca="1"/>
        <v>45681</v>
      </c>
      <c r="AE84" s="55">
        <f t="shared" ca="1" si="20"/>
        <v>45681</v>
      </c>
      <c r="AF84" s="55">
        <f t="shared" ca="1" si="21"/>
        <v>24.803428619657538</v>
      </c>
      <c r="AG84" s="55">
        <f t="shared" ca="1" si="22"/>
        <v>16.750855105294814</v>
      </c>
      <c r="AH84" s="55">
        <f t="shared" ca="1" si="23"/>
        <v>0</v>
      </c>
      <c r="AI84" s="55">
        <f t="shared" ca="1" si="38"/>
        <v>0</v>
      </c>
      <c r="AJ84" s="55">
        <f t="shared" ca="1" si="39"/>
        <v>36.493343364699292</v>
      </c>
      <c r="AK84" s="55">
        <f t="shared" ca="1" si="40"/>
        <v>-9.6609936684663253</v>
      </c>
    </row>
    <row r="85" spans="18:37">
      <c r="R85" s="83">
        <f ca="1"/>
        <v>45454</v>
      </c>
      <c r="S85" s="55">
        <f t="shared" ca="1" si="33"/>
        <v>45454</v>
      </c>
      <c r="T85" s="55">
        <f t="shared" ca="1" si="27"/>
        <v>52.220356753866291</v>
      </c>
      <c r="U85" s="55">
        <f t="shared" ca="1" si="28"/>
        <v>9.9231631504095503</v>
      </c>
      <c r="V85" s="55">
        <f t="shared" ca="1" si="29"/>
        <v>0</v>
      </c>
      <c r="W85" s="55">
        <f t="shared" ca="1" si="34"/>
        <v>-58.785023473382218</v>
      </c>
      <c r="X85" s="55">
        <f t="shared" ca="1" si="35"/>
        <v>40.313504338203344</v>
      </c>
      <c r="Y85" s="55">
        <f t="shared" ca="1" si="36"/>
        <v>29.2669947845447</v>
      </c>
      <c r="Z85">
        <f t="shared" ca="1" si="30"/>
        <v>120</v>
      </c>
      <c r="AA85">
        <f t="shared" ca="1" si="37"/>
        <v>130.45949777609763</v>
      </c>
      <c r="AB85">
        <f t="shared" ca="1" si="31"/>
        <v>0</v>
      </c>
      <c r="AC85">
        <f t="shared" ca="1" si="32"/>
        <v>9.1959176651384048E-2</v>
      </c>
      <c r="AD85" s="83">
        <f ca="1"/>
        <v>45682</v>
      </c>
      <c r="AE85" s="55">
        <f t="shared" ref="AE85:AE148" ca="1" si="41">IF(AD85&gt;1,AD85,"")</f>
        <v>45682</v>
      </c>
      <c r="AF85" s="55">
        <f t="shared" ref="AF85:AF148" ca="1" si="42">VLOOKUP(AE85,ModelOutputs,2,FALSE)</f>
        <v>24.573175135820509</v>
      </c>
      <c r="AG85" s="55">
        <f t="shared" ref="AG85:AG148" ca="1" si="43">VLOOKUP(AE85,ModelOutputs,7,FALSE)</f>
        <v>17.564077344387471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36.988757901461412</v>
      </c>
      <c r="AK85" s="55">
        <f t="shared" ca="1" si="40"/>
        <v>-9.5734394499728168</v>
      </c>
    </row>
    <row r="86" spans="18:37">
      <c r="R86" s="83">
        <f ca="1"/>
        <v>45455</v>
      </c>
      <c r="S86" s="55">
        <f t="shared" ca="1" si="33"/>
        <v>45455</v>
      </c>
      <c r="T86" s="55">
        <f t="shared" ca="1" si="27"/>
        <v>51.885500068307884</v>
      </c>
      <c r="U86" s="55">
        <f t="shared" ca="1" si="28"/>
        <v>10.174094743298031</v>
      </c>
      <c r="V86" s="55">
        <f t="shared" ca="1" si="29"/>
        <v>0</v>
      </c>
      <c r="W86" s="55">
        <f t="shared" ca="1" si="34"/>
        <v>-59.56272946885052</v>
      </c>
      <c r="X86" s="55">
        <f t="shared" ca="1" si="35"/>
        <v>40.808992426599673</v>
      </c>
      <c r="Y86" s="55">
        <f t="shared" ca="1" si="36"/>
        <v>29.465287598946745</v>
      </c>
      <c r="Z86">
        <f t="shared" ca="1" si="30"/>
        <v>120</v>
      </c>
      <c r="AA86">
        <f t="shared" ca="1" si="37"/>
        <v>132.58949777609763</v>
      </c>
      <c r="AB86">
        <f t="shared" ca="1" si="31"/>
        <v>0</v>
      </c>
      <c r="AC86">
        <f t="shared" ca="1" si="32"/>
        <v>9.5758962047095095E-2</v>
      </c>
      <c r="AD86" s="83">
        <f ca="1"/>
        <v>45683</v>
      </c>
      <c r="AE86" s="55">
        <f t="shared" ca="1" si="41"/>
        <v>45683</v>
      </c>
      <c r="AF86" s="55">
        <f t="shared" ca="1" si="42"/>
        <v>24.279773764883284</v>
      </c>
      <c r="AG86" s="55">
        <f t="shared" ca="1" si="43"/>
        <v>18.418598059198658</v>
      </c>
      <c r="AH86" s="55">
        <f t="shared" ca="1" si="44"/>
        <v>0</v>
      </c>
      <c r="AI86" s="55">
        <f t="shared" ca="1" si="38"/>
        <v>0</v>
      </c>
      <c r="AJ86" s="55">
        <f t="shared" ca="1" si="39"/>
        <v>37.467650321935189</v>
      </c>
      <c r="AK86" s="55">
        <f t="shared" ca="1" si="40"/>
        <v>-9.4912125265726317</v>
      </c>
    </row>
    <row r="87" spans="18:37">
      <c r="R87" s="83">
        <f ca="1"/>
        <v>45456</v>
      </c>
      <c r="S87" s="55">
        <f t="shared" ca="1" si="33"/>
        <v>45456</v>
      </c>
      <c r="T87" s="55">
        <f t="shared" ca="1" si="27"/>
        <v>51.594230973847161</v>
      </c>
      <c r="U87" s="55">
        <f t="shared" ca="1" si="28"/>
        <v>10.40916673083912</v>
      </c>
      <c r="V87" s="55">
        <f t="shared" ca="1" si="29"/>
        <v>0</v>
      </c>
      <c r="W87" s="55">
        <f t="shared" ca="1" si="34"/>
        <v>-60.274347676800915</v>
      </c>
      <c r="X87" s="55">
        <f t="shared" ca="1" si="35"/>
        <v>41.278788981870257</v>
      </c>
      <c r="Y87" s="55">
        <f t="shared" ca="1" si="36"/>
        <v>29.650912144706918</v>
      </c>
      <c r="Z87">
        <f t="shared" ca="1" si="30"/>
        <v>120</v>
      </c>
      <c r="AA87">
        <f t="shared" ca="1" si="37"/>
        <v>134.54949777609764</v>
      </c>
      <c r="AB87">
        <f t="shared" ca="1" si="31"/>
        <v>0</v>
      </c>
      <c r="AC87">
        <f t="shared" ca="1" si="32"/>
        <v>9.9357985999534076E-2</v>
      </c>
      <c r="AD87" s="83">
        <f ca="1"/>
        <v>45684</v>
      </c>
      <c r="AE87" s="55">
        <f t="shared" ca="1" si="41"/>
        <v>45684</v>
      </c>
      <c r="AF87" s="55">
        <f t="shared" ca="1" si="42"/>
        <v>23.948647642586678</v>
      </c>
      <c r="AG87" s="55">
        <f t="shared" ca="1" si="43"/>
        <v>19.295246328530745</v>
      </c>
      <c r="AH87" s="55">
        <f t="shared" ca="1" si="44"/>
        <v>0</v>
      </c>
      <c r="AI87" s="55">
        <f t="shared" ca="1" si="38"/>
        <v>0</v>
      </c>
      <c r="AJ87" s="55">
        <f t="shared" ca="1" si="39"/>
        <v>37.933522154627475</v>
      </c>
      <c r="AK87" s="55">
        <f t="shared" ca="1" si="40"/>
        <v>-9.411562212229434</v>
      </c>
    </row>
    <row r="88" spans="18:37">
      <c r="R88" s="83">
        <f ca="1"/>
        <v>45457</v>
      </c>
      <c r="S88" s="55">
        <f t="shared" ca="1" si="33"/>
        <v>45457</v>
      </c>
      <c r="T88" s="55">
        <f t="shared" ca="1" si="27"/>
        <v>50.207262657003582</v>
      </c>
      <c r="U88" s="55">
        <f t="shared" ca="1" si="28"/>
        <v>10.651835245461614</v>
      </c>
      <c r="V88" s="55">
        <f t="shared" ca="1" si="29"/>
        <v>0</v>
      </c>
      <c r="W88" s="55">
        <f t="shared" ca="1" si="34"/>
        <v>-62.07269744404492</v>
      </c>
      <c r="X88" s="55">
        <f t="shared" ca="1" si="35"/>
        <v>41.751249533073526</v>
      </c>
      <c r="Y88" s="55">
        <f t="shared" ca="1" si="36"/>
        <v>29.832501558526566</v>
      </c>
      <c r="Z88">
        <f t="shared" ca="1" si="30"/>
        <v>120</v>
      </c>
      <c r="AA88">
        <f t="shared" ca="1" si="37"/>
        <v>139.63949777609764</v>
      </c>
      <c r="AB88">
        <f t="shared" ca="1" si="31"/>
        <v>0</v>
      </c>
      <c r="AC88">
        <f t="shared" ca="1" si="32"/>
        <v>0.10311167289569151</v>
      </c>
      <c r="AD88" s="83">
        <f ca="1"/>
        <v>45685</v>
      </c>
      <c r="AE88" s="55">
        <f t="shared" ca="1" si="41"/>
        <v>45685</v>
      </c>
      <c r="AF88" s="55">
        <f t="shared" ca="1" si="42"/>
        <v>23.564550670431668</v>
      </c>
      <c r="AG88" s="55">
        <f t="shared" ca="1" si="43"/>
        <v>20.217260905298524</v>
      </c>
      <c r="AH88" s="55">
        <f t="shared" ca="1" si="44"/>
        <v>0</v>
      </c>
      <c r="AI88" s="55">
        <f t="shared" ca="1" si="38"/>
        <v>0</v>
      </c>
      <c r="AJ88" s="55">
        <f t="shared" ca="1" si="39"/>
        <v>38.394299245758901</v>
      </c>
      <c r="AK88" s="55">
        <f t="shared" ca="1" si="40"/>
        <v>-9.3344216987480912</v>
      </c>
    </row>
    <row r="89" spans="18:37">
      <c r="R89" s="83">
        <f ca="1"/>
        <v>45458</v>
      </c>
      <c r="S89" s="55">
        <f t="shared" ca="1" si="33"/>
        <v>45458</v>
      </c>
      <c r="T89" s="55">
        <f t="shared" ca="1" si="27"/>
        <v>49.591186976521172</v>
      </c>
      <c r="U89" s="55">
        <f t="shared" ca="1" si="28"/>
        <v>10.877020116604237</v>
      </c>
      <c r="V89" s="55">
        <f t="shared" ca="1" si="29"/>
        <v>0</v>
      </c>
      <c r="W89" s="55">
        <f t="shared" ca="1" si="34"/>
        <v>-63.081235250297063</v>
      </c>
      <c r="X89" s="55">
        <f t="shared" ca="1" si="35"/>
        <v>42.19878376158708</v>
      </c>
      <c r="Y89" s="55">
        <f t="shared" ca="1" si="36"/>
        <v>30.002614326925372</v>
      </c>
      <c r="Z89">
        <f t="shared" ca="1" si="30"/>
        <v>120</v>
      </c>
      <c r="AA89">
        <f t="shared" ca="1" si="37"/>
        <v>142.52949777609763</v>
      </c>
      <c r="AB89">
        <f t="shared" ca="1" si="31"/>
        <v>0</v>
      </c>
      <c r="AC89">
        <f t="shared" ca="1" si="32"/>
        <v>0.10662837073419798</v>
      </c>
      <c r="AD89" s="83">
        <f ca="1"/>
        <v>45686</v>
      </c>
      <c r="AE89" s="55">
        <f t="shared" ca="1" si="41"/>
        <v>45686</v>
      </c>
      <c r="AF89" s="55">
        <f t="shared" ca="1" si="42"/>
        <v>23.130493488745874</v>
      </c>
      <c r="AG89" s="55">
        <f t="shared" ca="1" si="43"/>
        <v>21.190925459314634</v>
      </c>
      <c r="AH89" s="55">
        <f t="shared" ca="1" si="44"/>
        <v>0</v>
      </c>
      <c r="AI89" s="55">
        <f t="shared" ca="1" si="38"/>
        <v>0</v>
      </c>
      <c r="AJ89" s="55">
        <f t="shared" ca="1" si="39"/>
        <v>38.857501314316359</v>
      </c>
      <c r="AK89" s="55">
        <f t="shared" ca="1" si="40"/>
        <v>-9.2580163949752361</v>
      </c>
    </row>
    <row r="90" spans="18:37">
      <c r="R90" s="83">
        <f ca="1"/>
        <v>45459</v>
      </c>
      <c r="S90" s="55">
        <f t="shared" ca="1" si="33"/>
        <v>45459</v>
      </c>
      <c r="T90" s="55">
        <f t="shared" ca="1" si="27"/>
        <v>48.811331078179371</v>
      </c>
      <c r="U90" s="55">
        <f t="shared" ca="1" si="28"/>
        <v>11.109655126271177</v>
      </c>
      <c r="V90" s="55">
        <f t="shared" ca="1" si="29"/>
        <v>0</v>
      </c>
      <c r="W90" s="55">
        <f t="shared" ca="1" si="34"/>
        <v>-64.245656670573183</v>
      </c>
      <c r="X90" s="55">
        <f t="shared" ca="1" si="35"/>
        <v>42.649333266727751</v>
      </c>
      <c r="Y90" s="55">
        <f t="shared" ca="1" si="36"/>
        <v>30.16926535338596</v>
      </c>
      <c r="Z90">
        <f t="shared" ca="1" si="30"/>
        <v>120</v>
      </c>
      <c r="AA90">
        <f t="shared" ca="1" si="37"/>
        <v>145.91949777609761</v>
      </c>
      <c r="AB90">
        <f t="shared" ca="1" si="31"/>
        <v>0</v>
      </c>
      <c r="AC90">
        <f t="shared" ca="1" si="32"/>
        <v>0.11029384046451601</v>
      </c>
      <c r="AD90" s="83">
        <f ca="1"/>
        <v>45687</v>
      </c>
      <c r="AE90" s="55">
        <f t="shared" ca="1" si="41"/>
        <v>45687</v>
      </c>
      <c r="AF90" s="55">
        <f t="shared" ca="1" si="42"/>
        <v>22.659442322520668</v>
      </c>
      <c r="AG90" s="55">
        <f t="shared" ca="1" si="43"/>
        <v>22.219038249839052</v>
      </c>
      <c r="AH90" s="55">
        <f t="shared" ca="1" si="44"/>
        <v>0</v>
      </c>
      <c r="AI90" s="55">
        <f t="shared" ca="1" si="38"/>
        <v>0</v>
      </c>
      <c r="AJ90" s="55">
        <f t="shared" ca="1" si="39"/>
        <v>39.33530989926043</v>
      </c>
      <c r="AK90" s="55">
        <f t="shared" ca="1" si="40"/>
        <v>-9.1787633556200916</v>
      </c>
    </row>
    <row r="91" spans="18:37">
      <c r="R91" s="83">
        <f ca="1"/>
        <v>45460</v>
      </c>
      <c r="S91" s="55">
        <f t="shared" ca="1" si="33"/>
        <v>45460</v>
      </c>
      <c r="T91" s="55">
        <f t="shared" ca="1" si="27"/>
        <v>47.971910078097345</v>
      </c>
      <c r="U91" s="55">
        <f t="shared" ca="1" si="28"/>
        <v>11.369277071892537</v>
      </c>
      <c r="V91" s="55">
        <f t="shared" ca="1" si="29"/>
        <v>0</v>
      </c>
      <c r="W91" s="55">
        <f t="shared" ca="1" si="34"/>
        <v>-65.46769666137746</v>
      </c>
      <c r="X91" s="55">
        <f t="shared" ca="1" si="35"/>
        <v>43.123129370672622</v>
      </c>
      <c r="Y91" s="55">
        <f t="shared" ca="1" si="36"/>
        <v>30.33771018578469</v>
      </c>
      <c r="Z91">
        <f t="shared" ca="1" si="30"/>
        <v>120</v>
      </c>
      <c r="AA91">
        <f t="shared" ca="1" si="37"/>
        <v>149.53949777609762</v>
      </c>
      <c r="AB91">
        <f t="shared" ca="1" si="31"/>
        <v>0</v>
      </c>
      <c r="AC91">
        <f t="shared" ca="1" si="32"/>
        <v>0.1144217369514853</v>
      </c>
      <c r="AD91" s="83">
        <f ca="1"/>
        <v>45688</v>
      </c>
      <c r="AE91" s="55">
        <f t="shared" ca="1" si="41"/>
        <v>45688</v>
      </c>
      <c r="AF91" s="55">
        <f t="shared" ca="1" si="42"/>
        <v>22.147880306202406</v>
      </c>
      <c r="AG91" s="55">
        <f t="shared" ca="1" si="43"/>
        <v>23.2878599691864</v>
      </c>
      <c r="AH91" s="55">
        <f t="shared" ca="1" si="44"/>
        <v>0</v>
      </c>
      <c r="AI91" s="55">
        <f t="shared" ca="1" si="38"/>
        <v>0</v>
      </c>
      <c r="AJ91" s="55">
        <f t="shared" ca="1" si="39"/>
        <v>39.81342910495021</v>
      </c>
      <c r="AK91" s="55">
        <f t="shared" ca="1" si="40"/>
        <v>-9.0996228582807852</v>
      </c>
    </row>
    <row r="92" spans="18:37">
      <c r="R92" s="83">
        <f ca="1"/>
        <v>45461</v>
      </c>
      <c r="S92" s="55">
        <f t="shared" ca="1" si="33"/>
        <v>45461</v>
      </c>
      <c r="T92" s="55">
        <f t="shared" ca="1" si="27"/>
        <v>47.360137557192822</v>
      </c>
      <c r="U92" s="55">
        <f t="shared" ca="1" si="28"/>
        <v>11.619727038430462</v>
      </c>
      <c r="V92" s="55">
        <f t="shared" ca="1" si="29"/>
        <v>0</v>
      </c>
      <c r="W92" s="55">
        <f t="shared" ca="1" si="34"/>
        <v>-66.447525285060721</v>
      </c>
      <c r="X92" s="55">
        <f t="shared" ca="1" si="35"/>
        <v>43.581491302561446</v>
      </c>
      <c r="Y92" s="55">
        <f t="shared" ca="1" si="36"/>
        <v>30.497854323212518</v>
      </c>
      <c r="Z92">
        <f t="shared" ca="1" si="30"/>
        <v>120</v>
      </c>
      <c r="AA92">
        <f t="shared" ca="1" si="37"/>
        <v>152.47949777609762</v>
      </c>
      <c r="AB92">
        <f t="shared" ca="1" si="31"/>
        <v>0</v>
      </c>
      <c r="AC92">
        <f t="shared" ca="1" si="32"/>
        <v>0.11843926863522952</v>
      </c>
      <c r="AD92" s="83">
        <f ca="1"/>
        <v>45689</v>
      </c>
      <c r="AE92" s="55">
        <f t="shared" ca="1" si="41"/>
        <v>45689</v>
      </c>
      <c r="AF92" s="55">
        <f t="shared" ca="1" si="42"/>
        <v>21.567836093964679</v>
      </c>
      <c r="AG92" s="55">
        <f t="shared" ca="1" si="43"/>
        <v>24.407533643311591</v>
      </c>
      <c r="AH92" s="55">
        <f t="shared" ca="1" si="44"/>
        <v>0</v>
      </c>
      <c r="AI92" s="55">
        <f t="shared" ca="1" si="38"/>
        <v>0</v>
      </c>
      <c r="AJ92" s="55">
        <f t="shared" ca="1" si="39"/>
        <v>40.278722344295403</v>
      </c>
      <c r="AK92" s="55">
        <f t="shared" ca="1" si="40"/>
        <v>-9.0252866357385138</v>
      </c>
    </row>
    <row r="93" spans="18:37">
      <c r="R93" s="83">
        <f ca="1"/>
        <v>45462</v>
      </c>
      <c r="S93" s="55">
        <f t="shared" ca="1" si="33"/>
        <v>45462</v>
      </c>
      <c r="T93" s="55">
        <f t="shared" ca="1" si="27"/>
        <v>46.214775690524476</v>
      </c>
      <c r="U93" s="55">
        <f t="shared" ca="1" si="28"/>
        <v>11.882467409648141</v>
      </c>
      <c r="V93" s="55">
        <f t="shared" ca="1" si="29"/>
        <v>0</v>
      </c>
      <c r="W93" s="55">
        <f t="shared" ca="1" si="34"/>
        <v>-67.953271143392357</v>
      </c>
      <c r="X93" s="55">
        <f t="shared" ca="1" si="35"/>
        <v>44.046868911182322</v>
      </c>
      <c r="Y93" s="55">
        <f t="shared" ca="1" si="36"/>
        <v>30.655601077472618</v>
      </c>
      <c r="Z93">
        <f t="shared" ca="1" si="30"/>
        <v>120</v>
      </c>
      <c r="AA93">
        <f t="shared" ca="1" si="37"/>
        <v>157.10949777609761</v>
      </c>
      <c r="AB93">
        <f t="shared" ca="1" si="31"/>
        <v>0</v>
      </c>
      <c r="AC93">
        <f t="shared" ca="1" si="32"/>
        <v>0.12268951467067314</v>
      </c>
      <c r="AD93" s="83">
        <f ca="1"/>
        <v>45690</v>
      </c>
      <c r="AE93" s="55">
        <f t="shared" ca="1" si="41"/>
        <v>45690</v>
      </c>
      <c r="AF93" s="55">
        <f t="shared" ca="1" si="42"/>
        <v>20.969262537173474</v>
      </c>
      <c r="AG93" s="55">
        <f t="shared" ca="1" si="43"/>
        <v>25.560799570272842</v>
      </c>
      <c r="AH93" s="55">
        <f t="shared" ca="1" si="44"/>
        <v>0</v>
      </c>
      <c r="AI93" s="55">
        <f t="shared" ca="1" si="38"/>
        <v>0</v>
      </c>
      <c r="AJ93" s="55">
        <f t="shared" ca="1" si="39"/>
        <v>40.755278132022063</v>
      </c>
      <c r="AK93" s="55">
        <f t="shared" ca="1" si="40"/>
        <v>-8.9471500532951325</v>
      </c>
    </row>
    <row r="94" spans="18:37">
      <c r="R94" s="83">
        <f ca="1"/>
        <v>45463</v>
      </c>
      <c r="S94" s="55">
        <f t="shared" ca="1" si="33"/>
        <v>45463</v>
      </c>
      <c r="T94" s="55">
        <f t="shared" ca="1" si="27"/>
        <v>46.27016238067737</v>
      </c>
      <c r="U94" s="55">
        <f t="shared" ca="1" si="28"/>
        <v>12.155818538498815</v>
      </c>
      <c r="V94" s="55">
        <f t="shared" ca="1" si="29"/>
        <v>0</v>
      </c>
      <c r="W94" s="55">
        <f t="shared" ca="1" si="34"/>
        <v>-68.249571553600475</v>
      </c>
      <c r="X94" s="55">
        <f t="shared" ca="1" si="35"/>
        <v>44.51710880772923</v>
      </c>
      <c r="Y94" s="55">
        <f t="shared" ca="1" si="36"/>
        <v>30.810399410137386</v>
      </c>
      <c r="Z94">
        <f t="shared" ca="1" si="30"/>
        <v>120</v>
      </c>
      <c r="AA94">
        <f t="shared" ca="1" si="37"/>
        <v>158.01949777609761</v>
      </c>
      <c r="AB94">
        <f t="shared" ca="1" si="31"/>
        <v>0</v>
      </c>
      <c r="AC94">
        <f t="shared" ca="1" si="32"/>
        <v>0.12714801375432142</v>
      </c>
      <c r="AD94" s="83">
        <f ca="1"/>
        <v>45691</v>
      </c>
      <c r="AE94" s="55">
        <f t="shared" ca="1" si="41"/>
        <v>45691</v>
      </c>
      <c r="AF94" s="55">
        <f t="shared" ca="1" si="42"/>
        <v>20.306514344699671</v>
      </c>
      <c r="AG94" s="55">
        <f t="shared" ca="1" si="43"/>
        <v>26.747329437856568</v>
      </c>
      <c r="AH94" s="55">
        <f t="shared" ca="1" si="44"/>
        <v>0</v>
      </c>
      <c r="AI94" s="55">
        <f t="shared" ca="1" si="38"/>
        <v>0</v>
      </c>
      <c r="AJ94" s="55">
        <f t="shared" ca="1" si="39"/>
        <v>41.207584494757</v>
      </c>
      <c r="AK94" s="55">
        <f t="shared" ca="1" si="40"/>
        <v>-8.8756747409201466</v>
      </c>
    </row>
    <row r="95" spans="18:37">
      <c r="R95" s="83">
        <f ca="1"/>
        <v>45464</v>
      </c>
      <c r="S95" s="55">
        <f t="shared" ca="1" si="33"/>
        <v>45464</v>
      </c>
      <c r="T95" s="55">
        <f t="shared" ca="1" si="27"/>
        <v>46.322040708115267</v>
      </c>
      <c r="U95" s="55">
        <f t="shared" ca="1" si="28"/>
        <v>12.419660764114807</v>
      </c>
      <c r="V95" s="55">
        <f t="shared" ca="1" si="29"/>
        <v>0</v>
      </c>
      <c r="W95" s="55">
        <f t="shared" ca="1" si="34"/>
        <v>-68.536425079763319</v>
      </c>
      <c r="X95" s="55">
        <f t="shared" ca="1" si="35"/>
        <v>44.972422493319421</v>
      </c>
      <c r="Y95" s="55">
        <f t="shared" ca="1" si="36"/>
        <v>30.957659803763928</v>
      </c>
      <c r="Z95">
        <f t="shared" ca="1" si="30"/>
        <v>120</v>
      </c>
      <c r="AA95">
        <f t="shared" ca="1" si="37"/>
        <v>158.8994977760976</v>
      </c>
      <c r="AB95">
        <f t="shared" ca="1" si="31"/>
        <v>0</v>
      </c>
      <c r="AC95">
        <f t="shared" ca="1" si="32"/>
        <v>0.13148484787895393</v>
      </c>
      <c r="AD95" s="83">
        <f ca="1"/>
        <v>45692</v>
      </c>
      <c r="AE95" s="55">
        <f t="shared" ca="1" si="41"/>
        <v>45692</v>
      </c>
      <c r="AF95" s="55">
        <f t="shared" ca="1" si="42"/>
        <v>19.64627912849047</v>
      </c>
      <c r="AG95" s="55">
        <f t="shared" ca="1" si="43"/>
        <v>27.94069919510412</v>
      </c>
      <c r="AH95" s="55">
        <f t="shared" ca="1" si="44"/>
        <v>0</v>
      </c>
      <c r="AI95" s="55">
        <f t="shared" ca="1" si="38"/>
        <v>0</v>
      </c>
      <c r="AJ95" s="55">
        <f t="shared" ca="1" si="39"/>
        <v>41.665496175522527</v>
      </c>
      <c r="AK95" s="55">
        <f t="shared" ca="1" si="40"/>
        <v>-8.8004518806473193</v>
      </c>
    </row>
    <row r="96" spans="18:37">
      <c r="R96" s="83">
        <f ca="1"/>
        <v>45465</v>
      </c>
      <c r="S96" s="55">
        <f t="shared" ca="1" si="33"/>
        <v>45465</v>
      </c>
      <c r="T96" s="55">
        <f t="shared" ca="1" si="27"/>
        <v>45.466068346786436</v>
      </c>
      <c r="U96" s="55">
        <f t="shared" ca="1" si="28"/>
        <v>12.676871506330469</v>
      </c>
      <c r="V96" s="55">
        <f t="shared" ca="1" si="29"/>
        <v>0</v>
      </c>
      <c r="W96" s="55">
        <f t="shared" ca="1" si="34"/>
        <v>-69.72022678523706</v>
      </c>
      <c r="X96" s="55">
        <f t="shared" ca="1" si="35"/>
        <v>45.416526360901216</v>
      </c>
      <c r="Y96" s="55">
        <f t="shared" ca="1" si="36"/>
        <v>31.098596022542701</v>
      </c>
      <c r="Z96">
        <f t="shared" ca="1" si="30"/>
        <v>120</v>
      </c>
      <c r="AA96">
        <f t="shared" ca="1" si="37"/>
        <v>162.59949777609762</v>
      </c>
      <c r="AB96">
        <f t="shared" ca="1" si="31"/>
        <v>0</v>
      </c>
      <c r="AC96">
        <f t="shared" ca="1" si="32"/>
        <v>0.13574246420159888</v>
      </c>
      <c r="AD96" s="83">
        <f ca="1"/>
        <v>45693</v>
      </c>
      <c r="AE96" s="55">
        <f t="shared" ca="1" si="41"/>
        <v>45693</v>
      </c>
      <c r="AF96" s="55">
        <f t="shared" ca="1" si="42"/>
        <v>18.922424121951551</v>
      </c>
      <c r="AG96" s="55">
        <f t="shared" ca="1" si="43"/>
        <v>29.21097840990771</v>
      </c>
      <c r="AH96" s="55">
        <f t="shared" ca="1" si="44"/>
        <v>0</v>
      </c>
      <c r="AI96" s="55">
        <f t="shared" ca="1" si="38"/>
        <v>0</v>
      </c>
      <c r="AJ96" s="55">
        <f t="shared" ca="1" si="39"/>
        <v>42.135876633313146</v>
      </c>
      <c r="AK96" s="55">
        <f t="shared" ca="1" si="40"/>
        <v>-8.7244081301732663</v>
      </c>
    </row>
    <row r="97" spans="18:37">
      <c r="R97" s="83">
        <f ca="1"/>
        <v>45466</v>
      </c>
      <c r="S97" s="55">
        <f t="shared" ca="1" si="33"/>
        <v>45466</v>
      </c>
      <c r="T97" s="55">
        <f t="shared" ca="1" si="27"/>
        <v>44.145517752859483</v>
      </c>
      <c r="U97" s="55">
        <f t="shared" ca="1" si="28"/>
        <v>12.944394234386008</v>
      </c>
      <c r="V97" s="55">
        <f t="shared" ca="1" si="29"/>
        <v>0</v>
      </c>
      <c r="W97" s="55">
        <f t="shared" ca="1" si="34"/>
        <v>-71.360478022632194</v>
      </c>
      <c r="X97" s="55">
        <f t="shared" ca="1" si="35"/>
        <v>45.865351283002042</v>
      </c>
      <c r="Y97" s="55">
        <f t="shared" ca="1" si="36"/>
        <v>31.236994471965595</v>
      </c>
      <c r="Z97">
        <f t="shared" ca="1" si="30"/>
        <v>120</v>
      </c>
      <c r="AA97">
        <f t="shared" ca="1" si="37"/>
        <v>167.87949777609762</v>
      </c>
      <c r="AB97">
        <f t="shared" ca="1" si="31"/>
        <v>0</v>
      </c>
      <c r="AC97">
        <f t="shared" ca="1" si="32"/>
        <v>0.14020010751330264</v>
      </c>
      <c r="AD97" s="83">
        <f ca="1"/>
        <v>45694</v>
      </c>
      <c r="AE97" s="55">
        <f t="shared" ca="1" si="41"/>
        <v>45694</v>
      </c>
      <c r="AF97" s="55">
        <f t="shared" ca="1" si="42"/>
        <v>18.122410578573355</v>
      </c>
      <c r="AG97" s="55">
        <f t="shared" ca="1" si="43"/>
        <v>30.521425077511267</v>
      </c>
      <c r="AH97" s="55">
        <f t="shared" ca="1" si="44"/>
        <v>0</v>
      </c>
      <c r="AI97" s="55">
        <f t="shared" ca="1" si="38"/>
        <v>0</v>
      </c>
      <c r="AJ97" s="55">
        <f t="shared" ca="1" si="39"/>
        <v>42.578315336909817</v>
      </c>
      <c r="AK97" s="55">
        <f t="shared" ca="1" si="40"/>
        <v>-8.656413709544573</v>
      </c>
    </row>
    <row r="98" spans="18:37">
      <c r="R98" s="83">
        <f ca="1"/>
        <v>45467</v>
      </c>
      <c r="S98" s="55">
        <f t="shared" ca="1" si="33"/>
        <v>45467</v>
      </c>
      <c r="T98" s="55">
        <f t="shared" ca="1" si="27"/>
        <v>42.248036699785246</v>
      </c>
      <c r="U98" s="55">
        <f t="shared" ca="1" si="28"/>
        <v>13.225542981175868</v>
      </c>
      <c r="V98" s="55">
        <f t="shared" ca="1" si="29"/>
        <v>0</v>
      </c>
      <c r="W98" s="55">
        <f t="shared" ca="1" si="34"/>
        <v>-73.569424445190961</v>
      </c>
      <c r="X98" s="55">
        <f t="shared" ca="1" si="35"/>
        <v>46.321534586129133</v>
      </c>
      <c r="Y98" s="55">
        <f t="shared" ca="1" si="36"/>
        <v>31.373425285112905</v>
      </c>
      <c r="Z98">
        <f t="shared" ca="1" si="30"/>
        <v>120</v>
      </c>
      <c r="AA98">
        <f t="shared" ca="1" si="37"/>
        <v>175.30949777609763</v>
      </c>
      <c r="AB98">
        <f t="shared" ca="1" si="31"/>
        <v>0</v>
      </c>
      <c r="AC98">
        <f t="shared" ca="1" si="32"/>
        <v>0.14491497063822259</v>
      </c>
      <c r="AD98" s="83">
        <f ca="1"/>
        <v>45695</v>
      </c>
      <c r="AE98" s="55">
        <f t="shared" ca="1" si="41"/>
        <v>45695</v>
      </c>
      <c r="AF98" s="55">
        <f t="shared" ca="1" si="42"/>
        <v>17.24897798174495</v>
      </c>
      <c r="AG98" s="55">
        <f t="shared" ca="1" si="43"/>
        <v>31.8888272098316</v>
      </c>
      <c r="AH98" s="55">
        <f t="shared" ca="1" si="44"/>
        <v>0</v>
      </c>
      <c r="AI98" s="55">
        <f t="shared" ca="1" si="38"/>
        <v>0</v>
      </c>
      <c r="AJ98" s="55">
        <f t="shared" ca="1" si="39"/>
        <v>43.008946816278161</v>
      </c>
      <c r="AK98" s="55">
        <f t="shared" ca="1" si="40"/>
        <v>-8.5930756534209891</v>
      </c>
    </row>
    <row r="99" spans="18:37">
      <c r="R99" s="83">
        <f ca="1"/>
        <v>45468</v>
      </c>
      <c r="S99" s="55">
        <f t="shared" ca="1" si="33"/>
        <v>45468</v>
      </c>
      <c r="T99" s="55">
        <f t="shared" ca="1" si="27"/>
        <v>41.825150850983448</v>
      </c>
      <c r="U99" s="55">
        <f t="shared" ca="1" si="28"/>
        <v>13.494219943269753</v>
      </c>
      <c r="V99" s="55">
        <f t="shared" ca="1" si="29"/>
        <v>0</v>
      </c>
      <c r="W99" s="55">
        <f t="shared" ca="1" si="34"/>
        <v>-74.293464278811314</v>
      </c>
      <c r="X99" s="55">
        <f t="shared" ca="1" si="35"/>
        <v>46.761799251788069</v>
      </c>
      <c r="Y99" s="55">
        <f t="shared" ca="1" si="36"/>
        <v>31.502991566366418</v>
      </c>
      <c r="Z99">
        <f t="shared" ca="1" si="30"/>
        <v>120</v>
      </c>
      <c r="AA99">
        <f t="shared" ca="1" si="37"/>
        <v>177.76949777609764</v>
      </c>
      <c r="AB99">
        <f t="shared" ca="1" si="31"/>
        <v>0</v>
      </c>
      <c r="AC99">
        <f t="shared" ca="1" si="32"/>
        <v>0.14944761464742648</v>
      </c>
      <c r="AD99" s="83">
        <f ca="1"/>
        <v>45696</v>
      </c>
      <c r="AE99" s="55">
        <f t="shared" ca="1" si="41"/>
        <v>45696</v>
      </c>
      <c r="AF99" s="55">
        <f t="shared" ca="1" si="42"/>
        <v>16.324812307472147</v>
      </c>
      <c r="AG99" s="55">
        <f t="shared" ca="1" si="43"/>
        <v>33.305217446637201</v>
      </c>
      <c r="AH99" s="55">
        <f t="shared" ca="1" si="44"/>
        <v>0</v>
      </c>
      <c r="AI99" s="55">
        <f t="shared" ca="1" si="38"/>
        <v>0</v>
      </c>
      <c r="AJ99" s="55">
        <f t="shared" ca="1" si="39"/>
        <v>43.438594992664186</v>
      </c>
      <c r="AK99" s="55">
        <f t="shared" ca="1" si="40"/>
        <v>-8.5304992672742159</v>
      </c>
    </row>
    <row r="100" spans="18:37">
      <c r="R100" s="83">
        <f ca="1"/>
        <v>45469</v>
      </c>
      <c r="S100" s="55">
        <f t="shared" ca="1" si="33"/>
        <v>45469</v>
      </c>
      <c r="T100" s="55">
        <f t="shared" ca="1" si="27"/>
        <v>41.724470127062411</v>
      </c>
      <c r="U100" s="55">
        <f t="shared" ca="1" si="28"/>
        <v>13.773132918359519</v>
      </c>
      <c r="V100" s="55">
        <f t="shared" ca="1" si="29"/>
        <v>0</v>
      </c>
      <c r="W100" s="55">
        <f t="shared" ca="1" si="34"/>
        <v>-74.686910578602053</v>
      </c>
      <c r="X100" s="55">
        <f t="shared" ca="1" si="35"/>
        <v>47.206331001083555</v>
      </c>
      <c r="Y100" s="55">
        <f t="shared" ca="1" si="36"/>
        <v>31.630138368030412</v>
      </c>
      <c r="Z100">
        <f t="shared" ca="1" si="30"/>
        <v>120</v>
      </c>
      <c r="AA100">
        <f t="shared" ca="1" si="37"/>
        <v>179.10949777609764</v>
      </c>
      <c r="AB100">
        <f t="shared" ca="1" si="31"/>
        <v>0</v>
      </c>
      <c r="AC100">
        <f t="shared" ca="1" si="32"/>
        <v>0.15417876856878157</v>
      </c>
      <c r="AD100" s="83">
        <f ca="1"/>
        <v>45697</v>
      </c>
      <c r="AE100" s="55">
        <f t="shared" ca="1" si="41"/>
        <v>45697</v>
      </c>
      <c r="AF100" s="55">
        <f t="shared" ca="1" si="42"/>
        <v>15.330217592909509</v>
      </c>
      <c r="AG100" s="55">
        <f t="shared" ca="1" si="43"/>
        <v>34.783031193398166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43.86230454331357</v>
      </c>
      <c r="AK100" s="55">
        <f t="shared" ca="1" si="40"/>
        <v>-8.4709897857252727</v>
      </c>
    </row>
    <row r="101" spans="18:37">
      <c r="R101" s="83">
        <f ca="1"/>
        <v>45470</v>
      </c>
      <c r="S101" s="55">
        <f t="shared" ca="1" si="33"/>
        <v>45470</v>
      </c>
      <c r="T101" s="55">
        <f t="shared" ca="1" si="27"/>
        <v>40.76079766145196</v>
      </c>
      <c r="U101" s="55">
        <f t="shared" ca="1" si="28"/>
        <v>14.051367194279958</v>
      </c>
      <c r="V101" s="55">
        <f t="shared" ca="1" si="29"/>
        <v>0</v>
      </c>
      <c r="W101" s="55">
        <f t="shared" ca="1" si="34"/>
        <v>-75.934643884794269</v>
      </c>
      <c r="X101" s="55">
        <f t="shared" ca="1" si="35"/>
        <v>47.645745377169028</v>
      </c>
      <c r="Y101" s="55">
        <f t="shared" ca="1" si="36"/>
        <v>31.753019108447152</v>
      </c>
      <c r="Z101">
        <f t="shared" ca="1" si="30"/>
        <v>120</v>
      </c>
      <c r="AA101">
        <f t="shared" ca="1" si="37"/>
        <v>183.45949777609763</v>
      </c>
      <c r="AB101">
        <f t="shared" ca="1" si="31"/>
        <v>0</v>
      </c>
      <c r="AC101">
        <f t="shared" ca="1" si="32"/>
        <v>0.15892262082518185</v>
      </c>
      <c r="AD101" s="83">
        <f ca="1"/>
        <v>45698</v>
      </c>
      <c r="AE101" s="55">
        <f t="shared" ca="1" si="41"/>
        <v>45698</v>
      </c>
      <c r="AF101" s="55">
        <f t="shared" ca="1" si="42"/>
        <v>14.258488132809694</v>
      </c>
      <c r="AG101" s="55">
        <f t="shared" ca="1" si="43"/>
        <v>36.343560920764659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44.292233461139411</v>
      </c>
      <c r="AK101" s="55">
        <f t="shared" ca="1" si="40"/>
        <v>-8.4121184362844375</v>
      </c>
    </row>
    <row r="102" spans="18:37">
      <c r="R102" s="83">
        <f ca="1"/>
        <v>45471</v>
      </c>
      <c r="S102" s="55">
        <f t="shared" ca="1" si="33"/>
        <v>45471</v>
      </c>
      <c r="T102" s="55">
        <f t="shared" ca="1" si="27"/>
        <v>39.920969437305303</v>
      </c>
      <c r="U102" s="55">
        <f t="shared" ca="1" si="28"/>
        <v>14.340177829695367</v>
      </c>
      <c r="V102" s="55">
        <f t="shared" ca="1" si="29"/>
        <v>0</v>
      </c>
      <c r="W102" s="55">
        <f t="shared" ca="1" si="34"/>
        <v>-77.049917486518694</v>
      </c>
      <c r="X102" s="55">
        <f t="shared" ca="1" si="35"/>
        <v>48.089421623889081</v>
      </c>
      <c r="Y102" s="55">
        <f t="shared" ca="1" si="36"/>
        <v>31.873598874720265</v>
      </c>
      <c r="Z102">
        <f t="shared" ca="1" si="30"/>
        <v>120</v>
      </c>
      <c r="AA102">
        <f t="shared" ca="1" si="37"/>
        <v>187.42949777609763</v>
      </c>
      <c r="AB102">
        <f t="shared" ca="1" si="31"/>
        <v>0</v>
      </c>
      <c r="AC102">
        <f t="shared" ca="1" si="32"/>
        <v>0.16387025421830079</v>
      </c>
      <c r="AD102" s="83">
        <f ca="1"/>
        <v>45699</v>
      </c>
      <c r="AE102" s="55">
        <f t="shared" ca="1" si="41"/>
        <v>45699</v>
      </c>
      <c r="AF102" s="55">
        <f t="shared" ca="1" si="42"/>
        <v>13.125935242749957</v>
      </c>
      <c r="AG102" s="55">
        <f t="shared" ca="1" si="43"/>
        <v>37.975657345720997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44.731594868623546</v>
      </c>
      <c r="AK102" s="55">
        <f t="shared" ca="1" si="40"/>
        <v>-8.35193630887197</v>
      </c>
    </row>
    <row r="103" spans="18:37">
      <c r="R103" s="83">
        <f ca="1"/>
        <v>45472</v>
      </c>
      <c r="S103" s="55">
        <f t="shared" ca="1" si="33"/>
        <v>45472</v>
      </c>
      <c r="T103" s="55">
        <f t="shared" ca="1" si="27"/>
        <v>38.51779322826939</v>
      </c>
      <c r="U103" s="55">
        <f t="shared" ca="1" si="28"/>
        <v>14.639428197136636</v>
      </c>
      <c r="V103" s="55">
        <f t="shared" ca="1" si="29"/>
        <v>0</v>
      </c>
      <c r="W103" s="55">
        <f t="shared" ca="1" si="34"/>
        <v>-78.719592493717457</v>
      </c>
      <c r="X103" s="55">
        <f t="shared" ca="1" si="35"/>
        <v>48.536955852402635</v>
      </c>
      <c r="Y103" s="55">
        <f t="shared" ca="1" si="36"/>
        <v>31.991813811810822</v>
      </c>
      <c r="Z103">
        <f t="shared" ca="1" si="30"/>
        <v>120</v>
      </c>
      <c r="AA103">
        <f t="shared" ca="1" si="37"/>
        <v>193.58949777609763</v>
      </c>
      <c r="AB103">
        <f t="shared" ca="1" si="31"/>
        <v>0</v>
      </c>
      <c r="AC103">
        <f t="shared" ca="1" si="32"/>
        <v>0.16901965132386748</v>
      </c>
      <c r="AD103" s="83">
        <f ca="1"/>
        <v>45700</v>
      </c>
      <c r="AE103" s="55">
        <f t="shared" ca="1" si="41"/>
        <v>45700</v>
      </c>
      <c r="AF103" s="55">
        <f t="shared" ca="1" si="42"/>
        <v>11.946955575617963</v>
      </c>
      <c r="AG103" s="55">
        <f t="shared" ca="1" si="43"/>
        <v>39.659156304243339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45.174968554589476</v>
      </c>
      <c r="AK103" s="55">
        <f t="shared" ca="1" si="40"/>
        <v>-8.2907907034475485</v>
      </c>
    </row>
    <row r="104" spans="18:37">
      <c r="R104" s="83">
        <f ca="1"/>
        <v>45473</v>
      </c>
      <c r="S104" s="55">
        <f t="shared" ca="1" si="33"/>
        <v>45473</v>
      </c>
      <c r="T104" s="55">
        <f t="shared" ca="1" si="27"/>
        <v>38.215993046544099</v>
      </c>
      <c r="U104" s="55">
        <f t="shared" ca="1" si="28"/>
        <v>14.911422403826544</v>
      </c>
      <c r="V104" s="55">
        <f t="shared" ca="1" si="29"/>
        <v>0</v>
      </c>
      <c r="W104" s="55">
        <f t="shared" ca="1" si="34"/>
        <v>-79.281650672931633</v>
      </c>
      <c r="X104" s="55">
        <f t="shared" ca="1" si="35"/>
        <v>48.95875425395414</v>
      </c>
      <c r="Y104" s="55">
        <f t="shared" ca="1" si="36"/>
        <v>32.102267614438112</v>
      </c>
      <c r="Z104">
        <f t="shared" ca="1" si="30"/>
        <v>120</v>
      </c>
      <c r="AA104">
        <f t="shared" ca="1" si="37"/>
        <v>195.67949777609763</v>
      </c>
      <c r="AB104">
        <f t="shared" ca="1" si="31"/>
        <v>0</v>
      </c>
      <c r="AC104">
        <f t="shared" ca="1" si="32"/>
        <v>0.17371831234579307</v>
      </c>
      <c r="AD104" s="83">
        <f ca="1"/>
        <v>45701</v>
      </c>
      <c r="AE104" s="55">
        <f t="shared" ca="1" si="41"/>
        <v>45701</v>
      </c>
      <c r="AF104" s="55">
        <f t="shared" ca="1" si="42"/>
        <v>10.701865254583614</v>
      </c>
      <c r="AG104" s="55">
        <f t="shared" ca="1" si="43"/>
        <v>41.382409368166222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45.597761561855783</v>
      </c>
      <c r="AK104" s="55">
        <f t="shared" ca="1" si="40"/>
        <v>-8.2354209678253234</v>
      </c>
    </row>
    <row r="105" spans="18:37">
      <c r="R105" s="83">
        <f ca="1"/>
        <v>45474</v>
      </c>
      <c r="S105" s="55">
        <f t="shared" ca="1" si="33"/>
        <v>45474</v>
      </c>
      <c r="T105" s="55">
        <f t="shared" ca="1" si="27"/>
        <v>61.221708469677175</v>
      </c>
      <c r="U105" s="55">
        <f t="shared" ca="1" si="28"/>
        <v>15.161687908477383</v>
      </c>
      <c r="V105" s="55">
        <f t="shared" ca="1" si="29"/>
        <v>24</v>
      </c>
      <c r="W105" s="55">
        <f t="shared" ca="1" si="34"/>
        <v>-80.532126326899942</v>
      </c>
      <c r="X105" s="55">
        <f t="shared" ca="1" si="35"/>
        <v>49.360978586049214</v>
      </c>
      <c r="Y105" s="55">
        <f t="shared" ca="1" si="36"/>
        <v>32.206499864095257</v>
      </c>
      <c r="Z105">
        <f t="shared" ca="1" si="30"/>
        <v>120</v>
      </c>
      <c r="AA105">
        <f t="shared" ca="1" si="37"/>
        <v>198.61949777609763</v>
      </c>
      <c r="AB105">
        <f t="shared" ca="1" si="31"/>
        <v>0</v>
      </c>
      <c r="AC105">
        <f t="shared" ca="1" si="32"/>
        <v>0.17805545077762031</v>
      </c>
      <c r="AD105" s="83">
        <f ca="1"/>
        <v>45702</v>
      </c>
      <c r="AE105" s="55">
        <f t="shared" ca="1" si="41"/>
        <v>45702</v>
      </c>
      <c r="AF105" s="55">
        <f t="shared" ca="1" si="42"/>
        <v>9.397695747360638</v>
      </c>
      <c r="AG105" s="55">
        <f t="shared" ca="1" si="43"/>
        <v>43.164469791102519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46.020851627021003</v>
      </c>
      <c r="AK105" s="55">
        <f t="shared" ca="1" si="40"/>
        <v>-8.1806201172772219</v>
      </c>
    </row>
    <row r="106" spans="18:37">
      <c r="R106" s="83">
        <f ca="1"/>
        <v>45475</v>
      </c>
      <c r="S106" s="55">
        <f t="shared" ca="1" si="33"/>
        <v>45475</v>
      </c>
      <c r="T106" s="55">
        <f t="shared" ca="1" si="27"/>
        <v>60.61715082817669</v>
      </c>
      <c r="U106" s="55">
        <f t="shared" ca="1" si="28"/>
        <v>15.423219716535739</v>
      </c>
      <c r="V106" s="55">
        <f t="shared" ca="1" si="29"/>
        <v>0</v>
      </c>
      <c r="W106" s="55">
        <f t="shared" ca="1" si="34"/>
        <v>-81.385256597815015</v>
      </c>
      <c r="X106" s="55">
        <f t="shared" ca="1" si="35"/>
        <v>49.76844566226913</v>
      </c>
      <c r="Y106" s="55">
        <f t="shared" ca="1" si="36"/>
        <v>32.309137225348294</v>
      </c>
      <c r="Z106">
        <f t="shared" ca="1" si="30"/>
        <v>120</v>
      </c>
      <c r="AA106">
        <f t="shared" ca="1" si="37"/>
        <v>200.61949777609763</v>
      </c>
      <c r="AB106">
        <f t="shared" ca="1" si="31"/>
        <v>0</v>
      </c>
      <c r="AC106">
        <f t="shared" ca="1" si="32"/>
        <v>0.18260053697251247</v>
      </c>
      <c r="AD106" s="83">
        <f ca="1"/>
        <v>45703</v>
      </c>
      <c r="AE106" s="55">
        <f t="shared" ca="1" si="41"/>
        <v>45703</v>
      </c>
      <c r="AF106" s="55">
        <f t="shared" ca="1" si="42"/>
        <v>8.0610803647180607</v>
      </c>
      <c r="AG106" s="55">
        <f t="shared" ca="1" si="43"/>
        <v>44.9820075825819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46.445765355098764</v>
      </c>
      <c r="AK106" s="55">
        <f t="shared" ca="1" si="40"/>
        <v>-8.1246114365181796</v>
      </c>
    </row>
    <row r="107" spans="18:37">
      <c r="R107" s="83">
        <f ca="1"/>
        <v>45476</v>
      </c>
      <c r="S107" s="55">
        <f t="shared" ca="1" si="33"/>
        <v>45476</v>
      </c>
      <c r="T107" s="55">
        <f t="shared" ca="1" si="27"/>
        <v>59.200765921837224</v>
      </c>
      <c r="U107" s="55">
        <f t="shared" ca="1" si="28"/>
        <v>15.716404384679816</v>
      </c>
      <c r="V107" s="55">
        <f t="shared" ca="1" si="29"/>
        <v>0</v>
      </c>
      <c r="W107" s="55">
        <f t="shared" ca="1" si="34"/>
        <v>-83.039150587994342</v>
      </c>
      <c r="X107" s="55">
        <f t="shared" ca="1" si="35"/>
        <v>50.195647725801706</v>
      </c>
      <c r="Y107" s="55">
        <f t="shared" ca="1" si="36"/>
        <v>32.412628913799658</v>
      </c>
      <c r="Z107">
        <f t="shared" ca="1" si="30"/>
        <v>120</v>
      </c>
      <c r="AA107">
        <f t="shared" ca="1" si="37"/>
        <v>204.58949777609763</v>
      </c>
      <c r="AB107">
        <f t="shared" ca="1" si="31"/>
        <v>0</v>
      </c>
      <c r="AC107">
        <f t="shared" ca="1" si="32"/>
        <v>0.1877093487412588</v>
      </c>
      <c r="AD107" s="83">
        <f ca="1"/>
        <v>45704</v>
      </c>
      <c r="AE107" s="55">
        <f t="shared" ca="1" si="41"/>
        <v>45704</v>
      </c>
      <c r="AF107" s="55">
        <f t="shared" ca="1" si="42"/>
        <v>6.6717008549813244</v>
      </c>
      <c r="AG107" s="55">
        <f t="shared" ca="1" si="43"/>
        <v>46.845977384041923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46.865844018761663</v>
      </c>
      <c r="AK107" s="55">
        <f t="shared" ca="1" si="40"/>
        <v>-8.0700998084577904</v>
      </c>
    </row>
    <row r="108" spans="18:37">
      <c r="R108" s="83">
        <f ca="1"/>
        <v>45477</v>
      </c>
      <c r="S108" s="55">
        <f t="shared" ca="1" si="33"/>
        <v>45477</v>
      </c>
      <c r="T108" s="55">
        <f t="shared" ca="1" si="27"/>
        <v>58.797117422832507</v>
      </c>
      <c r="U108" s="55">
        <f t="shared" ca="1" si="28"/>
        <v>16.043940857286078</v>
      </c>
      <c r="V108" s="55">
        <f t="shared" ca="1" si="29"/>
        <v>0</v>
      </c>
      <c r="W108" s="55">
        <f t="shared" ca="1" si="34"/>
        <v>-83.66806197731708</v>
      </c>
      <c r="X108" s="55">
        <f t="shared" ca="1" si="35"/>
        <v>50.644042155468739</v>
      </c>
      <c r="Y108" s="55">
        <f t="shared" ca="1" si="36"/>
        <v>32.517033847056915</v>
      </c>
      <c r="Z108">
        <f t="shared" ca="1" si="30"/>
        <v>120</v>
      </c>
      <c r="AA108">
        <f t="shared" ca="1" si="37"/>
        <v>206.10949777609764</v>
      </c>
      <c r="AB108">
        <f t="shared" ca="1" si="31"/>
        <v>0</v>
      </c>
      <c r="AC108">
        <f t="shared" ca="1" si="32"/>
        <v>0.19343140344549814</v>
      </c>
      <c r="AD108" s="83">
        <f ca="1"/>
        <v>45705</v>
      </c>
      <c r="AE108" s="55">
        <f t="shared" ca="1" si="41"/>
        <v>45705</v>
      </c>
      <c r="AF108" s="55">
        <f t="shared" ca="1" si="42"/>
        <v>5.2570113354155001</v>
      </c>
      <c r="AG108" s="55">
        <f t="shared" ca="1" si="43"/>
        <v>48.767689998617712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47.311876622793363</v>
      </c>
      <c r="AK108" s="55">
        <f t="shared" ca="1" si="40"/>
        <v>-8.0091093174795276</v>
      </c>
    </row>
    <row r="109" spans="18:37">
      <c r="R109" s="83">
        <f ca="1"/>
        <v>45478</v>
      </c>
      <c r="S109" s="55">
        <f t="shared" ca="1" si="33"/>
        <v>45478</v>
      </c>
      <c r="T109" s="55">
        <f t="shared" ca="1" si="27"/>
        <v>57.741883020327748</v>
      </c>
      <c r="U109" s="55">
        <f t="shared" ca="1" si="28"/>
        <v>16.374945545920514</v>
      </c>
      <c r="V109" s="55">
        <f t="shared" ca="1" si="29"/>
        <v>0</v>
      </c>
      <c r="W109" s="55">
        <f t="shared" ca="1" si="34"/>
        <v>-84.939880415546298</v>
      </c>
      <c r="X109" s="55">
        <f t="shared" ca="1" si="35"/>
        <v>51.090288040941111</v>
      </c>
      <c r="Y109" s="55">
        <f t="shared" ca="1" si="36"/>
        <v>32.618376685943439</v>
      </c>
      <c r="Z109">
        <f t="shared" ca="1" si="30"/>
        <v>120</v>
      </c>
      <c r="AA109">
        <f t="shared" ca="1" si="37"/>
        <v>209.23949777609764</v>
      </c>
      <c r="AB109">
        <f t="shared" ca="1" si="31"/>
        <v>0</v>
      </c>
      <c r="AC109">
        <f t="shared" ca="1" si="32"/>
        <v>0.1992270628834463</v>
      </c>
      <c r="AD109" s="83">
        <f ca="1"/>
        <v>45706</v>
      </c>
      <c r="AE109" s="55">
        <f t="shared" ca="1" si="41"/>
        <v>45706</v>
      </c>
      <c r="AF109" s="55">
        <f t="shared" ca="1" si="42"/>
        <v>3.7656246002882234</v>
      </c>
      <c r="AG109" s="55">
        <f t="shared" ca="1" si="43"/>
        <v>50.759697023712043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47.753926939375816</v>
      </c>
      <c r="AK109" s="55">
        <f t="shared" ca="1" si="40"/>
        <v>-7.9505393440949277</v>
      </c>
    </row>
    <row r="110" spans="18:37">
      <c r="R110" s="83">
        <f ca="1"/>
        <v>45479</v>
      </c>
      <c r="S110" s="55">
        <f t="shared" ca="1" si="33"/>
        <v>45479</v>
      </c>
      <c r="T110" s="55">
        <f t="shared" ca="1" si="27"/>
        <v>57.360735550009295</v>
      </c>
      <c r="U110" s="55">
        <f t="shared" ca="1" si="28"/>
        <v>16.708750775812494</v>
      </c>
      <c r="V110" s="55">
        <f t="shared" ca="1" si="29"/>
        <v>0</v>
      </c>
      <c r="W110" s="55">
        <f t="shared" ca="1" si="34"/>
        <v>-85.529208861530478</v>
      </c>
      <c r="X110" s="55">
        <f t="shared" ca="1" si="35"/>
        <v>51.533964287661163</v>
      </c>
      <c r="Y110" s="55">
        <f t="shared" ca="1" si="36"/>
        <v>32.716686644781085</v>
      </c>
      <c r="Z110">
        <f t="shared" ca="1" si="30"/>
        <v>120</v>
      </c>
      <c r="AA110">
        <f t="shared" ca="1" si="37"/>
        <v>210.69949777609764</v>
      </c>
      <c r="AB110">
        <f t="shared" ca="1" si="31"/>
        <v>0</v>
      </c>
      <c r="AC110">
        <f t="shared" ca="1" si="32"/>
        <v>0.2050822284088325</v>
      </c>
      <c r="AD110" s="83">
        <f ca="1"/>
        <v>45707</v>
      </c>
      <c r="AE110" s="55">
        <f t="shared" ca="1" si="41"/>
        <v>45707</v>
      </c>
      <c r="AF110" s="55">
        <f t="shared" ca="1" si="42"/>
        <v>2.2087242771642321</v>
      </c>
      <c r="AG110" s="55">
        <f t="shared" ca="1" si="43"/>
        <v>52.807980538437931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48.189259165524454</v>
      </c>
      <c r="AK110" s="55">
        <f t="shared" ca="1" si="40"/>
        <v>-7.8944883786416682</v>
      </c>
    </row>
    <row r="111" spans="18:37">
      <c r="R111" s="83">
        <f ca="1"/>
        <v>45480</v>
      </c>
      <c r="S111" s="55">
        <f t="shared" ca="1" si="33"/>
        <v>45480</v>
      </c>
      <c r="T111" s="55">
        <f t="shared" ca="1" si="27"/>
        <v>56.588188283033759</v>
      </c>
      <c r="U111" s="55">
        <f t="shared" ca="1" si="28"/>
        <v>17.030467341386256</v>
      </c>
      <c r="V111" s="55">
        <f t="shared" ca="1" si="29"/>
        <v>0</v>
      </c>
      <c r="W111" s="55">
        <f t="shared" ca="1" si="34"/>
        <v>-86.504831144706486</v>
      </c>
      <c r="X111" s="55">
        <f t="shared" ca="1" si="35"/>
        <v>51.964933003293297</v>
      </c>
      <c r="Y111" s="55">
        <f t="shared" ca="1" si="36"/>
        <v>32.81050951092319</v>
      </c>
      <c r="Z111">
        <f t="shared" ca="1" si="30"/>
        <v>120</v>
      </c>
      <c r="AA111">
        <f t="shared" ca="1" si="37"/>
        <v>213.14949777609763</v>
      </c>
      <c r="AB111">
        <f t="shared" ca="1" si="31"/>
        <v>0</v>
      </c>
      <c r="AC111">
        <f t="shared" ca="1" si="32"/>
        <v>0.21073275556477916</v>
      </c>
      <c r="AD111" s="83">
        <f ca="1"/>
        <v>45708</v>
      </c>
      <c r="AE111" s="55">
        <f t="shared" ca="1" si="41"/>
        <v>45708</v>
      </c>
      <c r="AF111" s="55">
        <f t="shared" ca="1" si="42"/>
        <v>0.61200004568666255</v>
      </c>
      <c r="AG111" s="55">
        <f t="shared" ca="1" si="43"/>
        <v>54.921983145084035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48.64600811134585</v>
      </c>
      <c r="AK111" s="55">
        <f t="shared" ca="1" si="40"/>
        <v>-7.8339589492945265</v>
      </c>
    </row>
    <row r="112" spans="18:37">
      <c r="R112" s="83">
        <f ca="1"/>
        <v>45481</v>
      </c>
      <c r="S112" s="55">
        <f t="shared" ca="1" si="33"/>
        <v>45481</v>
      </c>
      <c r="T112" s="55">
        <f t="shared" ca="1" si="27"/>
        <v>55.549577256448011</v>
      </c>
      <c r="U112" s="55">
        <f t="shared" ca="1" si="28"/>
        <v>17.367411153316098</v>
      </c>
      <c r="V112" s="55">
        <f t="shared" ca="1" si="29"/>
        <v>0</v>
      </c>
      <c r="W112" s="55">
        <f t="shared" ca="1" si="34"/>
        <v>-87.736180107224413</v>
      </c>
      <c r="X112" s="55">
        <f t="shared" ca="1" si="35"/>
        <v>52.402226211846013</v>
      </c>
      <c r="Y112" s="55">
        <f t="shared" ca="1" si="36"/>
        <v>32.902898050232494</v>
      </c>
      <c r="Z112">
        <f t="shared" ca="1" si="30"/>
        <v>120</v>
      </c>
      <c r="AA112">
        <f t="shared" ca="1" si="37"/>
        <v>216.29949777609764</v>
      </c>
      <c r="AB112">
        <f t="shared" ca="1" si="31"/>
        <v>0</v>
      </c>
      <c r="AC112">
        <f t="shared" ca="1" si="32"/>
        <v>0.21665591213579199</v>
      </c>
      <c r="AD112" s="83">
        <f ca="1"/>
        <v>45709</v>
      </c>
      <c r="AE112" s="55">
        <f t="shared" ca="1" si="41"/>
        <v>45709</v>
      </c>
      <c r="AF112" s="55">
        <f t="shared" ca="1" si="42"/>
        <v>-1.0257766861401858</v>
      </c>
      <c r="AG112" s="55">
        <f t="shared" ca="1" si="43"/>
        <v>57.083835043183633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49.108656178956558</v>
      </c>
      <c r="AK112" s="55">
        <f t="shared" ca="1" si="40"/>
        <v>-7.7725318506324825</v>
      </c>
    </row>
    <row r="113" spans="18:37">
      <c r="R113" s="83">
        <f ca="1"/>
        <v>45482</v>
      </c>
      <c r="S113" s="55">
        <f t="shared" ca="1" si="33"/>
        <v>45482</v>
      </c>
      <c r="T113" s="55">
        <f t="shared" ca="1" si="27"/>
        <v>55.412833888820707</v>
      </c>
      <c r="U113" s="55">
        <f t="shared" ca="1" si="28"/>
        <v>17.66911652412594</v>
      </c>
      <c r="V113" s="55">
        <f t="shared" ca="1" si="29"/>
        <v>0</v>
      </c>
      <c r="W113" s="55">
        <f t="shared" ca="1" si="34"/>
        <v>-88.067630946966801</v>
      </c>
      <c r="X113" s="55">
        <f t="shared" ca="1" si="35"/>
        <v>52.812534295488959</v>
      </c>
      <c r="Y113" s="55">
        <f t="shared" ca="1" si="36"/>
        <v>32.989002809514474</v>
      </c>
      <c r="Z113">
        <f t="shared" ca="1" si="30"/>
        <v>120</v>
      </c>
      <c r="AA113">
        <f t="shared" ca="1" si="37"/>
        <v>217.14949777609763</v>
      </c>
      <c r="AB113">
        <f t="shared" ca="1" si="31"/>
        <v>0</v>
      </c>
      <c r="AC113">
        <f t="shared" ca="1" si="32"/>
        <v>0.22196198726051627</v>
      </c>
      <c r="AD113" s="83">
        <f ca="1"/>
        <v>45710</v>
      </c>
      <c r="AE113" s="55">
        <f t="shared" ca="1" si="41"/>
        <v>45710</v>
      </c>
      <c r="AF113" s="55">
        <f t="shared" ca="1" si="42"/>
        <v>-2.7129637095642849</v>
      </c>
      <c r="AG113" s="55">
        <f t="shared" ca="1" si="43"/>
        <v>59.27598709377672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49.555955054350136</v>
      </c>
      <c r="AK113" s="55">
        <f t="shared" ca="1" si="40"/>
        <v>-7.714865698857075</v>
      </c>
    </row>
    <row r="114" spans="18:37">
      <c r="R114" s="83">
        <f ca="1"/>
        <v>45483</v>
      </c>
      <c r="S114" s="55">
        <f t="shared" ca="1" si="33"/>
        <v>45483</v>
      </c>
      <c r="T114" s="55">
        <f t="shared" ca="1" si="27"/>
        <v>54.566703889132569</v>
      </c>
      <c r="U114" s="55">
        <f t="shared" ca="1" si="28"/>
        <v>17.952419240982771</v>
      </c>
      <c r="V114" s="55">
        <f t="shared" ca="1" si="29"/>
        <v>0</v>
      </c>
      <c r="W114" s="55">
        <f t="shared" ca="1" si="34"/>
        <v>-89.108238200022896</v>
      </c>
      <c r="X114" s="55">
        <f t="shared" ca="1" si="35"/>
        <v>53.208365521711642</v>
      </c>
      <c r="Y114" s="55">
        <f t="shared" ca="1" si="36"/>
        <v>33.070951553516572</v>
      </c>
      <c r="Z114">
        <f t="shared" ca="1" si="30"/>
        <v>120</v>
      </c>
      <c r="AA114">
        <f t="shared" ca="1" si="37"/>
        <v>219.85949777609764</v>
      </c>
      <c r="AB114">
        <f t="shared" ca="1" si="31"/>
        <v>0</v>
      </c>
      <c r="AC114">
        <f t="shared" ca="1" si="32"/>
        <v>0.22694476320199111</v>
      </c>
      <c r="AD114" s="83">
        <f ca="1"/>
        <v>45711</v>
      </c>
      <c r="AE114" s="55">
        <f t="shared" ca="1" si="41"/>
        <v>45711</v>
      </c>
      <c r="AF114" s="55">
        <f t="shared" ca="1" si="42"/>
        <v>-4.4416695208785768</v>
      </c>
      <c r="AG114" s="55">
        <f t="shared" ca="1" si="43"/>
        <v>61.519356546556857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50.011696468792053</v>
      </c>
      <c r="AK114" s="55">
        <f t="shared" ca="1" si="40"/>
        <v>-7.6559434718331438</v>
      </c>
    </row>
    <row r="115" spans="18:37">
      <c r="R115" s="83">
        <f ca="1"/>
        <v>45484</v>
      </c>
      <c r="S115" s="55">
        <f t="shared" ca="1" si="33"/>
        <v>45484</v>
      </c>
      <c r="T115" s="55">
        <f t="shared" ca="1" si="27"/>
        <v>52.602199545533999</v>
      </c>
      <c r="U115" s="55">
        <f t="shared" ca="1" si="28"/>
        <v>18.259033526148773</v>
      </c>
      <c r="V115" s="55">
        <f t="shared" ca="1" si="29"/>
        <v>0</v>
      </c>
      <c r="W115" s="55">
        <f t="shared" ca="1" si="34"/>
        <v>-91.255187233325799</v>
      </c>
      <c r="X115" s="55">
        <f t="shared" ca="1" si="35"/>
        <v>53.615832597931558</v>
      </c>
      <c r="Y115" s="55">
        <f t="shared" ca="1" si="36"/>
        <v>33.152543452167002</v>
      </c>
      <c r="Z115">
        <f t="shared" ca="1" si="30"/>
        <v>120</v>
      </c>
      <c r="AA115">
        <f t="shared" ca="1" si="37"/>
        <v>225.65949777609765</v>
      </c>
      <c r="AB115">
        <f t="shared" ca="1" si="31"/>
        <v>0</v>
      </c>
      <c r="AC115">
        <f t="shared" ca="1" si="32"/>
        <v>0.23233619113935719</v>
      </c>
      <c r="AD115" s="83">
        <f ca="1"/>
        <v>45712</v>
      </c>
      <c r="AE115" s="55">
        <f t="shared" ca="1" si="41"/>
        <v>45712</v>
      </c>
      <c r="AF115" s="55">
        <f t="shared" ca="1" si="42"/>
        <v>-6.1938410144443363</v>
      </c>
      <c r="AG115" s="55">
        <f t="shared" ca="1" si="43"/>
        <v>63.762037308342947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50.447253611278711</v>
      </c>
      <c r="AK115" s="55">
        <f t="shared" ca="1" si="40"/>
        <v>-7.6009913460994696</v>
      </c>
    </row>
    <row r="116" spans="18:37">
      <c r="R116" s="83">
        <f ca="1"/>
        <v>45485</v>
      </c>
      <c r="S116" s="55">
        <f t="shared" ca="1" si="33"/>
        <v>45485</v>
      </c>
      <c r="T116" s="55">
        <f t="shared" ca="1" si="27"/>
        <v>52.324827796633507</v>
      </c>
      <c r="U116" s="55">
        <f t="shared" ca="1" si="28"/>
        <v>18.582571476838648</v>
      </c>
      <c r="V116" s="55">
        <f t="shared" ca="1" si="29"/>
        <v>0</v>
      </c>
      <c r="W116" s="55">
        <f t="shared" ca="1" si="34"/>
        <v>-91.704405569742818</v>
      </c>
      <c r="X116" s="55">
        <f t="shared" ca="1" si="35"/>
        <v>54.030630612463526</v>
      </c>
      <c r="Y116" s="55">
        <f t="shared" ca="1" si="36"/>
        <v>33.233129975841443</v>
      </c>
      <c r="Z116">
        <f t="shared" ca="1" si="30"/>
        <v>120</v>
      </c>
      <c r="AA116">
        <f t="shared" ca="1" si="37"/>
        <v>226.87949777609765</v>
      </c>
      <c r="AB116">
        <f t="shared" ca="1" si="31"/>
        <v>0</v>
      </c>
      <c r="AC116">
        <f t="shared" ca="1" si="32"/>
        <v>0.23802173361247408</v>
      </c>
      <c r="AD116" s="83">
        <f ca="1"/>
        <v>45713</v>
      </c>
      <c r="AE116" s="55">
        <f t="shared" ca="1" si="41"/>
        <v>45713</v>
      </c>
      <c r="AF116" s="55">
        <f t="shared" ca="1" si="42"/>
        <v>-7.9644229808520288</v>
      </c>
      <c r="AG116" s="55">
        <f t="shared" ca="1" si="43"/>
        <v>65.992082434790618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50.856816289380461</v>
      </c>
      <c r="AK116" s="55">
        <f t="shared" ca="1" si="40"/>
        <v>-7.5510908641612389</v>
      </c>
    </row>
    <row r="117" spans="18:37">
      <c r="R117" s="83">
        <f ca="1"/>
        <v>45486</v>
      </c>
      <c r="S117" s="55">
        <f t="shared" ca="1" si="33"/>
        <v>45486</v>
      </c>
      <c r="T117" s="55">
        <f t="shared" ca="1" si="27"/>
        <v>51.314013881005984</v>
      </c>
      <c r="U117" s="55">
        <f t="shared" ca="1" si="28"/>
        <v>18.883621320940236</v>
      </c>
      <c r="V117" s="55">
        <f t="shared" ca="1" si="29"/>
        <v>0</v>
      </c>
      <c r="W117" s="55">
        <f t="shared" ca="1" si="34"/>
        <v>-92.888809030877738</v>
      </c>
      <c r="X117" s="55">
        <f t="shared" ca="1" si="35"/>
        <v>54.428851569647122</v>
      </c>
      <c r="Y117" s="55">
        <f t="shared" ca="1" si="36"/>
        <v>33.309548408266835</v>
      </c>
      <c r="Z117">
        <f t="shared" ca="1" si="30"/>
        <v>120</v>
      </c>
      <c r="AA117">
        <f t="shared" ca="1" si="37"/>
        <v>230.15949777609765</v>
      </c>
      <c r="AB117">
        <f t="shared" ca="1" si="31"/>
        <v>0</v>
      </c>
      <c r="AC117">
        <f t="shared" ca="1" si="32"/>
        <v>0.24330713175952423</v>
      </c>
      <c r="AD117" s="83">
        <f ca="1"/>
        <v>45714</v>
      </c>
      <c r="AE117" s="55">
        <f t="shared" ca="1" si="41"/>
        <v>45714</v>
      </c>
      <c r="AF117" s="55">
        <f t="shared" ca="1" si="42"/>
        <v>-9.7911712552395151</v>
      </c>
      <c r="AG117" s="55">
        <f t="shared" ca="1" si="43"/>
        <v>68.279846376986185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51.268499254528002</v>
      </c>
      <c r="AK117" s="55">
        <f t="shared" ca="1" si="40"/>
        <v>-7.5017581615006996</v>
      </c>
    </row>
    <row r="118" spans="18:37">
      <c r="R118" s="83">
        <f ca="1"/>
        <v>45487</v>
      </c>
      <c r="S118" s="55">
        <f t="shared" ca="1" si="33"/>
        <v>45487</v>
      </c>
      <c r="T118" s="55">
        <f t="shared" ca="1" si="27"/>
        <v>49.684693680805431</v>
      </c>
      <c r="U118" s="55">
        <f t="shared" ca="1" si="28"/>
        <v>19.251303926085118</v>
      </c>
      <c r="V118" s="55">
        <f t="shared" ca="1" si="29"/>
        <v>0</v>
      </c>
      <c r="W118" s="55">
        <f t="shared" ca="1" si="34"/>
        <v>-94.664944821274531</v>
      </c>
      <c r="X118" s="55">
        <f t="shared" ca="1" si="35"/>
        <v>54.864030115716538</v>
      </c>
      <c r="Y118" s="55">
        <f t="shared" ca="1" si="36"/>
        <v>33.388868057538538</v>
      </c>
      <c r="Z118">
        <f t="shared" ca="1" si="30"/>
        <v>120</v>
      </c>
      <c r="AA118">
        <f t="shared" ca="1" si="37"/>
        <v>235.23949777609764</v>
      </c>
      <c r="AB118">
        <f t="shared" ca="1" si="31"/>
        <v>0</v>
      </c>
      <c r="AC118">
        <f t="shared" ca="1" si="32"/>
        <v>0.2497535179379666</v>
      </c>
      <c r="AD118" s="83">
        <f ca="1"/>
        <v>45715</v>
      </c>
      <c r="AE118" s="55">
        <f t="shared" ca="1" si="41"/>
        <v>45715</v>
      </c>
      <c r="AF118" s="55">
        <f t="shared" ca="1" si="42"/>
        <v>-11.678758654796537</v>
      </c>
      <c r="AG118" s="55">
        <f t="shared" ca="1" si="43"/>
        <v>70.624614546170349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51.677961824035464</v>
      </c>
      <c r="AK118" s="55">
        <f t="shared" ca="1" si="40"/>
        <v>-7.4540399613810209</v>
      </c>
    </row>
    <row r="119" spans="18:37">
      <c r="R119" s="83">
        <f ca="1"/>
        <v>45488</v>
      </c>
      <c r="S119" s="55">
        <f t="shared" ca="1" si="33"/>
        <v>45488</v>
      </c>
      <c r="T119" s="55">
        <f t="shared" ca="1" si="27"/>
        <v>48.476432372514346</v>
      </c>
      <c r="U119" s="55">
        <f t="shared" ca="1" si="28"/>
        <v>19.665781252062249</v>
      </c>
      <c r="V119" s="55">
        <f t="shared" ca="1" si="29"/>
        <v>0</v>
      </c>
      <c r="W119" s="55">
        <f t="shared" ca="1" si="34"/>
        <v>-95.998764880887165</v>
      </c>
      <c r="X119" s="55">
        <f t="shared" ca="1" si="35"/>
        <v>55.323702370350269</v>
      </c>
      <c r="Y119" s="55">
        <f t="shared" ca="1" si="36"/>
        <v>33.469231880203481</v>
      </c>
      <c r="Z119">
        <f t="shared" ca="1" si="30"/>
        <v>120</v>
      </c>
      <c r="AA119">
        <f t="shared" ca="1" si="37"/>
        <v>239.14949777609763</v>
      </c>
      <c r="AB119">
        <f t="shared" ca="1" si="31"/>
        <v>0</v>
      </c>
      <c r="AC119">
        <f t="shared" ca="1" si="32"/>
        <v>0.25700538670148554</v>
      </c>
      <c r="AD119" s="83">
        <f ca="1"/>
        <v>45716</v>
      </c>
      <c r="AE119" s="55">
        <f t="shared" ca="1" si="41"/>
        <v>45716</v>
      </c>
      <c r="AF119" s="55">
        <f t="shared" ca="1" si="42"/>
        <v>-13.566228704042722</v>
      </c>
      <c r="AG119" s="55">
        <f t="shared" ca="1" si="43"/>
        <v>72.976075508607394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52.092608641132443</v>
      </c>
      <c r="AK119" s="55">
        <f t="shared" ca="1" si="40"/>
        <v>-7.4046958652871382</v>
      </c>
    </row>
    <row r="120" spans="18:37">
      <c r="R120" s="83">
        <f ca="1"/>
        <v>45489</v>
      </c>
      <c r="S120" s="55">
        <f t="shared" ca="1" si="33"/>
        <v>45489</v>
      </c>
      <c r="T120" s="55">
        <f t="shared" ca="1" si="27"/>
        <v>46.496732105437054</v>
      </c>
      <c r="U120" s="55">
        <f t="shared" ca="1" si="28"/>
        <v>20.070587644245506</v>
      </c>
      <c r="V120" s="55">
        <f t="shared" ca="1" si="29"/>
        <v>0</v>
      </c>
      <c r="W120" s="55">
        <f t="shared" ca="1" si="34"/>
        <v>-98.099383911339473</v>
      </c>
      <c r="X120" s="55">
        <f t="shared" ca="1" si="35"/>
        <v>55.772527292451095</v>
      </c>
      <c r="Y120" s="55">
        <f t="shared" ca="1" si="36"/>
        <v>33.546132113660917</v>
      </c>
      <c r="Z120">
        <f t="shared" ca="1" si="30"/>
        <v>120</v>
      </c>
      <c r="AA120">
        <f t="shared" ca="1" si="37"/>
        <v>245.56949777609765</v>
      </c>
      <c r="AB120">
        <f t="shared" ca="1" si="31"/>
        <v>0</v>
      </c>
      <c r="AC120">
        <f t="shared" ca="1" si="32"/>
        <v>0.26406925198296044</v>
      </c>
      <c r="AD120" s="83">
        <f ca="1"/>
        <v>45717</v>
      </c>
      <c r="AE120" s="55">
        <f t="shared" ca="1" si="41"/>
        <v>45717</v>
      </c>
      <c r="AF120" s="55">
        <f t="shared" ca="1" si="42"/>
        <v>-15.474897136072428</v>
      </c>
      <c r="AG120" s="55">
        <f t="shared" ca="1" si="43"/>
        <v>75.374252442622222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52.5289435176146</v>
      </c>
      <c r="AK120" s="55">
        <f t="shared" ca="1" si="40"/>
        <v>-7.3515222397841704</v>
      </c>
    </row>
    <row r="121" spans="18:37">
      <c r="R121" s="83">
        <f ca="1"/>
        <v>45490</v>
      </c>
      <c r="S121" s="55">
        <f t="shared" ca="1" si="33"/>
        <v>45490</v>
      </c>
      <c r="T121" s="55">
        <f t="shared" ca="1" si="27"/>
        <v>44.575303085411988</v>
      </c>
      <c r="U121" s="55">
        <f t="shared" ca="1" si="28"/>
        <v>20.45606067754051</v>
      </c>
      <c r="V121" s="55">
        <f t="shared" ca="1" si="29"/>
        <v>0</v>
      </c>
      <c r="W121" s="55">
        <f t="shared" ca="1" si="34"/>
        <v>-100.14142807379673</v>
      </c>
      <c r="X121" s="55">
        <f t="shared" ca="1" si="35"/>
        <v>56.205597675940176</v>
      </c>
      <c r="Y121" s="55">
        <f t="shared" ca="1" si="36"/>
        <v>33.619149905899029</v>
      </c>
      <c r="Z121">
        <f t="shared" ca="1" si="30"/>
        <v>120</v>
      </c>
      <c r="AA121">
        <f t="shared" ca="1" si="37"/>
        <v>252.07949777609764</v>
      </c>
      <c r="AB121">
        <f t="shared" ca="1" si="31"/>
        <v>0</v>
      </c>
      <c r="AC121">
        <f t="shared" ca="1" si="32"/>
        <v>0.27077536878517006</v>
      </c>
      <c r="AD121" s="83">
        <f ca="1"/>
        <v>45718</v>
      </c>
      <c r="AE121" s="55">
        <f t="shared" ca="1" si="41"/>
        <v>45718</v>
      </c>
      <c r="AF121" s="55">
        <f t="shared" ca="1" si="42"/>
        <v>-17.459166510486263</v>
      </c>
      <c r="AG121" s="55">
        <f t="shared" ca="1" si="43"/>
        <v>77.861796023052307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52.978365314548455</v>
      </c>
      <c r="AK121" s="55">
        <f t="shared" ca="1" si="40"/>
        <v>-7.2976698307017713</v>
      </c>
    </row>
    <row r="122" spans="18:37">
      <c r="R122" s="83">
        <f ca="1"/>
        <v>45491</v>
      </c>
      <c r="S122" s="55">
        <f t="shared" ca="1" si="33"/>
        <v>45491</v>
      </c>
      <c r="T122" s="55">
        <f t="shared" ca="1" si="27"/>
        <v>43.778890179607757</v>
      </c>
      <c r="U122" s="55">
        <f t="shared" ca="1" si="28"/>
        <v>20.838721499095385</v>
      </c>
      <c r="V122" s="55">
        <f t="shared" ca="1" si="29"/>
        <v>0</v>
      </c>
      <c r="W122" s="55">
        <f t="shared" ca="1" si="34"/>
        <v>-101.05332614183419</v>
      </c>
      <c r="X122" s="55">
        <f t="shared" ca="1" si="35"/>
        <v>56.63321721900261</v>
      </c>
      <c r="Y122" s="55">
        <f t="shared" ca="1" si="36"/>
        <v>33.689676346624701</v>
      </c>
      <c r="Z122">
        <f t="shared" ca="1" si="30"/>
        <v>120</v>
      </c>
      <c r="AA122">
        <f t="shared" ca="1" si="37"/>
        <v>255.03949777609765</v>
      </c>
      <c r="AB122">
        <f t="shared" ca="1" si="31"/>
        <v>0</v>
      </c>
      <c r="AC122">
        <f t="shared" ca="1" si="32"/>
        <v>0.27741011128304294</v>
      </c>
      <c r="AD122" s="83">
        <f ca="1"/>
        <v>45719</v>
      </c>
      <c r="AE122" s="55">
        <f t="shared" ca="1" si="41"/>
        <v>45719</v>
      </c>
      <c r="AF122" s="55">
        <f t="shared" ca="1" si="42"/>
        <v>-19.471882404653982</v>
      </c>
      <c r="AG122" s="55">
        <f t="shared" ca="1" si="43"/>
        <v>80.393965558186395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53.442132815205674</v>
      </c>
      <c r="AK122" s="55">
        <f t="shared" ca="1" si="40"/>
        <v>-7.2419836903926225</v>
      </c>
    </row>
    <row r="123" spans="18:37">
      <c r="R123" s="83">
        <f ca="1"/>
        <v>45492</v>
      </c>
      <c r="S123" s="55">
        <f t="shared" ca="1" si="33"/>
        <v>45492</v>
      </c>
      <c r="T123" s="55">
        <f t="shared" ca="1" si="27"/>
        <v>43.429135044729883</v>
      </c>
      <c r="U123" s="55">
        <f t="shared" ca="1" si="28"/>
        <v>21.264342879015928</v>
      </c>
      <c r="V123" s="55">
        <f t="shared" ca="1" si="29"/>
        <v>0</v>
      </c>
      <c r="W123" s="55">
        <f t="shared" ca="1" si="34"/>
        <v>-101.49646416793875</v>
      </c>
      <c r="X123" s="55">
        <f t="shared" ca="1" si="35"/>
        <v>57.081181417487116</v>
      </c>
      <c r="Y123" s="55">
        <f t="shared" ca="1" si="36"/>
        <v>33.760716419287419</v>
      </c>
      <c r="Z123">
        <f t="shared" ca="1" si="30"/>
        <v>120</v>
      </c>
      <c r="AA123">
        <f t="shared" ca="1" si="37"/>
        <v>256.48949777609766</v>
      </c>
      <c r="AB123">
        <f t="shared" ca="1" si="31"/>
        <v>0</v>
      </c>
      <c r="AC123">
        <f t="shared" ca="1" si="32"/>
        <v>0.28476029978518752</v>
      </c>
      <c r="AD123" s="83">
        <f ca="1"/>
        <v>45720</v>
      </c>
      <c r="AE123" s="55">
        <f t="shared" ca="1" si="41"/>
        <v>45720</v>
      </c>
      <c r="AF123" s="55">
        <f t="shared" ca="1" si="42"/>
        <v>-21.41162267298283</v>
      </c>
      <c r="AG123" s="55">
        <f t="shared" ca="1" si="43"/>
        <v>82.859949145281362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53.912699120339752</v>
      </c>
      <c r="AK123" s="55">
        <f t="shared" ca="1" si="40"/>
        <v>-7.1863066767605766</v>
      </c>
    </row>
    <row r="124" spans="18:37">
      <c r="R124" s="83">
        <f ca="1"/>
        <v>45493</v>
      </c>
      <c r="S124" s="55">
        <f t="shared" ca="1" si="33"/>
        <v>45493</v>
      </c>
      <c r="T124" s="55">
        <f t="shared" ca="1" si="27"/>
        <v>42.507372775226983</v>
      </c>
      <c r="U124" s="55">
        <f t="shared" ca="1" si="28"/>
        <v>21.660192907948129</v>
      </c>
      <c r="V124" s="55">
        <f t="shared" ca="1" si="29"/>
        <v>0</v>
      </c>
      <c r="W124" s="55">
        <f t="shared" ca="1" si="34"/>
        <v>-102.51648367983022</v>
      </c>
      <c r="X124" s="55">
        <f t="shared" ca="1" si="35"/>
        <v>57.508383481019692</v>
      </c>
      <c r="Y124" s="55">
        <f t="shared" ca="1" si="36"/>
        <v>33.827621627075615</v>
      </c>
      <c r="Z124">
        <f t="shared" ca="1" si="30"/>
        <v>120</v>
      </c>
      <c r="AA124">
        <f t="shared" ca="1" si="37"/>
        <v>259.89949777609769</v>
      </c>
      <c r="AB124">
        <f t="shared" ca="1" si="31"/>
        <v>0</v>
      </c>
      <c r="AC124">
        <f t="shared" ca="1" si="32"/>
        <v>0.29156570103975971</v>
      </c>
      <c r="AD124" s="83">
        <f ca="1"/>
        <v>45721</v>
      </c>
      <c r="AE124" s="55">
        <f t="shared" ca="1" si="41"/>
        <v>45721</v>
      </c>
      <c r="AF124" s="55">
        <f t="shared" ca="1" si="42"/>
        <v>-23.376569618411942</v>
      </c>
      <c r="AG124" s="55">
        <f t="shared" ca="1" si="43"/>
        <v>85.344199605240021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54.377582395778411</v>
      </c>
      <c r="AK124" s="55">
        <f t="shared" ca="1" si="40"/>
        <v>-7.1318864376696851</v>
      </c>
    </row>
    <row r="125" spans="18:37">
      <c r="R125" s="83">
        <f ca="1"/>
        <v>45494</v>
      </c>
      <c r="S125" s="55">
        <f t="shared" ca="1" si="33"/>
        <v>45494</v>
      </c>
      <c r="T125" s="55">
        <f t="shared" ca="1" si="27"/>
        <v>41.365088353518409</v>
      </c>
      <c r="U125" s="55">
        <f t="shared" ca="1" si="28"/>
        <v>22.108344726468591</v>
      </c>
      <c r="V125" s="55">
        <f t="shared" ca="1" si="29"/>
        <v>0</v>
      </c>
      <c r="W125" s="55">
        <f t="shared" ca="1" si="34"/>
        <v>-103.73031921695957</v>
      </c>
      <c r="X125" s="55">
        <f t="shared" ca="1" si="35"/>
        <v>57.960229168515696</v>
      </c>
      <c r="Y125" s="55">
        <f t="shared" ca="1" si="36"/>
        <v>33.895478873520858</v>
      </c>
      <c r="Z125">
        <f t="shared" ca="1" si="30"/>
        <v>120</v>
      </c>
      <c r="AA125">
        <f t="shared" ca="1" si="37"/>
        <v>264.06949777609771</v>
      </c>
      <c r="AB125">
        <f t="shared" ca="1" si="31"/>
        <v>0</v>
      </c>
      <c r="AC125">
        <f t="shared" ca="1" si="32"/>
        <v>0.29923131407482684</v>
      </c>
      <c r="AD125" s="83">
        <f ca="1"/>
        <v>45722</v>
      </c>
      <c r="AE125" s="55">
        <f t="shared" ca="1" si="41"/>
        <v>45722</v>
      </c>
      <c r="AF125" s="55">
        <f t="shared" ca="1" si="42"/>
        <v>-25.416378460429812</v>
      </c>
      <c r="AG125" s="55">
        <f t="shared" ca="1" si="43"/>
        <v>87.912871913182499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54.851437283873793</v>
      </c>
      <c r="AK125" s="55">
        <f t="shared" ca="1" si="40"/>
        <v>-7.076877859840458</v>
      </c>
    </row>
    <row r="126" spans="18:37">
      <c r="R126" s="83">
        <f ca="1"/>
        <v>45495</v>
      </c>
      <c r="S126" s="55">
        <f t="shared" ca="1" si="33"/>
        <v>45495</v>
      </c>
      <c r="T126" s="55">
        <f t="shared" ca="1" si="27"/>
        <v>39.560120409194781</v>
      </c>
      <c r="U126" s="55">
        <f t="shared" ca="1" si="28"/>
        <v>22.553822515952419</v>
      </c>
      <c r="V126" s="55">
        <f t="shared" ca="1" si="29"/>
        <v>0</v>
      </c>
      <c r="W126" s="55">
        <f t="shared" ca="1" si="34"/>
        <v>-105.60107335542105</v>
      </c>
      <c r="X126" s="55">
        <f t="shared" ca="1" si="35"/>
        <v>58.406046128465405</v>
      </c>
      <c r="Y126" s="55">
        <f t="shared" ca="1" si="36"/>
        <v>33.960925897192823</v>
      </c>
      <c r="Z126">
        <f t="shared" ca="1" si="30"/>
        <v>120</v>
      </c>
      <c r="AA126">
        <f t="shared" ca="1" si="37"/>
        <v>270.78949777609773</v>
      </c>
      <c r="AB126">
        <f t="shared" ca="1" si="31"/>
        <v>0</v>
      </c>
      <c r="AC126">
        <f t="shared" ca="1" si="32"/>
        <v>0.30680687797115253</v>
      </c>
      <c r="AD126" s="83">
        <f ca="1"/>
        <v>45723</v>
      </c>
      <c r="AE126" s="55">
        <f t="shared" ca="1" si="41"/>
        <v>45723</v>
      </c>
      <c r="AF126" s="55">
        <f t="shared" ca="1" si="42"/>
        <v>-27.421876645540753</v>
      </c>
      <c r="AG126" s="55">
        <f t="shared" ca="1" si="43"/>
        <v>90.426011643139859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55.307131158359518</v>
      </c>
      <c r="AK126" s="55">
        <f t="shared" ca="1" si="40"/>
        <v>-7.0249301894797682</v>
      </c>
    </row>
    <row r="127" spans="18:37">
      <c r="R127" s="83">
        <f ca="1"/>
        <v>45496</v>
      </c>
      <c r="S127" s="55">
        <f t="shared" ca="1" si="33"/>
        <v>45496</v>
      </c>
      <c r="T127" s="55">
        <f t="shared" ca="1" si="27"/>
        <v>38.830369295256446</v>
      </c>
      <c r="U127" s="55">
        <f t="shared" ca="1" si="28"/>
        <v>23.010799832954497</v>
      </c>
      <c r="V127" s="55">
        <f t="shared" ca="1" si="29"/>
        <v>0</v>
      </c>
      <c r="W127" s="55">
        <f t="shared" ca="1" si="34"/>
        <v>-106.38530299900266</v>
      </c>
      <c r="X127" s="55">
        <f t="shared" ca="1" si="35"/>
        <v>58.853580356978959</v>
      </c>
      <c r="Y127" s="55">
        <f t="shared" ca="1" si="36"/>
        <v>34.024847515324616</v>
      </c>
      <c r="Z127">
        <f t="shared" ca="1" si="30"/>
        <v>120</v>
      </c>
      <c r="AA127">
        <f t="shared" ca="1" si="37"/>
        <v>273.65949777609774</v>
      </c>
      <c r="AB127">
        <f t="shared" ca="1" si="31"/>
        <v>0</v>
      </c>
      <c r="AC127">
        <f t="shared" ca="1" si="32"/>
        <v>0.31452872578845603</v>
      </c>
      <c r="AD127" s="83">
        <f ca="1"/>
        <v>45724</v>
      </c>
      <c r="AE127" s="55">
        <f t="shared" ca="1" si="41"/>
        <v>45724</v>
      </c>
      <c r="AF127" s="55">
        <f t="shared" ca="1" si="42"/>
        <v>-29.507603749239383</v>
      </c>
      <c r="AG127" s="55">
        <f t="shared" ca="1" si="43"/>
        <v>93.010498305342978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55.755933598302995</v>
      </c>
      <c r="AK127" s="55">
        <f t="shared" ca="1" si="40"/>
        <v>-6.9749730709187574</v>
      </c>
    </row>
    <row r="128" spans="18:37">
      <c r="R128" s="83">
        <f ca="1"/>
        <v>45497</v>
      </c>
      <c r="S128" s="55">
        <f t="shared" ca="1" si="33"/>
        <v>45497</v>
      </c>
      <c r="T128" s="55">
        <f t="shared" ca="1" si="27"/>
        <v>37.955336234885102</v>
      </c>
      <c r="U128" s="55">
        <f t="shared" ca="1" si="28"/>
        <v>23.428997730696032</v>
      </c>
      <c r="V128" s="55">
        <f t="shared" ca="1" si="29"/>
        <v>0</v>
      </c>
      <c r="W128" s="55">
        <f t="shared" ca="1" si="34"/>
        <v>-107.3254707350727</v>
      </c>
      <c r="X128" s="55">
        <f t="shared" ca="1" si="35"/>
        <v>59.277036763735765</v>
      </c>
      <c r="Y128" s="55">
        <f t="shared" ca="1" si="36"/>
        <v>34.084723682008047</v>
      </c>
      <c r="Z128">
        <f t="shared" ca="1" si="30"/>
        <v>120</v>
      </c>
      <c r="AA128">
        <f t="shared" ca="1" si="37"/>
        <v>277.17949777609772</v>
      </c>
      <c r="AB128">
        <f t="shared" ca="1" si="31"/>
        <v>0</v>
      </c>
      <c r="AC128">
        <f t="shared" ca="1" si="32"/>
        <v>0.32154883426638353</v>
      </c>
      <c r="AD128" s="83">
        <f ca="1"/>
        <v>45725</v>
      </c>
      <c r="AE128" s="55">
        <f t="shared" ca="1" si="41"/>
        <v>45725</v>
      </c>
      <c r="AF128" s="55">
        <f t="shared" ca="1" si="42"/>
        <v>-31.630036765817415</v>
      </c>
      <c r="AG128" s="55">
        <f t="shared" ca="1" si="43"/>
        <v>95.648920207991836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56.220665166800359</v>
      </c>
      <c r="AK128" s="55">
        <f t="shared" ca="1" si="40"/>
        <v>-6.9237157533452951</v>
      </c>
    </row>
    <row r="129" spans="18:37">
      <c r="R129" s="83">
        <f ca="1"/>
        <v>45498</v>
      </c>
      <c r="S129" s="55">
        <f t="shared" ca="1" si="33"/>
        <v>45498</v>
      </c>
      <c r="T129" s="55">
        <f t="shared" ca="1" si="27"/>
        <v>37.449310942850026</v>
      </c>
      <c r="U129" s="55">
        <f t="shared" ca="1" si="28"/>
        <v>23.845727669666353</v>
      </c>
      <c r="V129" s="55">
        <f t="shared" ca="1" si="29"/>
        <v>0</v>
      </c>
      <c r="W129" s="55">
        <f t="shared" ca="1" si="34"/>
        <v>-107.89206493952285</v>
      </c>
      <c r="X129" s="55">
        <f t="shared" ca="1" si="35"/>
        <v>59.696355916036147</v>
      </c>
      <c r="Y129" s="55">
        <f t="shared" ca="1" si="36"/>
        <v>34.142703381093064</v>
      </c>
      <c r="Z129">
        <f t="shared" ca="1" si="30"/>
        <v>120</v>
      </c>
      <c r="AA129">
        <f t="shared" ca="1" si="37"/>
        <v>279.3294977760977</v>
      </c>
      <c r="AB129">
        <f t="shared" ca="1" si="31"/>
        <v>0</v>
      </c>
      <c r="AC129">
        <f t="shared" ca="1" si="32"/>
        <v>0.32849776509404549</v>
      </c>
      <c r="AD129" s="83">
        <f ca="1"/>
        <v>45726</v>
      </c>
      <c r="AE129" s="55">
        <f t="shared" ca="1" si="41"/>
        <v>45726</v>
      </c>
      <c r="AF129" s="55">
        <f t="shared" ca="1" si="42"/>
        <v>-33.75181342816213</v>
      </c>
      <c r="AG129" s="55">
        <f t="shared" ca="1" si="43"/>
        <v>98.263694209298095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56.665954401139878</v>
      </c>
      <c r="AK129" s="55">
        <f t="shared" ca="1" si="40"/>
        <v>-6.8760076487232666</v>
      </c>
    </row>
    <row r="130" spans="18:37">
      <c r="R130" s="83">
        <f ca="1"/>
        <v>45499</v>
      </c>
      <c r="S130" s="55">
        <f t="shared" ca="1" si="33"/>
        <v>45499</v>
      </c>
      <c r="T130" s="55">
        <f t="shared" ca="1" si="27"/>
        <v>36.496139082292629</v>
      </c>
      <c r="U130" s="55">
        <f t="shared" ca="1" si="28"/>
        <v>24.305182642374501</v>
      </c>
      <c r="V130" s="55">
        <f t="shared" ca="1" si="29"/>
        <v>0</v>
      </c>
      <c r="W130" s="55">
        <f t="shared" ca="1" si="34"/>
        <v>-108.88083996688201</v>
      </c>
      <c r="X130" s="55">
        <f t="shared" ca="1" si="35"/>
        <v>60.133225671852458</v>
      </c>
      <c r="Y130" s="55">
        <f t="shared" ca="1" si="36"/>
        <v>34.200891764786654</v>
      </c>
      <c r="Z130">
        <f t="shared" ca="1" si="30"/>
        <v>120</v>
      </c>
      <c r="AA130">
        <f t="shared" ca="1" si="37"/>
        <v>283.17949777609772</v>
      </c>
      <c r="AB130">
        <f t="shared" ca="1" si="31"/>
        <v>0</v>
      </c>
      <c r="AC130">
        <f t="shared" ca="1" si="32"/>
        <v>0.33610273430910426</v>
      </c>
      <c r="AD130" s="83">
        <f ca="1"/>
        <v>45727</v>
      </c>
      <c r="AE130" s="55">
        <f t="shared" ca="1" si="41"/>
        <v>45727</v>
      </c>
      <c r="AF130" s="55">
        <f t="shared" ca="1" si="42"/>
        <v>-35.817080299087394</v>
      </c>
      <c r="AG130" s="55">
        <f t="shared" ca="1" si="43"/>
        <v>100.86722332416819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57.155338847472336</v>
      </c>
      <c r="AK130" s="55">
        <f t="shared" ca="1" si="40"/>
        <v>-6.8271298511108895</v>
      </c>
    </row>
    <row r="131" spans="18:37">
      <c r="R131" s="83">
        <f ca="1"/>
        <v>45500</v>
      </c>
      <c r="S131" s="55">
        <f t="shared" ca="1" si="33"/>
        <v>45500</v>
      </c>
      <c r="T131" s="55">
        <f t="shared" ca="1" si="27"/>
        <v>36.006685490053115</v>
      </c>
      <c r="U131" s="55">
        <f t="shared" ca="1" si="28"/>
        <v>24.780550472249324</v>
      </c>
      <c r="V131" s="55">
        <f t="shared" ca="1" si="29"/>
        <v>0</v>
      </c>
      <c r="W131" s="55">
        <f t="shared" ca="1" si="34"/>
        <v>-109.3926683332184</v>
      </c>
      <c r="X131" s="55">
        <f t="shared" ca="1" si="35"/>
        <v>60.573915873009881</v>
      </c>
      <c r="Y131" s="55">
        <f t="shared" ca="1" si="36"/>
        <v>34.257944167600932</v>
      </c>
      <c r="Z131">
        <f t="shared" ca="1" si="30"/>
        <v>120</v>
      </c>
      <c r="AA131">
        <f t="shared" ca="1" si="37"/>
        <v>285.1994977760977</v>
      </c>
      <c r="AB131">
        <f t="shared" ca="1" si="31"/>
        <v>0</v>
      </c>
      <c r="AC131">
        <f t="shared" ca="1" si="32"/>
        <v>0.34390610998144583</v>
      </c>
      <c r="AD131" s="83">
        <f ca="1"/>
        <v>45728</v>
      </c>
      <c r="AE131" s="55">
        <f t="shared" ca="1" si="41"/>
        <v>45728</v>
      </c>
      <c r="AF131" s="55">
        <f t="shared" ca="1" si="42"/>
        <v>-37.911978404135006</v>
      </c>
      <c r="AG131" s="55">
        <f t="shared" ca="1" si="43"/>
        <v>103.50738957149667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57.652018540657849</v>
      </c>
      <c r="AK131" s="55">
        <f t="shared" ca="1" si="40"/>
        <v>-6.7785414020155343</v>
      </c>
    </row>
    <row r="132" spans="18:37">
      <c r="R132" s="83">
        <f ca="1"/>
        <v>45501</v>
      </c>
      <c r="S132" s="55">
        <f t="shared" ca="1" si="33"/>
        <v>45501</v>
      </c>
      <c r="T132" s="55">
        <f t="shared" ca="1" si="27"/>
        <v>34.970191068337648</v>
      </c>
      <c r="U132" s="55">
        <f t="shared" ca="1" si="28"/>
        <v>25.281238432117714</v>
      </c>
      <c r="V132" s="55">
        <f t="shared" ca="1" si="29"/>
        <v>0</v>
      </c>
      <c r="W132" s="55">
        <f t="shared" ca="1" si="34"/>
        <v>-110.43361435401924</v>
      </c>
      <c r="X132" s="55">
        <f t="shared" ca="1" si="35"/>
        <v>61.022740795110707</v>
      </c>
      <c r="Y132" s="55">
        <f t="shared" ca="1" si="36"/>
        <v>34.314258804453878</v>
      </c>
      <c r="Z132">
        <f t="shared" ca="1" si="30"/>
        <v>120</v>
      </c>
      <c r="AA132">
        <f t="shared" ca="1" si="37"/>
        <v>289.42949777609772</v>
      </c>
      <c r="AB132">
        <f t="shared" ca="1" si="31"/>
        <v>0</v>
      </c>
      <c r="AC132">
        <f t="shared" ca="1" si="32"/>
        <v>0.35205072583939773</v>
      </c>
      <c r="AD132" s="83">
        <f ca="1"/>
        <v>45729</v>
      </c>
      <c r="AE132" s="55">
        <f t="shared" ca="1" si="41"/>
        <v>45729</v>
      </c>
      <c r="AF132" s="55">
        <f t="shared" ca="1" si="42"/>
        <v>-39.991383563100946</v>
      </c>
      <c r="AG132" s="55">
        <f t="shared" ca="1" si="43"/>
        <v>106.10094422510899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58.119674576872576</v>
      </c>
      <c r="AK132" s="55">
        <f t="shared" ca="1" si="40"/>
        <v>-6.7320479435838863</v>
      </c>
    </row>
    <row r="133" spans="18:37">
      <c r="R133" s="83">
        <f ca="1"/>
        <v>45502</v>
      </c>
      <c r="S133" s="55">
        <f t="shared" ca="1" si="33"/>
        <v>45502</v>
      </c>
      <c r="T133" s="55">
        <f t="shared" ca="1" si="27"/>
        <v>34.630573075665758</v>
      </c>
      <c r="U133" s="55">
        <f t="shared" ca="1" si="28"/>
        <v>25.790199911278375</v>
      </c>
      <c r="V133" s="55">
        <f t="shared" ca="1" si="29"/>
        <v>0</v>
      </c>
      <c r="W133" s="55">
        <f t="shared" ca="1" si="34"/>
        <v>-110.76747873074501</v>
      </c>
      <c r="X133" s="55">
        <f t="shared" ca="1" si="35"/>
        <v>61.47113522477774</v>
      </c>
      <c r="Y133" s="55">
        <f t="shared" ca="1" si="36"/>
        <v>34.369072238001387</v>
      </c>
      <c r="Z133">
        <f t="shared" ca="1" si="30"/>
        <v>120</v>
      </c>
      <c r="AA133">
        <f t="shared" ca="1" si="37"/>
        <v>290.79949777609772</v>
      </c>
      <c r="AB133">
        <f t="shared" ca="1" si="31"/>
        <v>0</v>
      </c>
      <c r="AC133">
        <f t="shared" ca="1" si="32"/>
        <v>0.36024877748549411</v>
      </c>
      <c r="AD133" s="83">
        <f ca="1"/>
        <v>45730</v>
      </c>
      <c r="AE133" s="55">
        <f t="shared" ca="1" si="41"/>
        <v>45730</v>
      </c>
      <c r="AF133" s="55">
        <f t="shared" ca="1" si="42"/>
        <v>-42.087661354006791</v>
      </c>
      <c r="AG133" s="55">
        <f t="shared" ca="1" si="43"/>
        <v>108.69885689337971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58.57565980970142</v>
      </c>
      <c r="AK133" s="55">
        <f t="shared" ca="1" si="40"/>
        <v>-6.6863982990478519</v>
      </c>
    </row>
    <row r="134" spans="18:37">
      <c r="R134" s="83">
        <f ca="1"/>
        <v>45503</v>
      </c>
      <c r="S134" s="55">
        <f t="shared" ca="1" si="33"/>
        <v>45503</v>
      </c>
      <c r="T134" s="55">
        <f t="shared" ca="1" si="27"/>
        <v>33.906181721211922</v>
      </c>
      <c r="U134" s="55">
        <f t="shared" ca="1" si="28"/>
        <v>26.316723126211496</v>
      </c>
      <c r="V134" s="55">
        <f t="shared" ca="1" si="29"/>
        <v>0</v>
      </c>
      <c r="W134" s="55">
        <f t="shared" ca="1" si="34"/>
        <v>-111.47134594758721</v>
      </c>
      <c r="X134" s="55">
        <f t="shared" ca="1" si="35"/>
        <v>61.923413496140313</v>
      </c>
      <c r="Y134" s="55">
        <f t="shared" ca="1" si="36"/>
        <v>34.422793043960297</v>
      </c>
      <c r="Z134">
        <f t="shared" ca="1" si="30"/>
        <v>120</v>
      </c>
      <c r="AA134">
        <f t="shared" ca="1" si="37"/>
        <v>293.74949777609771</v>
      </c>
      <c r="AB134">
        <f t="shared" ca="1" si="31"/>
        <v>0</v>
      </c>
      <c r="AC134">
        <f t="shared" ca="1" si="32"/>
        <v>0.36864070940459881</v>
      </c>
      <c r="AD134" s="83">
        <f ca="1"/>
        <v>45731</v>
      </c>
      <c r="AE134" s="55">
        <f t="shared" ca="1" si="41"/>
        <v>45731</v>
      </c>
      <c r="AF134" s="55">
        <f t="shared" ca="1" si="42"/>
        <v>-44.164139606084504</v>
      </c>
      <c r="AG134" s="55">
        <f t="shared" ca="1" si="43"/>
        <v>111.27479066887825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59.030789298582391</v>
      </c>
      <c r="AK134" s="55">
        <f t="shared" ca="1" si="40"/>
        <v>-6.6420722645079948</v>
      </c>
    </row>
    <row r="135" spans="18:37">
      <c r="R135" s="83">
        <f ca="1"/>
        <v>45504</v>
      </c>
      <c r="S135" s="55">
        <f t="shared" ca="1" si="33"/>
        <v>45504</v>
      </c>
      <c r="T135" s="55">
        <f t="shared" ca="1" si="27"/>
        <v>33.302729207561363</v>
      </c>
      <c r="U135" s="55">
        <f t="shared" ca="1" si="28"/>
        <v>26.85764298155603</v>
      </c>
      <c r="V135" s="55">
        <f t="shared" ca="1" si="29"/>
        <v>0</v>
      </c>
      <c r="W135" s="55">
        <f t="shared" ca="1" si="34"/>
        <v>-112.04082261703651</v>
      </c>
      <c r="X135" s="55">
        <f t="shared" ca="1" si="35"/>
        <v>62.377858611710401</v>
      </c>
      <c r="Y135" s="55">
        <f t="shared" ca="1" si="36"/>
        <v>34.475291939533484</v>
      </c>
      <c r="Z135">
        <f t="shared" ca="1" si="30"/>
        <v>120</v>
      </c>
      <c r="AA135">
        <f t="shared" ca="1" si="37"/>
        <v>296.17949777609772</v>
      </c>
      <c r="AB135">
        <f t="shared" ca="1" si="31"/>
        <v>0</v>
      </c>
      <c r="AC135">
        <f t="shared" ca="1" si="32"/>
        <v>0.37716502543890135</v>
      </c>
      <c r="AD135" s="83">
        <f ca="1"/>
        <v>45732</v>
      </c>
      <c r="AE135" s="55">
        <f t="shared" ca="1" si="41"/>
        <v>45732</v>
      </c>
      <c r="AF135" s="55">
        <f t="shared" ca="1" si="42"/>
        <v>-46.253548540357343</v>
      </c>
      <c r="AG135" s="55">
        <f t="shared" ca="1" si="43"/>
        <v>113.86982739944514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59.492476317989968</v>
      </c>
      <c r="AK135" s="55">
        <f t="shared" ca="1" si="40"/>
        <v>-6.5981314876215222</v>
      </c>
    </row>
    <row r="136" spans="18:37">
      <c r="R136" s="83">
        <f ca="1"/>
        <v>45505</v>
      </c>
      <c r="S136" s="55">
        <f t="shared" ca="1" si="33"/>
        <v>45505</v>
      </c>
      <c r="T136" s="55">
        <f t="shared" ca="1" si="27"/>
        <v>32.253658024058204</v>
      </c>
      <c r="U136" s="55">
        <f t="shared" ca="1" si="28"/>
        <v>27.441076528539639</v>
      </c>
      <c r="V136" s="55">
        <f t="shared" ca="1" si="29"/>
        <v>0</v>
      </c>
      <c r="W136" s="55">
        <f t="shared" ca="1" si="34"/>
        <v>-113.02814292655074</v>
      </c>
      <c r="X136" s="55">
        <f t="shared" ca="1" si="35"/>
        <v>62.847212088836585</v>
      </c>
      <c r="Y136" s="55">
        <f t="shared" ca="1" si="36"/>
        <v>34.527621135401972</v>
      </c>
      <c r="Z136">
        <f t="shared" ca="1" si="30"/>
        <v>120</v>
      </c>
      <c r="AA136">
        <f t="shared" ca="1" si="37"/>
        <v>300.52949777609774</v>
      </c>
      <c r="AB136">
        <f t="shared" ca="1" si="31"/>
        <v>0</v>
      </c>
      <c r="AC136">
        <f t="shared" ca="1" si="32"/>
        <v>0.3862460408091713</v>
      </c>
      <c r="AD136" s="83">
        <f ca="1"/>
        <v>45733</v>
      </c>
      <c r="AE136" s="55">
        <f t="shared" ca="1" si="41"/>
        <v>45733</v>
      </c>
      <c r="AF136" s="55">
        <f t="shared" ca="1" si="42"/>
        <v>-48.33963074009587</v>
      </c>
      <c r="AG136" s="55">
        <f t="shared" ca="1" si="43"/>
        <v>116.45764959303058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59.951145896728796</v>
      </c>
      <c r="AK136" s="55">
        <f t="shared" ca="1" si="40"/>
        <v>-6.5550610725134426</v>
      </c>
    </row>
    <row r="137" spans="18:37">
      <c r="R137" s="83">
        <f ca="1"/>
        <v>45506</v>
      </c>
      <c r="S137" s="55">
        <f t="shared" ca="1" si="33"/>
        <v>45506</v>
      </c>
      <c r="T137" s="55">
        <f t="shared" ca="1" si="27"/>
        <v>31.780061536086297</v>
      </c>
      <c r="U137" s="55">
        <f t="shared" ca="1" si="28"/>
        <v>28.029072317007731</v>
      </c>
      <c r="V137" s="55">
        <f t="shared" ca="1" si="29"/>
        <v>0</v>
      </c>
      <c r="W137" s="55">
        <f t="shared" ca="1" si="34"/>
        <v>-113.4306903726745</v>
      </c>
      <c r="X137" s="55">
        <f t="shared" ca="1" si="35"/>
        <v>63.313471383521112</v>
      </c>
      <c r="Y137" s="55">
        <f t="shared" ca="1" si="36"/>
        <v>34.578308587337389</v>
      </c>
      <c r="Z137">
        <f t="shared" ca="1" si="30"/>
        <v>120</v>
      </c>
      <c r="AA137">
        <f t="shared" ca="1" si="37"/>
        <v>302.32949777609775</v>
      </c>
      <c r="AB137">
        <f t="shared" ca="1" si="31"/>
        <v>0</v>
      </c>
      <c r="AC137">
        <f t="shared" ca="1" si="32"/>
        <v>0.39527628523545227</v>
      </c>
      <c r="AD137" s="83">
        <f ca="1"/>
        <v>45734</v>
      </c>
      <c r="AE137" s="55">
        <f t="shared" ca="1" si="41"/>
        <v>45734</v>
      </c>
      <c r="AF137" s="55">
        <f t="shared" ca="1" si="42"/>
        <v>-50.42309102657056</v>
      </c>
      <c r="AG137" s="55">
        <f t="shared" ca="1" si="43"/>
        <v>119.02668725698234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60.394791107626688</v>
      </c>
      <c r="AK137" s="55">
        <f t="shared" ca="1" si="40"/>
        <v>-6.5131289059342592</v>
      </c>
    </row>
    <row r="138" spans="18:37">
      <c r="R138" s="83">
        <f ca="1"/>
        <v>45507</v>
      </c>
      <c r="S138" s="55">
        <f t="shared" ca="1" si="33"/>
        <v>45507</v>
      </c>
      <c r="T138" s="55">
        <f t="shared" ca="1" si="27"/>
        <v>30.913559820552088</v>
      </c>
      <c r="U138" s="55">
        <f t="shared" ca="1" si="28"/>
        <v>28.619417908478773</v>
      </c>
      <c r="V138" s="55">
        <f t="shared" ca="1" si="29"/>
        <v>0</v>
      </c>
      <c r="W138" s="55">
        <f t="shared" ca="1" si="34"/>
        <v>-114.21818468543657</v>
      </c>
      <c r="X138" s="55">
        <f t="shared" ca="1" si="35"/>
        <v>63.775771365826586</v>
      </c>
      <c r="Y138" s="55">
        <f t="shared" ca="1" si="36"/>
        <v>34.627346793730808</v>
      </c>
      <c r="Z138">
        <f t="shared" ca="1" si="30"/>
        <v>120</v>
      </c>
      <c r="AA138">
        <f t="shared" ca="1" si="37"/>
        <v>305.94949777609776</v>
      </c>
      <c r="AB138">
        <f t="shared" ca="1" si="31"/>
        <v>0</v>
      </c>
      <c r="AC138">
        <f t="shared" ca="1" si="32"/>
        <v>0.40421707900122023</v>
      </c>
      <c r="AD138" s="83">
        <f ca="1"/>
        <v>45735</v>
      </c>
      <c r="AE138" s="55">
        <f t="shared" ca="1" si="41"/>
        <v>45735</v>
      </c>
      <c r="AF138" s="55">
        <f t="shared" ca="1" si="42"/>
        <v>-52.462316041818141</v>
      </c>
      <c r="AG138" s="55">
        <f t="shared" ca="1" si="43"/>
        <v>121.52064781665622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60.811346128420794</v>
      </c>
      <c r="AK138" s="55">
        <f t="shared" ca="1" si="40"/>
        <v>-6.4749483823020633</v>
      </c>
    </row>
    <row r="139" spans="18:37">
      <c r="R139" s="83">
        <f ca="1"/>
        <v>45508</v>
      </c>
      <c r="S139" s="55">
        <f t="shared" ca="1" si="33"/>
        <v>45508</v>
      </c>
      <c r="T139" s="55">
        <f t="shared" ca="1" si="27"/>
        <v>47.665935756995495</v>
      </c>
      <c r="U139" s="55">
        <f t="shared" ca="1" si="28"/>
        <v>29.191546539911087</v>
      </c>
      <c r="V139" s="55">
        <f t="shared" ca="1" si="29"/>
        <v>18</v>
      </c>
      <c r="W139" s="55">
        <f t="shared" ca="1" si="34"/>
        <v>-115.39017427149533</v>
      </c>
      <c r="X139" s="55">
        <f t="shared" ca="1" si="35"/>
        <v>64.225458056707296</v>
      </c>
      <c r="Y139" s="55">
        <f t="shared" ca="1" si="36"/>
        <v>34.674154256784576</v>
      </c>
      <c r="Z139">
        <f t="shared" ca="1" si="30"/>
        <v>120</v>
      </c>
      <c r="AA139">
        <f t="shared" ca="1" si="37"/>
        <v>309.49949777609777</v>
      </c>
      <c r="AB139">
        <f t="shared" ca="1" si="31"/>
        <v>0</v>
      </c>
      <c r="AC139">
        <f t="shared" ca="1" si="32"/>
        <v>0.41275989784548811</v>
      </c>
      <c r="AD139" s="83">
        <f ca="1"/>
        <v>45736</v>
      </c>
      <c r="AE139" s="55">
        <f t="shared" ca="1" si="41"/>
        <v>45736</v>
      </c>
      <c r="AF139" s="55">
        <f t="shared" ca="1" si="42"/>
        <v>-54.484236229481823</v>
      </c>
      <c r="AG139" s="55">
        <f t="shared" ca="1" si="43"/>
        <v>124.00991072605858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61.239611843628708</v>
      </c>
      <c r="AK139" s="55">
        <f t="shared" ca="1" si="40"/>
        <v>-6.4358713757712991</v>
      </c>
    </row>
    <row r="140" spans="18:37">
      <c r="R140" s="83">
        <f ca="1"/>
        <v>45509</v>
      </c>
      <c r="S140" s="55">
        <f t="shared" ca="1" si="33"/>
        <v>45509</v>
      </c>
      <c r="T140" s="55">
        <f t="shared" ca="1" si="27"/>
        <v>46.699434832130144</v>
      </c>
      <c r="U140" s="55">
        <f t="shared" ca="1" si="28"/>
        <v>29.765640660571549</v>
      </c>
      <c r="V140" s="55">
        <f t="shared" ca="1" si="29"/>
        <v>0</v>
      </c>
      <c r="W140" s="55">
        <f t="shared" ca="1" si="34"/>
        <v>-116.27417727678058</v>
      </c>
      <c r="X140" s="55">
        <f t="shared" ca="1" si="35"/>
        <v>64.671703942179676</v>
      </c>
      <c r="Y140" s="55">
        <f t="shared" ca="1" si="36"/>
        <v>34.719504572392566</v>
      </c>
      <c r="Z140">
        <f t="shared" ca="1" si="30"/>
        <v>120</v>
      </c>
      <c r="AA140">
        <f t="shared" ca="1" si="37"/>
        <v>312.18949777609777</v>
      </c>
      <c r="AB140">
        <f t="shared" ca="1" si="31"/>
        <v>0</v>
      </c>
      <c r="AC140">
        <f t="shared" ca="1" si="32"/>
        <v>0.42120960158389281</v>
      </c>
      <c r="AD140" s="83">
        <f ca="1"/>
        <v>45737</v>
      </c>
      <c r="AE140" s="55">
        <f t="shared" ca="1" si="41"/>
        <v>45737</v>
      </c>
      <c r="AF140" s="55">
        <f t="shared" ca="1" si="42"/>
        <v>-56.544423855823091</v>
      </c>
      <c r="AG140" s="55">
        <f t="shared" ca="1" si="43"/>
        <v>126.52479291178861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61.657892908820209</v>
      </c>
      <c r="AK140" s="55">
        <f t="shared" ca="1" si="40"/>
        <v>-6.3994578815740368</v>
      </c>
    </row>
    <row r="141" spans="18:37">
      <c r="R141" s="83">
        <f ca="1"/>
        <v>45510</v>
      </c>
      <c r="S141" s="55">
        <f t="shared" ca="1" si="33"/>
        <v>45510</v>
      </c>
      <c r="T141" s="55">
        <f t="shared" ca="1" si="27"/>
        <v>46.022813675024068</v>
      </c>
      <c r="U141" s="55">
        <f t="shared" ca="1" si="28"/>
        <v>30.361286290585038</v>
      </c>
      <c r="V141" s="55">
        <f t="shared" ca="1" si="29"/>
        <v>0</v>
      </c>
      <c r="W141" s="55">
        <f t="shared" ca="1" si="34"/>
        <v>-116.85065563177662</v>
      </c>
      <c r="X141" s="55">
        <f t="shared" ca="1" si="35"/>
        <v>65.122685246604036</v>
      </c>
      <c r="Y141" s="55">
        <f t="shared" ca="1" si="36"/>
        <v>34.764026095871671</v>
      </c>
      <c r="Z141">
        <f t="shared" ca="1" si="30"/>
        <v>120</v>
      </c>
      <c r="AA141">
        <f t="shared" ca="1" si="37"/>
        <v>313.9694977760978</v>
      </c>
      <c r="AB141">
        <f t="shared" ca="1" si="31"/>
        <v>0</v>
      </c>
      <c r="AC141">
        <f t="shared" ca="1" si="32"/>
        <v>0.42984539456837223</v>
      </c>
      <c r="AD141" s="83">
        <f ca="1"/>
        <v>45738</v>
      </c>
      <c r="AE141" s="55">
        <f t="shared" ca="1" si="41"/>
        <v>45738</v>
      </c>
      <c r="AF141" s="55">
        <f t="shared" ca="1" si="42"/>
        <v>-58.571699478813393</v>
      </c>
      <c r="AG141" s="55">
        <f t="shared" ca="1" si="43"/>
        <v>129.00650109285746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62.076294818281006</v>
      </c>
      <c r="AK141" s="55">
        <f t="shared" ca="1" si="40"/>
        <v>-6.3634272329562833</v>
      </c>
    </row>
    <row r="142" spans="18:37">
      <c r="R142" s="83">
        <f ca="1"/>
        <v>45511</v>
      </c>
      <c r="S142" s="55">
        <f t="shared" ca="1" si="33"/>
        <v>45511</v>
      </c>
      <c r="T142" s="55">
        <f t="shared" ca="1" si="27"/>
        <v>45.71211884018291</v>
      </c>
      <c r="U142" s="55">
        <f t="shared" ca="1" si="28"/>
        <v>30.966433965126342</v>
      </c>
      <c r="V142" s="55">
        <f t="shared" ca="1" si="29"/>
        <v>0</v>
      </c>
      <c r="W142" s="55">
        <f t="shared" ca="1" si="34"/>
        <v>-117.0500959132349</v>
      </c>
      <c r="X142" s="55">
        <f t="shared" ca="1" si="35"/>
        <v>65.573234751744707</v>
      </c>
      <c r="Y142" s="55">
        <f t="shared" ca="1" si="36"/>
        <v>34.807369711889422</v>
      </c>
      <c r="Z142">
        <f t="shared" ca="1" si="30"/>
        <v>120</v>
      </c>
      <c r="AA142">
        <f t="shared" ca="1" si="37"/>
        <v>314.5894977760978</v>
      </c>
      <c r="AB142">
        <f t="shared" ca="1" si="31"/>
        <v>0</v>
      </c>
      <c r="AC142">
        <f t="shared" ca="1" si="32"/>
        <v>0.43848100801867751</v>
      </c>
      <c r="AD142" s="83">
        <f ca="1"/>
        <v>45739</v>
      </c>
      <c r="AE142" s="55">
        <f t="shared" ca="1" si="41"/>
        <v>45739</v>
      </c>
      <c r="AF142" s="55">
        <f t="shared" ca="1" si="42"/>
        <v>-60.538308570854525</v>
      </c>
      <c r="AG142" s="55">
        <f t="shared" ca="1" si="43"/>
        <v>131.42050884854885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62.488473520523961</v>
      </c>
      <c r="AK142" s="55">
        <f t="shared" ca="1" si="40"/>
        <v>-6.3282072715489868</v>
      </c>
    </row>
    <row r="143" spans="18:37">
      <c r="R143" s="83">
        <f ca="1"/>
        <v>45512</v>
      </c>
      <c r="S143" s="55">
        <f t="shared" ca="1" si="33"/>
        <v>45512</v>
      </c>
      <c r="T143" s="55">
        <f t="shared" ca="1" si="27"/>
        <v>44.657095197903899</v>
      </c>
      <c r="U143" s="55">
        <f t="shared" ca="1" si="28"/>
        <v>31.596340726570048</v>
      </c>
      <c r="V143" s="55">
        <f t="shared" ca="1" si="29"/>
        <v>0</v>
      </c>
      <c r="W143" s="55">
        <f t="shared" ca="1" si="34"/>
        <v>-117.97400159388486</v>
      </c>
      <c r="X143" s="55">
        <f t="shared" ca="1" si="35"/>
        <v>66.029418054871797</v>
      </c>
      <c r="Y143" s="55">
        <f t="shared" ca="1" si="36"/>
        <v>34.849975208576993</v>
      </c>
      <c r="Z143">
        <f t="shared" ca="1" si="30"/>
        <v>120</v>
      </c>
      <c r="AA143">
        <f t="shared" ca="1" si="37"/>
        <v>317.5294977760978</v>
      </c>
      <c r="AB143">
        <f t="shared" ca="1" si="31"/>
        <v>0</v>
      </c>
      <c r="AC143">
        <f t="shared" ca="1" si="32"/>
        <v>0.44732128245164154</v>
      </c>
      <c r="AD143" s="83">
        <f ca="1"/>
        <v>45740</v>
      </c>
      <c r="AE143" s="55">
        <f t="shared" ca="1" si="41"/>
        <v>45740</v>
      </c>
      <c r="AF143" s="55">
        <f t="shared" ca="1" si="42"/>
        <v>-62.483980458579268</v>
      </c>
      <c r="AG143" s="55">
        <f t="shared" ca="1" si="43"/>
        <v>133.80209999536484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62.890943879545461</v>
      </c>
      <c r="AK143" s="55">
        <f t="shared" ca="1" si="40"/>
        <v>-6.294758371479233</v>
      </c>
    </row>
    <row r="144" spans="18:37">
      <c r="R144" s="83">
        <f ca="1"/>
        <v>45513</v>
      </c>
      <c r="S144" s="55">
        <f t="shared" ca="1" si="33"/>
        <v>45513</v>
      </c>
      <c r="T144" s="55">
        <f t="shared" ca="1" si="27"/>
        <v>43.682394042046376</v>
      </c>
      <c r="U144" s="55">
        <f t="shared" ca="1" si="28"/>
        <v>32.213262914107034</v>
      </c>
      <c r="V144" s="55">
        <f t="shared" ca="1" si="29"/>
        <v>0</v>
      </c>
      <c r="W144" s="55">
        <f t="shared" ca="1" si="34"/>
        <v>-118.81933681192076</v>
      </c>
      <c r="X144" s="55">
        <f t="shared" ca="1" si="35"/>
        <v>66.47609312691911</v>
      </c>
      <c r="Y144" s="55">
        <f t="shared" ca="1" si="36"/>
        <v>34.890856386245041</v>
      </c>
      <c r="Z144">
        <f t="shared" ca="1" si="30"/>
        <v>120</v>
      </c>
      <c r="AA144">
        <f t="shared" ca="1" si="37"/>
        <v>320.2794977760978</v>
      </c>
      <c r="AB144">
        <f t="shared" ca="1" si="31"/>
        <v>0</v>
      </c>
      <c r="AC144">
        <f t="shared" ca="1" si="32"/>
        <v>0.45583170327483219</v>
      </c>
      <c r="AD144" s="83">
        <f ca="1"/>
        <v>45741</v>
      </c>
      <c r="AE144" s="55">
        <f t="shared" ca="1" si="41"/>
        <v>45741</v>
      </c>
      <c r="AF144" s="55">
        <f t="shared" ca="1" si="42"/>
        <v>-64.417067562683187</v>
      </c>
      <c r="AG144" s="55">
        <f t="shared" ca="1" si="43"/>
        <v>136.16328778231568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63.287065033303136</v>
      </c>
      <c r="AK144" s="55">
        <f t="shared" ca="1" si="40"/>
        <v>-6.262778842389995</v>
      </c>
    </row>
    <row r="145" spans="18:37">
      <c r="R145" s="83">
        <f ca="1"/>
        <v>45514</v>
      </c>
      <c r="S145" s="55">
        <f t="shared" ca="1" si="33"/>
        <v>45514</v>
      </c>
      <c r="T145" s="55">
        <f t="shared" ca="1" si="27"/>
        <v>42.347087828807986</v>
      </c>
      <c r="U145" s="55">
        <f t="shared" ca="1" si="28"/>
        <v>32.869956741315839</v>
      </c>
      <c r="V145" s="55">
        <f t="shared" ca="1" si="29"/>
        <v>0</v>
      </c>
      <c r="W145" s="55">
        <f t="shared" ca="1" si="34"/>
        <v>-119.9964290124956</v>
      </c>
      <c r="X145" s="55">
        <f t="shared" ca="1" si="35"/>
        <v>66.934018808910267</v>
      </c>
      <c r="Y145" s="55">
        <f t="shared" ca="1" si="36"/>
        <v>34.931410518799133</v>
      </c>
      <c r="Z145">
        <f t="shared" ca="1" si="30"/>
        <v>120</v>
      </c>
      <c r="AA145">
        <f t="shared" ca="1" si="37"/>
        <v>324.22949777609779</v>
      </c>
      <c r="AB145">
        <f t="shared" ca="1" si="31"/>
        <v>0</v>
      </c>
      <c r="AC145">
        <f t="shared" ca="1" si="32"/>
        <v>0.464729885428603</v>
      </c>
      <c r="AD145" s="83">
        <f ca="1"/>
        <v>45742</v>
      </c>
      <c r="AE145" s="55">
        <f t="shared" ca="1" si="41"/>
        <v>45742</v>
      </c>
      <c r="AF145" s="55">
        <f t="shared" ca="1" si="42"/>
        <v>-66.32152897807147</v>
      </c>
      <c r="AG145" s="55">
        <f t="shared" ca="1" si="43"/>
        <v>138.50877785408468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63.695175895952417</v>
      </c>
      <c r="AK145" s="55">
        <f t="shared" ca="1" si="40"/>
        <v>-6.2298610486585488</v>
      </c>
    </row>
    <row r="146" spans="18:37">
      <c r="R146" s="83">
        <f ca="1"/>
        <v>45515</v>
      </c>
      <c r="S146" s="55">
        <f t="shared" ca="1" si="33"/>
        <v>45515</v>
      </c>
      <c r="T146" s="55">
        <f t="shared" ref="T146:T209" ca="1" si="45">VLOOKUP(S146,ModelOutputs,2,FALSE)</f>
        <v>41.566342937727534</v>
      </c>
      <c r="U146" s="55">
        <f t="shared" ref="U146:U209" ca="1" si="46">VLOOKUP(S146,ModelOutputs,7,FALSE)</f>
        <v>33.506389364659874</v>
      </c>
      <c r="V146" s="55">
        <f t="shared" ref="V146:V209" ca="1" si="47">VLOOKUP(S146,ModelOutputs,6,FALSE)</f>
        <v>0</v>
      </c>
      <c r="W146" s="55">
        <f t="shared" ca="1" si="34"/>
        <v>-120.62531238620159</v>
      </c>
      <c r="X146" s="55">
        <f t="shared" ca="1" si="35"/>
        <v>67.379835768859976</v>
      </c>
      <c r="Y146" s="55">
        <f t="shared" ca="1" si="36"/>
        <v>34.970164664818995</v>
      </c>
      <c r="Z146">
        <f t="shared" ref="Z146:Z209" ca="1" si="48">VLOOKUP(S146,ModelOutputs,10,FALSE)*AWC</f>
        <v>120</v>
      </c>
      <c r="AA146">
        <f t="shared" ca="1" si="37"/>
        <v>326.37949777609776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0.47319517351843282</v>
      </c>
      <c r="AD146" s="83">
        <f ca="1"/>
        <v>45743</v>
      </c>
      <c r="AE146" s="55">
        <f t="shared" ca="1" si="41"/>
        <v>45743</v>
      </c>
      <c r="AF146" s="55">
        <f t="shared" ca="1" si="42"/>
        <v>-68.231379238676709</v>
      </c>
      <c r="AG146" s="55">
        <f t="shared" ca="1" si="43"/>
        <v>140.84707330016872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64.09293320768964</v>
      </c>
      <c r="AK146" s="55">
        <f t="shared" ca="1" si="40"/>
        <v>-6.1991731749169858</v>
      </c>
    </row>
    <row r="147" spans="18:37">
      <c r="R147" s="83">
        <f ca="1"/>
        <v>45516</v>
      </c>
      <c r="S147" s="55">
        <f t="shared" ref="S147:S210" ca="1" si="51">IF(R147&gt;1,R147,"")</f>
        <v>45516</v>
      </c>
      <c r="T147" s="55">
        <f t="shared" ca="1" si="45"/>
        <v>40.623281693956116</v>
      </c>
      <c r="U147" s="55">
        <f t="shared" ca="1" si="46"/>
        <v>34.180302945779523</v>
      </c>
      <c r="V147" s="55">
        <f t="shared" ca="1" si="47"/>
        <v>0</v>
      </c>
      <c r="W147" s="55">
        <f t="shared" ref="W147:W210" ca="1" si="52">-VLOOKUP(S147,ModelOutputs,9,FALSE)+W146</f>
        <v>-121.38857871225136</v>
      </c>
      <c r="X147" s="55">
        <f t="shared" ref="X147:X210" ca="1" si="53">VLOOKUP(S147,ModelOutputs,5,FALSE)+X146</f>
        <v>67.835584132259612</v>
      </c>
      <c r="Y147" s="55">
        <f t="shared" ref="Y147:Y210" ca="1" si="54">VLOOKUP(S147,ModelOutputs,4,FALSE)+Y146</f>
        <v>35.008534964817358</v>
      </c>
      <c r="Z147">
        <f t="shared" ca="1" si="48"/>
        <v>120</v>
      </c>
      <c r="AA147">
        <f t="shared" ref="AA147:AA210" ca="1" si="55">VLOOKUP(S147,ModelOutputs,11,FALSE)+AA146</f>
        <v>329.04949777609778</v>
      </c>
      <c r="AB147">
        <f t="shared" ca="1" si="49"/>
        <v>0</v>
      </c>
      <c r="AC147">
        <f t="shared" ca="1" si="50"/>
        <v>0.48198936885210641</v>
      </c>
      <c r="AD147" s="83">
        <f ca="1"/>
        <v>45744</v>
      </c>
      <c r="AE147" s="55">
        <f t="shared" ca="1" si="41"/>
        <v>45744</v>
      </c>
      <c r="AF147" s="55">
        <f t="shared" ca="1" si="42"/>
        <v>-70.104208443641397</v>
      </c>
      <c r="AG147" s="55">
        <f t="shared" ca="1" si="43"/>
        <v>143.14618842578835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64.489105441979575</v>
      </c>
      <c r="AK147" s="55">
        <f t="shared" ref="AK147:AK210" ca="1" si="58">VLOOKUP(AE147,ModelOutputs,4,FALSE)+AK146</f>
        <v>-6.1690594885519801</v>
      </c>
    </row>
    <row r="148" spans="18:37">
      <c r="R148" s="83">
        <f ca="1"/>
        <v>45517</v>
      </c>
      <c r="S148" s="55">
        <f t="shared" ca="1" si="51"/>
        <v>45517</v>
      </c>
      <c r="T148" s="55">
        <f t="shared" ca="1" si="45"/>
        <v>39.525028969654393</v>
      </c>
      <c r="U148" s="55">
        <f t="shared" ca="1" si="46"/>
        <v>34.850648500452415</v>
      </c>
      <c r="V148" s="55">
        <f t="shared" ca="1" si="47"/>
        <v>0</v>
      </c>
      <c r="W148" s="55">
        <f t="shared" ca="1" si="52"/>
        <v>-122.30365632739695</v>
      </c>
      <c r="X148" s="55">
        <f t="shared" ca="1" si="53"/>
        <v>68.285702099565555</v>
      </c>
      <c r="Y148" s="55">
        <f t="shared" ca="1" si="54"/>
        <v>35.045587443028175</v>
      </c>
      <c r="Z148">
        <f t="shared" ca="1" si="48"/>
        <v>120</v>
      </c>
      <c r="AA148">
        <f t="shared" ca="1" si="55"/>
        <v>332.3394977760978</v>
      </c>
      <c r="AB148">
        <f t="shared" ca="1" si="49"/>
        <v>0</v>
      </c>
      <c r="AC148">
        <f t="shared" ca="1" si="50"/>
        <v>0.49056450527284995</v>
      </c>
      <c r="AD148" s="83">
        <f ca="1"/>
        <v>45745</v>
      </c>
      <c r="AE148" s="55">
        <f t="shared" ca="1" si="41"/>
        <v>45745</v>
      </c>
      <c r="AF148" s="55">
        <f t="shared" ca="1" si="42"/>
        <v>-71.96099678066534</v>
      </c>
      <c r="AG148" s="55">
        <f t="shared" ca="1" si="43"/>
        <v>145.44017270248492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64.895717027202238</v>
      </c>
      <c r="AK148" s="55">
        <f t="shared" ca="1" si="58"/>
        <v>-6.1384751341020305</v>
      </c>
    </row>
    <row r="149" spans="18:37">
      <c r="R149" s="83">
        <f ca="1"/>
        <v>45518</v>
      </c>
      <c r="S149" s="55">
        <f t="shared" ca="1" si="51"/>
        <v>45518</v>
      </c>
      <c r="T149" s="55">
        <f t="shared" ca="1" si="45"/>
        <v>38.466777186320257</v>
      </c>
      <c r="U149" s="55">
        <f t="shared" ca="1" si="46"/>
        <v>35.466349211119123</v>
      </c>
      <c r="V149" s="55">
        <f t="shared" ca="1" si="47"/>
        <v>0</v>
      </c>
      <c r="W149" s="55">
        <f t="shared" ca="1" si="52"/>
        <v>-123.20776806082061</v>
      </c>
      <c r="X149" s="55">
        <f t="shared" ca="1" si="53"/>
        <v>68.712486942770141</v>
      </c>
      <c r="Y149" s="55">
        <f t="shared" ca="1" si="54"/>
        <v>35.080363260579816</v>
      </c>
      <c r="Z149">
        <f t="shared" ca="1" si="48"/>
        <v>120</v>
      </c>
      <c r="AA149">
        <f t="shared" ca="1" si="55"/>
        <v>335.67949777609783</v>
      </c>
      <c r="AB149">
        <f t="shared" ca="1" si="49"/>
        <v>0</v>
      </c>
      <c r="AC149">
        <f t="shared" ca="1" si="50"/>
        <v>0.49828981163233876</v>
      </c>
      <c r="AD149" s="83">
        <f ca="1"/>
        <v>45746</v>
      </c>
      <c r="AE149" s="55">
        <f t="shared" ref="AE149:AE212" ca="1" si="59">IF(AD149&gt;1,AD149,"")</f>
        <v>45746</v>
      </c>
      <c r="AF149" s="55">
        <f t="shared" ref="AF149:AF212" ca="1" si="60">VLOOKUP(AE149,ModelOutputs,2,FALSE)</f>
        <v>-73.778667398817177</v>
      </c>
      <c r="AG149" s="55">
        <f t="shared" ref="AG149:AG212" ca="1" si="61">VLOOKUP(AE149,ModelOutputs,7,FALSE)</f>
        <v>147.67441750514132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65.284182213646531</v>
      </c>
      <c r="AK149" s="55">
        <f t="shared" ca="1" si="58"/>
        <v>-6.1103661360417547</v>
      </c>
    </row>
    <row r="150" spans="18:37">
      <c r="R150" s="83">
        <f ca="1"/>
        <v>45519</v>
      </c>
      <c r="S150" s="55">
        <f t="shared" ca="1" si="51"/>
        <v>45519</v>
      </c>
      <c r="T150" s="55">
        <f t="shared" ca="1" si="45"/>
        <v>37.60928467779074</v>
      </c>
      <c r="U150" s="55">
        <f t="shared" ca="1" si="46"/>
        <v>36.095117005303301</v>
      </c>
      <c r="V150" s="55">
        <f t="shared" ca="1" si="47"/>
        <v>0</v>
      </c>
      <c r="W150" s="55">
        <f t="shared" ca="1" si="52"/>
        <v>-123.89852525606936</v>
      </c>
      <c r="X150" s="55">
        <f t="shared" ca="1" si="53"/>
        <v>69.140524224606608</v>
      </c>
      <c r="Y150" s="55">
        <f t="shared" ca="1" si="54"/>
        <v>35.114358459646766</v>
      </c>
      <c r="Z150">
        <f t="shared" ca="1" si="48"/>
        <v>120</v>
      </c>
      <c r="AA150">
        <f t="shared" ca="1" si="55"/>
        <v>338.28949777609785</v>
      </c>
      <c r="AB150">
        <f t="shared" ca="1" si="49"/>
        <v>0</v>
      </c>
      <c r="AC150">
        <f t="shared" ca="1" si="50"/>
        <v>0.5060309984048974</v>
      </c>
      <c r="AD150" s="83">
        <f ca="1"/>
        <v>45747</v>
      </c>
      <c r="AE150" s="55">
        <f t="shared" ca="1" si="59"/>
        <v>45747</v>
      </c>
      <c r="AF150" s="55">
        <f t="shared" ca="1" si="60"/>
        <v>-75.534146854894615</v>
      </c>
      <c r="AG150" s="55">
        <f t="shared" ca="1" si="61"/>
        <v>149.84600375522979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65.672247243134535</v>
      </c>
      <c r="AK150" s="55">
        <f t="shared" ca="1" si="58"/>
        <v>-6.0823243715187303</v>
      </c>
    </row>
    <row r="151" spans="18:37">
      <c r="R151" s="83">
        <f ca="1"/>
        <v>45520</v>
      </c>
      <c r="S151" s="55">
        <f t="shared" ca="1" si="51"/>
        <v>45520</v>
      </c>
      <c r="T151" s="55">
        <f t="shared" ca="1" si="45"/>
        <v>36.581867342616292</v>
      </c>
      <c r="U151" s="55">
        <f t="shared" ca="1" si="46"/>
        <v>36.718659008295589</v>
      </c>
      <c r="V151" s="55">
        <f t="shared" ca="1" si="47"/>
        <v>0</v>
      </c>
      <c r="W151" s="55">
        <f t="shared" ca="1" si="52"/>
        <v>-124.75833462701841</v>
      </c>
      <c r="X151" s="55">
        <f t="shared" ca="1" si="53"/>
        <v>69.563565741940806</v>
      </c>
      <c r="Y151" s="55">
        <f t="shared" ca="1" si="54"/>
        <v>35.147250981079466</v>
      </c>
      <c r="Z151">
        <f t="shared" ca="1" si="48"/>
        <v>120</v>
      </c>
      <c r="AA151">
        <f t="shared" ca="1" si="55"/>
        <v>341.62949777609788</v>
      </c>
      <c r="AB151">
        <f t="shared" ca="1" si="49"/>
        <v>0</v>
      </c>
      <c r="AC151">
        <f t="shared" ca="1" si="50"/>
        <v>0.51356118867470346</v>
      </c>
      <c r="AD151" s="83">
        <f ca="1"/>
        <v>45748</v>
      </c>
      <c r="AE151" s="55">
        <f t="shared" ca="1" si="59"/>
        <v>45748</v>
      </c>
      <c r="AF151" s="55">
        <f t="shared" ca="1" si="60"/>
        <v>-77.233926511306265</v>
      </c>
      <c r="AG151" s="55">
        <f t="shared" ca="1" si="61"/>
        <v>151.94612356656512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66.046228593820601</v>
      </c>
      <c r="AK151" s="55">
        <f t="shared" ca="1" si="58"/>
        <v>-6.0559655672811061</v>
      </c>
    </row>
    <row r="152" spans="18:37">
      <c r="R152" s="83">
        <f ca="1"/>
        <v>45521</v>
      </c>
      <c r="S152" s="55">
        <f t="shared" ca="1" si="51"/>
        <v>45521</v>
      </c>
      <c r="T152" s="55">
        <f t="shared" ca="1" si="45"/>
        <v>35.886504308190744</v>
      </c>
      <c r="U152" s="55">
        <f t="shared" ca="1" si="46"/>
        <v>37.351463871524757</v>
      </c>
      <c r="V152" s="55">
        <f t="shared" ca="1" si="47"/>
        <v>0</v>
      </c>
      <c r="W152" s="55">
        <f t="shared" ca="1" si="52"/>
        <v>-125.2760306799088</v>
      </c>
      <c r="X152" s="55">
        <f t="shared" ca="1" si="53"/>
        <v>69.986607259275004</v>
      </c>
      <c r="Y152" s="55">
        <f t="shared" ca="1" si="54"/>
        <v>35.179347345439275</v>
      </c>
      <c r="Z152">
        <f t="shared" ca="1" si="48"/>
        <v>120</v>
      </c>
      <c r="AA152">
        <f t="shared" ca="1" si="55"/>
        <v>343.67949777609789</v>
      </c>
      <c r="AB152">
        <f t="shared" ca="1" si="49"/>
        <v>0</v>
      </c>
      <c r="AC152">
        <f t="shared" ca="1" si="50"/>
        <v>0.52105523203062754</v>
      </c>
      <c r="AD152" s="83">
        <f ca="1"/>
        <v>45749</v>
      </c>
      <c r="AE152" s="55">
        <f t="shared" ca="1" si="59"/>
        <v>45749</v>
      </c>
      <c r="AF152" s="55">
        <f t="shared" ca="1" si="60"/>
        <v>-78.880434478612884</v>
      </c>
      <c r="AG152" s="55">
        <f t="shared" ca="1" si="61"/>
        <v>154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66.426675621164236</v>
      </c>
      <c r="AK152" s="55">
        <f t="shared" ca="1" si="58"/>
        <v>-6.02904412849648</v>
      </c>
    </row>
    <row r="153" spans="18:37">
      <c r="R153" s="83">
        <f ca="1"/>
        <v>45522</v>
      </c>
      <c r="S153" s="55">
        <f t="shared" ca="1" si="51"/>
        <v>45522</v>
      </c>
      <c r="T153" s="55">
        <f t="shared" ca="1" si="45"/>
        <v>35.261932569348886</v>
      </c>
      <c r="U153" s="55">
        <f t="shared" ca="1" si="46"/>
        <v>38.001257613883361</v>
      </c>
      <c r="V153" s="55">
        <f t="shared" ca="1" si="47"/>
        <v>0</v>
      </c>
      <c r="W153" s="55">
        <f t="shared" ca="1" si="52"/>
        <v>-125.70779345425794</v>
      </c>
      <c r="X153" s="55">
        <f t="shared" ca="1" si="53"/>
        <v>70.412141996283296</v>
      </c>
      <c r="Y153" s="55">
        <f t="shared" ca="1" si="54"/>
        <v>35.210797386296868</v>
      </c>
      <c r="Z153">
        <f t="shared" ca="1" si="48"/>
        <v>120</v>
      </c>
      <c r="AA153">
        <f t="shared" ca="1" si="55"/>
        <v>345.4194977760979</v>
      </c>
      <c r="AB153">
        <f t="shared" ca="1" si="49"/>
        <v>0</v>
      </c>
      <c r="AC153">
        <f t="shared" ca="1" si="50"/>
        <v>0.52859685326491967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45523</v>
      </c>
      <c r="S154" s="55">
        <f t="shared" ca="1" si="51"/>
        <v>45523</v>
      </c>
      <c r="T154" s="55">
        <f t="shared" ca="1" si="45"/>
        <v>34.305793155336758</v>
      </c>
      <c r="U154" s="55">
        <f t="shared" ca="1" si="46"/>
        <v>38.696911473019547</v>
      </c>
      <c r="V154" s="55">
        <f t="shared" ca="1" si="47"/>
        <v>0</v>
      </c>
      <c r="W154" s="55">
        <f t="shared" ca="1" si="52"/>
        <v>-126.43685508805542</v>
      </c>
      <c r="X154" s="55">
        <f t="shared" ca="1" si="53"/>
        <v>70.849435204836013</v>
      </c>
      <c r="Y154" s="55">
        <f t="shared" ca="1" si="54"/>
        <v>35.242080256665702</v>
      </c>
      <c r="Z154">
        <f t="shared" ca="1" si="48"/>
        <v>120</v>
      </c>
      <c r="AA154">
        <f t="shared" ca="1" si="55"/>
        <v>348.43949777609788</v>
      </c>
      <c r="AB154">
        <f t="shared" ca="1" si="49"/>
        <v>0</v>
      </c>
      <c r="AC154">
        <f t="shared" ca="1" si="50"/>
        <v>0.53650019001479854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45524</v>
      </c>
      <c r="S155" s="55">
        <f t="shared" ca="1" si="51"/>
        <v>45524</v>
      </c>
      <c r="T155" s="55">
        <f t="shared" ca="1" si="45"/>
        <v>33.526188964135564</v>
      </c>
      <c r="U155" s="55">
        <f t="shared" ca="1" si="46"/>
        <v>39.440198815992851</v>
      </c>
      <c r="V155" s="55">
        <f t="shared" ca="1" si="47"/>
        <v>0</v>
      </c>
      <c r="W155" s="55">
        <f t="shared" ca="1" si="52"/>
        <v>-126.95353091131382</v>
      </c>
      <c r="X155" s="55">
        <f t="shared" ca="1" si="53"/>
        <v>71.298690880661539</v>
      </c>
      <c r="Y155" s="55">
        <f t="shared" ca="1" si="54"/>
        <v>35.273183555870681</v>
      </c>
      <c r="Z155">
        <f t="shared" ca="1" si="48"/>
        <v>120</v>
      </c>
      <c r="AA155">
        <f t="shared" ca="1" si="55"/>
        <v>350.62949777609788</v>
      </c>
      <c r="AB155">
        <f t="shared" ca="1" si="49"/>
        <v>0</v>
      </c>
      <c r="AC155">
        <f t="shared" ca="1" si="50"/>
        <v>0.5447523696457347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45525</v>
      </c>
      <c r="S156" s="55">
        <f t="shared" ca="1" si="51"/>
        <v>45525</v>
      </c>
      <c r="T156" s="55">
        <f t="shared" ca="1" si="45"/>
        <v>32.768492712652652</v>
      </c>
      <c r="U156" s="55">
        <f t="shared" ca="1" si="46"/>
        <v>40.212960164417268</v>
      </c>
      <c r="V156" s="55">
        <f t="shared" ca="1" si="47"/>
        <v>0</v>
      </c>
      <c r="W156" s="55">
        <f t="shared" ca="1" si="52"/>
        <v>-127.42394082892213</v>
      </c>
      <c r="X156" s="55">
        <f t="shared" ca="1" si="53"/>
        <v>71.753570150321508</v>
      </c>
      <c r="Y156" s="55">
        <f t="shared" ca="1" si="54"/>
        <v>35.303779300760525</v>
      </c>
      <c r="Z156">
        <f t="shared" ca="1" si="48"/>
        <v>120</v>
      </c>
      <c r="AA156">
        <f t="shared" ca="1" si="55"/>
        <v>352.6694977760979</v>
      </c>
      <c r="AB156">
        <f t="shared" ca="1" si="49"/>
        <v>0</v>
      </c>
      <c r="AC156">
        <f t="shared" ca="1" si="50"/>
        <v>0.55312428577501693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45526</v>
      </c>
      <c r="S157" s="55">
        <f t="shared" ca="1" si="51"/>
        <v>45526</v>
      </c>
      <c r="T157" s="55">
        <f t="shared" ca="1" si="45"/>
        <v>32.164467915791121</v>
      </c>
      <c r="U157" s="55">
        <f t="shared" ca="1" si="46"/>
        <v>41.03247806005399</v>
      </c>
      <c r="V157" s="55">
        <f t="shared" ca="1" si="47"/>
        <v>0</v>
      </c>
      <c r="W157" s="55">
        <f t="shared" ca="1" si="52"/>
        <v>-127.70460559340214</v>
      </c>
      <c r="X157" s="55">
        <f t="shared" ca="1" si="53"/>
        <v>72.219388470576249</v>
      </c>
      <c r="Y157" s="55">
        <f t="shared" ca="1" si="54"/>
        <v>35.334118843760997</v>
      </c>
      <c r="Z157">
        <f t="shared" ca="1" si="48"/>
        <v>120</v>
      </c>
      <c r="AA157">
        <f t="shared" ca="1" si="55"/>
        <v>353.90949777609791</v>
      </c>
      <c r="AB157">
        <f t="shared" ca="1" si="49"/>
        <v>0</v>
      </c>
      <c r="AC157">
        <f t="shared" ca="1" si="50"/>
        <v>0.56177557968950353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45527</v>
      </c>
      <c r="S158" s="55">
        <f t="shared" ca="1" si="51"/>
        <v>45527</v>
      </c>
      <c r="T158" s="55">
        <f t="shared" ca="1" si="45"/>
        <v>31.543467723108311</v>
      </c>
      <c r="U158" s="55">
        <f t="shared" ca="1" si="46"/>
        <v>41.867416625464976</v>
      </c>
      <c r="V158" s="55">
        <f t="shared" ca="1" si="47"/>
        <v>0</v>
      </c>
      <c r="W158" s="55">
        <f t="shared" ca="1" si="52"/>
        <v>-127.98651073272013</v>
      </c>
      <c r="X158" s="55">
        <f t="shared" ca="1" si="53"/>
        <v>72.685647765260768</v>
      </c>
      <c r="Y158" s="55">
        <f t="shared" ca="1" si="54"/>
        <v>35.363703061122649</v>
      </c>
      <c r="Z158">
        <f t="shared" ca="1" si="48"/>
        <v>120</v>
      </c>
      <c r="AA158">
        <f t="shared" ca="1" si="55"/>
        <v>355.17949777609789</v>
      </c>
      <c r="AB158">
        <f t="shared" ca="1" si="49"/>
        <v>0</v>
      </c>
      <c r="AC158">
        <f t="shared" ca="1" si="50"/>
        <v>0.57035371315240169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45528</v>
      </c>
      <c r="S159" s="55">
        <f t="shared" ca="1" si="51"/>
        <v>45528</v>
      </c>
      <c r="T159" s="55">
        <f t="shared" ca="1" si="45"/>
        <v>30.050704376782477</v>
      </c>
      <c r="U159" s="55">
        <f t="shared" ca="1" si="46"/>
        <v>42.743294424524969</v>
      </c>
      <c r="V159" s="55">
        <f t="shared" ca="1" si="47"/>
        <v>0</v>
      </c>
      <c r="W159" s="55">
        <f t="shared" ca="1" si="52"/>
        <v>-129.10729070706901</v>
      </c>
      <c r="X159" s="55">
        <f t="shared" ca="1" si="53"/>
        <v>73.160335554957399</v>
      </c>
      <c r="Y159" s="55">
        <f t="shared" ca="1" si="54"/>
        <v>35.392909698509065</v>
      </c>
      <c r="Z159">
        <f t="shared" ca="1" si="48"/>
        <v>120</v>
      </c>
      <c r="AA159">
        <f t="shared" ca="1" si="55"/>
        <v>360.4794977760979</v>
      </c>
      <c r="AB159">
        <f t="shared" ca="1" si="49"/>
        <v>0</v>
      </c>
      <c r="AC159">
        <f t="shared" ca="1" si="50"/>
        <v>0.57910182334862781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45529</v>
      </c>
      <c r="S160" s="55">
        <f t="shared" ca="1" si="51"/>
        <v>45529</v>
      </c>
      <c r="T160" s="55">
        <f t="shared" ca="1" si="45"/>
        <v>29.155130728167389</v>
      </c>
      <c r="U160" s="55">
        <f t="shared" ca="1" si="46"/>
        <v>43.61439773589256</v>
      </c>
      <c r="V160" s="55">
        <f t="shared" ca="1" si="47"/>
        <v>0</v>
      </c>
      <c r="W160" s="55">
        <f t="shared" ca="1" si="52"/>
        <v>-129.62841167334358</v>
      </c>
      <c r="X160" s="55">
        <f t="shared" ca="1" si="53"/>
        <v>73.628803665042042</v>
      </c>
      <c r="Y160" s="55">
        <f t="shared" ca="1" si="54"/>
        <v>35.421092217451502</v>
      </c>
      <c r="Z160">
        <f t="shared" ca="1" si="48"/>
        <v>120</v>
      </c>
      <c r="AA160">
        <f t="shared" ca="1" si="55"/>
        <v>363.01949777609792</v>
      </c>
      <c r="AB160">
        <f t="shared" ca="1" si="49"/>
        <v>0</v>
      </c>
      <c r="AC160">
        <f t="shared" ca="1" si="50"/>
        <v>0.58755338385764222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45530</v>
      </c>
      <c r="S161" s="55">
        <f t="shared" ca="1" si="51"/>
        <v>45530</v>
      </c>
      <c r="T161" s="55">
        <f t="shared" ca="1" si="45"/>
        <v>28.589174603533824</v>
      </c>
      <c r="U161" s="55">
        <f t="shared" ca="1" si="46"/>
        <v>44.495851577503473</v>
      </c>
      <c r="V161" s="55">
        <f t="shared" ca="1" si="47"/>
        <v>0</v>
      </c>
      <c r="W161" s="55">
        <f t="shared" ca="1" si="52"/>
        <v>-129.80746461502719</v>
      </c>
      <c r="X161" s="55">
        <f t="shared" ca="1" si="53"/>
        <v>74.095945697124066</v>
      </c>
      <c r="Y161" s="55">
        <f t="shared" ca="1" si="54"/>
        <v>35.448500844030434</v>
      </c>
      <c r="Z161">
        <f t="shared" ca="1" si="48"/>
        <v>120</v>
      </c>
      <c r="AA161">
        <f t="shared" ca="1" si="55"/>
        <v>363.90949777609791</v>
      </c>
      <c r="AB161">
        <f t="shared" ca="1" si="49"/>
        <v>0</v>
      </c>
      <c r="AC161">
        <f t="shared" ca="1" si="50"/>
        <v>0.59585872900891834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45531</v>
      </c>
      <c r="S162" s="55">
        <f t="shared" ca="1" si="51"/>
        <v>45531</v>
      </c>
      <c r="T162" s="55">
        <f t="shared" ca="1" si="45"/>
        <v>28.164184614191011</v>
      </c>
      <c r="U162" s="55">
        <f t="shared" ca="1" si="46"/>
        <v>45.341743722188802</v>
      </c>
      <c r="V162" s="55">
        <f t="shared" ca="1" si="47"/>
        <v>0</v>
      </c>
      <c r="W162" s="55">
        <f t="shared" ca="1" si="52"/>
        <v>-129.86494041399911</v>
      </c>
      <c r="X162" s="55">
        <f t="shared" ca="1" si="53"/>
        <v>74.548223968486639</v>
      </c>
      <c r="Y162" s="55">
        <f t="shared" ca="1" si="54"/>
        <v>35.4746005269823</v>
      </c>
      <c r="Z162">
        <f t="shared" ca="1" si="48"/>
        <v>120</v>
      </c>
      <c r="AA162">
        <f t="shared" ca="1" si="55"/>
        <v>364.19949777609793</v>
      </c>
      <c r="AB162">
        <f t="shared" ca="1" si="49"/>
        <v>0</v>
      </c>
      <c r="AC162">
        <f t="shared" ca="1" si="50"/>
        <v>0.60360139663743284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45532</v>
      </c>
      <c r="S163" s="55">
        <f t="shared" ca="1" si="51"/>
        <v>45532</v>
      </c>
      <c r="T163" s="55">
        <f t="shared" ca="1" si="45"/>
        <v>27.74002523576436</v>
      </c>
      <c r="U163" s="55">
        <f t="shared" ca="1" si="46"/>
        <v>46.197839276678842</v>
      </c>
      <c r="V163" s="55">
        <f t="shared" ca="1" si="47"/>
        <v>0</v>
      </c>
      <c r="W163" s="55">
        <f t="shared" ca="1" si="52"/>
        <v>-129.90983815854736</v>
      </c>
      <c r="X163" s="55">
        <f t="shared" ca="1" si="53"/>
        <v>74.999637333682998</v>
      </c>
      <c r="Y163" s="55">
        <f t="shared" ca="1" si="54"/>
        <v>35.500021082397588</v>
      </c>
      <c r="Z163">
        <f t="shared" ca="1" si="48"/>
        <v>120</v>
      </c>
      <c r="AA163">
        <f t="shared" ca="1" si="55"/>
        <v>364.42949777609795</v>
      </c>
      <c r="AB163">
        <f t="shared" ca="1" si="49"/>
        <v>0</v>
      </c>
      <c r="AC163">
        <f t="shared" ca="1" si="50"/>
        <v>0.61121617001623729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45533</v>
      </c>
      <c r="S164" s="55">
        <f t="shared" ca="1" si="51"/>
        <v>45533</v>
      </c>
      <c r="T164" s="55">
        <f t="shared" ca="1" si="45"/>
        <v>27.110611355961936</v>
      </c>
      <c r="U164" s="55">
        <f t="shared" ca="1" si="46"/>
        <v>47.08847436856707</v>
      </c>
      <c r="V164" s="55">
        <f t="shared" ca="1" si="47"/>
        <v>0</v>
      </c>
      <c r="W164" s="55">
        <f t="shared" ca="1" si="52"/>
        <v>-130.13114107494937</v>
      </c>
      <c r="X164" s="55">
        <f t="shared" ca="1" si="53"/>
        <v>75.457127027887722</v>
      </c>
      <c r="Y164" s="55">
        <f t="shared" ca="1" si="54"/>
        <v>35.525055516680673</v>
      </c>
      <c r="Z164">
        <f t="shared" ca="1" si="48"/>
        <v>120</v>
      </c>
      <c r="AA164">
        <f t="shared" ca="1" si="55"/>
        <v>365.58949777609791</v>
      </c>
      <c r="AB164">
        <f t="shared" ca="1" si="49"/>
        <v>0</v>
      </c>
      <c r="AC164">
        <f t="shared" ca="1" si="50"/>
        <v>0.61890800315886796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45534</v>
      </c>
      <c r="S165" s="55">
        <f t="shared" ca="1" si="51"/>
        <v>45534</v>
      </c>
      <c r="T165" s="55">
        <f t="shared" ca="1" si="45"/>
        <v>26.176631648681859</v>
      </c>
      <c r="U165" s="55">
        <f t="shared" ca="1" si="46"/>
        <v>48.002354801422541</v>
      </c>
      <c r="V165" s="55">
        <f t="shared" ca="1" si="47"/>
        <v>0</v>
      </c>
      <c r="W165" s="55">
        <f t="shared" ca="1" si="52"/>
        <v>-130.63586531333098</v>
      </c>
      <c r="X165" s="55">
        <f t="shared" ca="1" si="53"/>
        <v>75.917236581248318</v>
      </c>
      <c r="Y165" s="55">
        <f t="shared" ca="1" si="54"/>
        <v>35.549570927277088</v>
      </c>
      <c r="Z165">
        <f t="shared" ca="1" si="48"/>
        <v>120</v>
      </c>
      <c r="AA165">
        <f t="shared" ca="1" si="55"/>
        <v>368.32949777609792</v>
      </c>
      <c r="AB165">
        <f t="shared" ca="1" si="49"/>
        <v>0</v>
      </c>
      <c r="AC165">
        <f t="shared" ca="1" si="50"/>
        <v>0.62656324916468342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45535</v>
      </c>
      <c r="S166" s="55">
        <f t="shared" ca="1" si="51"/>
        <v>45535</v>
      </c>
      <c r="T166" s="55">
        <f t="shared" ca="1" si="45"/>
        <v>25.580021225175894</v>
      </c>
      <c r="U166" s="55">
        <f t="shared" ca="1" si="46"/>
        <v>48.906999562687353</v>
      </c>
      <c r="V166" s="55">
        <f t="shared" ca="1" si="47"/>
        <v>0</v>
      </c>
      <c r="W166" s="55">
        <f t="shared" ca="1" si="52"/>
        <v>-130.80507241669454</v>
      </c>
      <c r="X166" s="55">
        <f t="shared" ca="1" si="53"/>
        <v>76.370814174004053</v>
      </c>
      <c r="Y166" s="55">
        <f t="shared" ca="1" si="54"/>
        <v>35.573234775643762</v>
      </c>
      <c r="Z166">
        <f t="shared" ca="1" si="48"/>
        <v>120</v>
      </c>
      <c r="AA166">
        <f t="shared" ca="1" si="55"/>
        <v>369.26949777609792</v>
      </c>
      <c r="AB166">
        <f t="shared" ca="1" si="49"/>
        <v>0</v>
      </c>
      <c r="AC166">
        <f t="shared" ca="1" si="50"/>
        <v>0.63391107786443945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45536</v>
      </c>
      <c r="S167" s="55">
        <f t="shared" ca="1" si="51"/>
        <v>45536</v>
      </c>
      <c r="T167" s="55">
        <f t="shared" ca="1" si="45"/>
        <v>24.999511737937528</v>
      </c>
      <c r="U167" s="55">
        <f t="shared" ca="1" si="46"/>
        <v>49.834930876143801</v>
      </c>
      <c r="V167" s="55">
        <f t="shared" ca="1" si="47"/>
        <v>0</v>
      </c>
      <c r="W167" s="55">
        <f t="shared" ca="1" si="52"/>
        <v>-130.93701428420033</v>
      </c>
      <c r="X167" s="55">
        <f t="shared" ca="1" si="53"/>
        <v>76.826997477131144</v>
      </c>
      <c r="Y167" s="55">
        <f t="shared" ca="1" si="54"/>
        <v>35.596415166240533</v>
      </c>
      <c r="Z167">
        <f t="shared" ca="1" si="48"/>
        <v>120</v>
      </c>
      <c r="AA167">
        <f t="shared" ca="1" si="55"/>
        <v>370.01949777609792</v>
      </c>
      <c r="AB167">
        <f t="shared" ca="1" si="49"/>
        <v>0</v>
      </c>
      <c r="AC167">
        <f t="shared" ca="1" si="50"/>
        <v>0.64121722787657642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45537</v>
      </c>
      <c r="S168" s="55">
        <f t="shared" ca="1" si="51"/>
        <v>45537</v>
      </c>
      <c r="T168" s="55">
        <f t="shared" ca="1" si="45"/>
        <v>24.449952110577073</v>
      </c>
      <c r="U168" s="55">
        <f t="shared" ca="1" si="46"/>
        <v>50.870952587237852</v>
      </c>
      <c r="V168" s="55">
        <f t="shared" ca="1" si="47"/>
        <v>0</v>
      </c>
      <c r="W168" s="55">
        <f t="shared" ca="1" si="52"/>
        <v>-130.95594035824149</v>
      </c>
      <c r="X168" s="55">
        <f t="shared" ca="1" si="53"/>
        <v>77.308856726552548</v>
      </c>
      <c r="Y168" s="55">
        <f t="shared" ca="1" si="54"/>
        <v>35.619944074593874</v>
      </c>
      <c r="Z168">
        <f t="shared" ca="1" si="48"/>
        <v>120</v>
      </c>
      <c r="AA168">
        <f t="shared" ca="1" si="55"/>
        <v>370.12949777609794</v>
      </c>
      <c r="AB168">
        <f t="shared" ca="1" si="49"/>
        <v>0</v>
      </c>
      <c r="AC168">
        <f t="shared" ca="1" si="50"/>
        <v>0.64910687465414862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45538</v>
      </c>
      <c r="S169" s="55">
        <f t="shared" ca="1" si="51"/>
        <v>45538</v>
      </c>
      <c r="T169" s="55">
        <f t="shared" ca="1" si="45"/>
        <v>23.609018190665221</v>
      </c>
      <c r="U169" s="55">
        <f t="shared" ca="1" si="46"/>
        <v>51.940579069761512</v>
      </c>
      <c r="V169" s="55">
        <f t="shared" ca="1" si="47"/>
        <v>0</v>
      </c>
      <c r="W169" s="55">
        <f t="shared" ca="1" si="52"/>
        <v>-131.23671279309417</v>
      </c>
      <c r="X169" s="55">
        <f t="shared" ca="1" si="53"/>
        <v>77.79523246380981</v>
      </c>
      <c r="Y169" s="55">
        <f t="shared" ca="1" si="54"/>
        <v>35.64303333480111</v>
      </c>
      <c r="Z169">
        <f t="shared" ca="1" si="48"/>
        <v>120</v>
      </c>
      <c r="AA169">
        <f t="shared" ca="1" si="55"/>
        <v>371.81949777609793</v>
      </c>
      <c r="AB169">
        <f t="shared" ca="1" si="49"/>
        <v>0</v>
      </c>
      <c r="AC169">
        <f t="shared" ca="1" si="50"/>
        <v>0.6569661966074074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45539</v>
      </c>
      <c r="S170" s="55">
        <f t="shared" ca="1" si="51"/>
        <v>45539</v>
      </c>
      <c r="T170" s="55">
        <f t="shared" ca="1" si="45"/>
        <v>22.429910094447362</v>
      </c>
      <c r="U170" s="55">
        <f t="shared" ca="1" si="46"/>
        <v>53.059818033067749</v>
      </c>
      <c r="V170" s="55">
        <f t="shared" ca="1" si="47"/>
        <v>0</v>
      </c>
      <c r="W170" s="55">
        <f t="shared" ca="1" si="52"/>
        <v>-131.81440758863783</v>
      </c>
      <c r="X170" s="55">
        <f t="shared" ca="1" si="53"/>
        <v>78.290262417896983</v>
      </c>
      <c r="Y170" s="55">
        <f t="shared" ca="1" si="54"/>
        <v>35.665829043345965</v>
      </c>
      <c r="Z170">
        <f t="shared" ca="1" si="48"/>
        <v>120</v>
      </c>
      <c r="AA170">
        <f t="shared" ca="1" si="55"/>
        <v>375.4794977760979</v>
      </c>
      <c r="AB170">
        <f t="shared" ca="1" si="49"/>
        <v>0</v>
      </c>
      <c r="AC170">
        <f t="shared" ca="1" si="50"/>
        <v>0.6648899769489528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45540</v>
      </c>
      <c r="S171" s="55">
        <f t="shared" ca="1" si="51"/>
        <v>45540</v>
      </c>
      <c r="T171" s="55">
        <f t="shared" ca="1" si="45"/>
        <v>21.555779751529066</v>
      </c>
      <c r="U171" s="55">
        <f t="shared" ca="1" si="46"/>
        <v>54.189437560717622</v>
      </c>
      <c r="V171" s="55">
        <f t="shared" ca="1" si="47"/>
        <v>0</v>
      </c>
      <c r="W171" s="55">
        <f t="shared" ca="1" si="52"/>
        <v>-132.07379547164791</v>
      </c>
      <c r="X171" s="55">
        <f t="shared" ca="1" si="53"/>
        <v>78.783005676671905</v>
      </c>
      <c r="Y171" s="55">
        <f t="shared" ca="1" si="54"/>
        <v>35.687962852312694</v>
      </c>
      <c r="Z171">
        <f t="shared" ca="1" si="48"/>
        <v>120</v>
      </c>
      <c r="AA171">
        <f t="shared" ca="1" si="55"/>
        <v>377.18949777609788</v>
      </c>
      <c r="AB171">
        <f t="shared" ca="1" si="49"/>
        <v>0</v>
      </c>
      <c r="AC171">
        <f t="shared" ca="1" si="50"/>
        <v>0.67258783287045365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45541</v>
      </c>
      <c r="S172" s="55">
        <f t="shared" ca="1" si="51"/>
        <v>45541</v>
      </c>
      <c r="T172" s="55">
        <f t="shared" ca="1" si="45"/>
        <v>20.879099059246563</v>
      </c>
      <c r="U172" s="55">
        <f t="shared" ca="1" si="46"/>
        <v>55.287533483232835</v>
      </c>
      <c r="V172" s="55">
        <f t="shared" ca="1" si="47"/>
        <v>0</v>
      </c>
      <c r="W172" s="55">
        <f t="shared" ca="1" si="52"/>
        <v>-132.15313604807304</v>
      </c>
      <c r="X172" s="55">
        <f t="shared" ca="1" si="53"/>
        <v>79.262616588691614</v>
      </c>
      <c r="Y172" s="55">
        <f t="shared" ca="1" si="54"/>
        <v>35.709107746950835</v>
      </c>
      <c r="Z172">
        <f t="shared" ca="1" si="48"/>
        <v>120</v>
      </c>
      <c r="AA172">
        <f t="shared" ca="1" si="55"/>
        <v>377.7294977760979</v>
      </c>
      <c r="AB172">
        <f t="shared" ca="1" si="49"/>
        <v>0</v>
      </c>
      <c r="AC172">
        <f t="shared" ca="1" si="50"/>
        <v>0.67979366408881647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45542</v>
      </c>
      <c r="S173" s="55">
        <f t="shared" ca="1" si="51"/>
        <v>45542</v>
      </c>
      <c r="T173" s="55">
        <f t="shared" ca="1" si="45"/>
        <v>19.925406224587444</v>
      </c>
      <c r="U173" s="55">
        <f t="shared" ca="1" si="46"/>
        <v>56.480263508996785</v>
      </c>
      <c r="V173" s="55">
        <f t="shared" ca="1" si="47"/>
        <v>0</v>
      </c>
      <c r="W173" s="55">
        <f t="shared" ca="1" si="52"/>
        <v>-132.43496984944971</v>
      </c>
      <c r="X173" s="55">
        <f t="shared" ca="1" si="53"/>
        <v>79.762239822246585</v>
      </c>
      <c r="Y173" s="55">
        <f t="shared" ca="1" si="54"/>
        <v>35.73035550587737</v>
      </c>
      <c r="Z173">
        <f t="shared" ca="1" si="48"/>
        <v>120</v>
      </c>
      <c r="AA173">
        <f t="shared" ca="1" si="55"/>
        <v>379.73949777609789</v>
      </c>
      <c r="AB173">
        <f t="shared" ca="1" si="49"/>
        <v>0</v>
      </c>
      <c r="AC173">
        <f t="shared" ca="1" si="50"/>
        <v>0.68732319426037425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45543</v>
      </c>
      <c r="S174" s="55">
        <f t="shared" ca="1" si="51"/>
        <v>45543</v>
      </c>
      <c r="T174" s="55">
        <f t="shared" ca="1" si="45"/>
        <v>19.087337823198101</v>
      </c>
      <c r="U174" s="55">
        <f t="shared" ca="1" si="46"/>
        <v>57.628324795096141</v>
      </c>
      <c r="V174" s="55">
        <f t="shared" ca="1" si="47"/>
        <v>0</v>
      </c>
      <c r="W174" s="55">
        <f t="shared" ca="1" si="52"/>
        <v>-132.62838820605813</v>
      </c>
      <c r="X174" s="55">
        <f t="shared" ca="1" si="53"/>
        <v>80.245451243197707</v>
      </c>
      <c r="Y174" s="55">
        <f t="shared" ca="1" si="54"/>
        <v>35.750555326244665</v>
      </c>
      <c r="Z174">
        <f t="shared" ca="1" si="48"/>
        <v>120</v>
      </c>
      <c r="AA174">
        <f t="shared" ca="1" si="55"/>
        <v>381.17949777609789</v>
      </c>
      <c r="AB174">
        <f t="shared" ca="1" si="49"/>
        <v>0</v>
      </c>
      <c r="AC174">
        <f t="shared" ca="1" si="50"/>
        <v>0.69429013558226527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45544</v>
      </c>
      <c r="S175" s="55">
        <f t="shared" ca="1" si="51"/>
        <v>45544</v>
      </c>
      <c r="T175" s="55">
        <f t="shared" ca="1" si="45"/>
        <v>18.404180007480964</v>
      </c>
      <c r="U175" s="55">
        <f t="shared" ca="1" si="46"/>
        <v>58.821390807458066</v>
      </c>
      <c r="V175" s="55">
        <f t="shared" ca="1" si="47"/>
        <v>0</v>
      </c>
      <c r="W175" s="55">
        <f t="shared" ca="1" si="52"/>
        <v>-132.62838820605813</v>
      </c>
      <c r="X175" s="55">
        <f t="shared" ca="1" si="53"/>
        <v>80.735459210772675</v>
      </c>
      <c r="Y175" s="55">
        <f t="shared" ca="1" si="54"/>
        <v>35.770455555314484</v>
      </c>
      <c r="Z175">
        <f t="shared" ca="1" si="48"/>
        <v>118.11111111111111</v>
      </c>
      <c r="AA175">
        <f t="shared" ca="1" si="55"/>
        <v>381.17949777609789</v>
      </c>
      <c r="AB175">
        <f t="shared" ca="1" si="49"/>
        <v>0</v>
      </c>
      <c r="AC175">
        <f t="shared" ca="1" si="50"/>
        <v>0.70125073001120575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45545</v>
      </c>
      <c r="S176" s="55">
        <f t="shared" ca="1" si="51"/>
        <v>45545</v>
      </c>
      <c r="T176" s="55">
        <f t="shared" ca="1" si="45"/>
        <v>17.667628801504524</v>
      </c>
      <c r="U176" s="55">
        <f t="shared" ca="1" si="46"/>
        <v>60.058934573929406</v>
      </c>
      <c r="V176" s="55">
        <f t="shared" ca="1" si="47"/>
        <v>0</v>
      </c>
      <c r="W176" s="55">
        <f t="shared" ca="1" si="52"/>
        <v>-132.64338918761163</v>
      </c>
      <c r="X176" s="55">
        <f t="shared" ca="1" si="53"/>
        <v>81.231864363307636</v>
      </c>
      <c r="Y176" s="55">
        <f t="shared" ca="1" si="54"/>
        <v>35.790043944827914</v>
      </c>
      <c r="Z176">
        <f t="shared" ca="1" si="48"/>
        <v>120</v>
      </c>
      <c r="AA176">
        <f t="shared" ca="1" si="55"/>
        <v>381.30015451250745</v>
      </c>
      <c r="AB176">
        <f t="shared" ca="1" si="49"/>
        <v>0</v>
      </c>
      <c r="AC176">
        <f t="shared" ca="1" si="50"/>
        <v>0.70818267438287796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45546</v>
      </c>
      <c r="S177" s="55">
        <f t="shared" ca="1" si="51"/>
        <v>45546</v>
      </c>
      <c r="T177" s="55">
        <f t="shared" ca="1" si="45"/>
        <v>16.692818180405428</v>
      </c>
      <c r="U177" s="55">
        <f t="shared" ca="1" si="46"/>
        <v>61.390962728041409</v>
      </c>
      <c r="V177" s="55">
        <f t="shared" ca="1" si="47"/>
        <v>0</v>
      </c>
      <c r="W177" s="55">
        <f t="shared" ca="1" si="52"/>
        <v>-132.82076583709156</v>
      </c>
      <c r="X177" s="55">
        <f t="shared" ca="1" si="53"/>
        <v>81.746833948699148</v>
      </c>
      <c r="Y177" s="55">
        <f t="shared" ca="1" si="54"/>
        <v>35.809668541929241</v>
      </c>
      <c r="Z177">
        <f t="shared" ca="1" si="48"/>
        <v>120</v>
      </c>
      <c r="AA177">
        <f t="shared" ca="1" si="55"/>
        <v>382.81015451250744</v>
      </c>
      <c r="AB177">
        <f t="shared" ca="1" si="49"/>
        <v>0</v>
      </c>
      <c r="AC177">
        <f t="shared" ca="1" si="50"/>
        <v>0.71533071908324097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45547</v>
      </c>
      <c r="S178" s="55">
        <f t="shared" ca="1" si="51"/>
        <v>45547</v>
      </c>
      <c r="T178" s="55">
        <f t="shared" ca="1" si="45"/>
        <v>15.59478041099451</v>
      </c>
      <c r="U178" s="55">
        <f t="shared" ca="1" si="46"/>
        <v>62.697252197089547</v>
      </c>
      <c r="V178" s="55">
        <f t="shared" ca="1" si="47"/>
        <v>0</v>
      </c>
      <c r="W178" s="55">
        <f t="shared" ca="1" si="52"/>
        <v>-133.13462523247432</v>
      </c>
      <c r="X178" s="55">
        <f t="shared" ca="1" si="53"/>
        <v>82.25015091782835</v>
      </c>
      <c r="Y178" s="55">
        <f t="shared" ca="1" si="54"/>
        <v>35.828462667820013</v>
      </c>
      <c r="Z178">
        <f t="shared" ca="1" si="48"/>
        <v>120</v>
      </c>
      <c r="AA178">
        <f t="shared" ca="1" si="55"/>
        <v>385.67015451250745</v>
      </c>
      <c r="AB178">
        <f t="shared" ca="1" si="49"/>
        <v>0</v>
      </c>
      <c r="AC178">
        <f t="shared" ca="1" si="50"/>
        <v>0.72203998032699446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45548</v>
      </c>
      <c r="S179" s="55">
        <f t="shared" ca="1" si="51"/>
        <v>45548</v>
      </c>
      <c r="T179" s="55">
        <f t="shared" ca="1" si="45"/>
        <v>14.64946813934548</v>
      </c>
      <c r="U179" s="55">
        <f t="shared" ca="1" si="46"/>
        <v>64.056861421978226</v>
      </c>
      <c r="V179" s="55">
        <f t="shared" ca="1" si="47"/>
        <v>0</v>
      </c>
      <c r="W179" s="55">
        <f t="shared" ca="1" si="52"/>
        <v>-133.25008474432812</v>
      </c>
      <c r="X179" s="55">
        <f t="shared" ca="1" si="53"/>
        <v>82.761373564754919</v>
      </c>
      <c r="Y179" s="55">
        <f t="shared" ca="1" si="54"/>
        <v>35.846996485986899</v>
      </c>
      <c r="Z179">
        <f t="shared" ca="1" si="48"/>
        <v>120</v>
      </c>
      <c r="AA179">
        <f t="shared" ca="1" si="55"/>
        <v>386.79015451250746</v>
      </c>
      <c r="AB179">
        <f t="shared" ca="1" si="49"/>
        <v>0</v>
      </c>
      <c r="AC179">
        <f t="shared" ca="1" si="50"/>
        <v>0.72872207676739764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45549</v>
      </c>
      <c r="S180" s="55">
        <f t="shared" ca="1" si="51"/>
        <v>45549</v>
      </c>
      <c r="T180" s="55">
        <f t="shared" ca="1" si="45"/>
        <v>156.55637190353053</v>
      </c>
      <c r="U180" s="55">
        <f t="shared" ca="1" si="46"/>
        <v>65.498877135179086</v>
      </c>
      <c r="V180" s="55">
        <f t="shared" ca="1" si="47"/>
        <v>143.83962661801661</v>
      </c>
      <c r="W180" s="55">
        <f t="shared" ca="1" si="52"/>
        <v>-134.28507838865178</v>
      </c>
      <c r="X180" s="55">
        <f t="shared" ca="1" si="53"/>
        <v>83.287210679927284</v>
      </c>
      <c r="Y180" s="55">
        <f t="shared" ca="1" si="54"/>
        <v>35.865445874507508</v>
      </c>
      <c r="Z180">
        <f t="shared" ca="1" si="48"/>
        <v>120</v>
      </c>
      <c r="AA180">
        <f t="shared" ca="1" si="55"/>
        <v>387.73015451250745</v>
      </c>
      <c r="AB180">
        <f t="shared" ca="1" si="49"/>
        <v>0</v>
      </c>
      <c r="AC180">
        <f t="shared" ca="1" si="50"/>
        <v>0.7354902276155415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45550</v>
      </c>
      <c r="S181" s="55">
        <f t="shared" ca="1" si="51"/>
        <v>45550</v>
      </c>
      <c r="T181" s="55">
        <f t="shared" ca="1" si="45"/>
        <v>154.184791041278</v>
      </c>
      <c r="U181" s="55">
        <f t="shared" ca="1" si="46"/>
        <v>67.002230926499436</v>
      </c>
      <c r="V181" s="55">
        <f t="shared" ca="1" si="47"/>
        <v>0</v>
      </c>
      <c r="W181" s="55">
        <f t="shared" ca="1" si="52"/>
        <v>-135.70643374013972</v>
      </c>
      <c r="X181" s="55">
        <f t="shared" ca="1" si="53"/>
        <v>83.822131944389824</v>
      </c>
      <c r="Y181" s="55">
        <f t="shared" ca="1" si="54"/>
        <v>35.883652890600715</v>
      </c>
      <c r="Z181">
        <f t="shared" ca="1" si="48"/>
        <v>120</v>
      </c>
      <c r="AA181">
        <f t="shared" ca="1" si="55"/>
        <v>389.04015451250746</v>
      </c>
      <c r="AB181">
        <f t="shared" ca="1" si="49"/>
        <v>0</v>
      </c>
      <c r="AC181">
        <f t="shared" ca="1" si="50"/>
        <v>0.74221478049055711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45551</v>
      </c>
      <c r="S182" s="55">
        <f t="shared" ca="1" si="51"/>
        <v>45551</v>
      </c>
      <c r="T182" s="55">
        <f t="shared" ca="1" si="45"/>
        <v>152.88068918255865</v>
      </c>
      <c r="U182" s="55">
        <f t="shared" ca="1" si="46"/>
        <v>68.509807065833002</v>
      </c>
      <c r="V182" s="55">
        <f t="shared" ca="1" si="47"/>
        <v>0</v>
      </c>
      <c r="W182" s="55">
        <f t="shared" ca="1" si="52"/>
        <v>-136.05069840318785</v>
      </c>
      <c r="X182" s="55">
        <f t="shared" ca="1" si="53"/>
        <v>84.352260037546159</v>
      </c>
      <c r="Y182" s="55">
        <f t="shared" ca="1" si="54"/>
        <v>35.901263741106732</v>
      </c>
      <c r="Z182">
        <f t="shared" ca="1" si="48"/>
        <v>120</v>
      </c>
      <c r="AA182">
        <f t="shared" ca="1" si="55"/>
        <v>389.36015451250745</v>
      </c>
      <c r="AB182">
        <f t="shared" ca="1" si="49"/>
        <v>0</v>
      </c>
      <c r="AC182">
        <f t="shared" ca="1" si="50"/>
        <v>0.7486365730270661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45552</v>
      </c>
      <c r="S183" s="55">
        <f t="shared" ca="1" si="51"/>
        <v>45552</v>
      </c>
      <c r="T183" s="55">
        <f t="shared" ca="1" si="45"/>
        <v>151.81371342016214</v>
      </c>
      <c r="U183" s="55">
        <f t="shared" ca="1" si="46"/>
        <v>69.995844985460749</v>
      </c>
      <c r="V183" s="55">
        <f t="shared" ca="1" si="47"/>
        <v>0</v>
      </c>
      <c r="W183" s="55">
        <f t="shared" ca="1" si="52"/>
        <v>-136.1682134628353</v>
      </c>
      <c r="X183" s="55">
        <f t="shared" ca="1" si="53"/>
        <v>84.871937287462927</v>
      </c>
      <c r="Y183" s="55">
        <f t="shared" ca="1" si="54"/>
        <v>35.918163708068683</v>
      </c>
      <c r="Z183">
        <f t="shared" ca="1" si="48"/>
        <v>120</v>
      </c>
      <c r="AA183">
        <f t="shared" ca="1" si="55"/>
        <v>389.47015451250746</v>
      </c>
      <c r="AB183">
        <f t="shared" ca="1" si="49"/>
        <v>0</v>
      </c>
      <c r="AC183">
        <f t="shared" ca="1" si="50"/>
        <v>0.75466839905958039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45553</v>
      </c>
      <c r="S184" s="55">
        <f t="shared" ca="1" si="51"/>
        <v>45553</v>
      </c>
      <c r="T184" s="55">
        <f t="shared" ca="1" si="45"/>
        <v>149.49881096301149</v>
      </c>
      <c r="U184" s="55">
        <f t="shared" ca="1" si="46"/>
        <v>71.485440627950467</v>
      </c>
      <c r="V184" s="55">
        <f t="shared" ca="1" si="47"/>
        <v>0</v>
      </c>
      <c r="W184" s="55">
        <f t="shared" ca="1" si="52"/>
        <v>-137.52533044679953</v>
      </c>
      <c r="X184" s="55">
        <f t="shared" ca="1" si="53"/>
        <v>85.387376439303495</v>
      </c>
      <c r="Y184" s="55">
        <f t="shared" ca="1" si="54"/>
        <v>35.934534725531435</v>
      </c>
      <c r="Z184">
        <f t="shared" ca="1" si="48"/>
        <v>120</v>
      </c>
      <c r="AA184">
        <f t="shared" ca="1" si="55"/>
        <v>390.76015451250748</v>
      </c>
      <c r="AB184">
        <f t="shared" ca="1" si="49"/>
        <v>0</v>
      </c>
      <c r="AC184">
        <f t="shared" ca="1" si="50"/>
        <v>0.76043348156625035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45554</v>
      </c>
      <c r="S185" s="55">
        <f t="shared" ca="1" si="51"/>
        <v>45554</v>
      </c>
      <c r="T185" s="55">
        <f t="shared" ca="1" si="45"/>
        <v>148.518264038463</v>
      </c>
      <c r="U185" s="55">
        <f t="shared" ca="1" si="46"/>
        <v>72.984057580596286</v>
      </c>
      <c r="V185" s="55">
        <f t="shared" ca="1" si="47"/>
        <v>0</v>
      </c>
      <c r="W185" s="55">
        <f t="shared" ca="1" si="52"/>
        <v>-137.53578173204667</v>
      </c>
      <c r="X185" s="55">
        <f t="shared" ca="1" si="53"/>
        <v>85.900002190068278</v>
      </c>
      <c r="Y185" s="55">
        <f t="shared" ca="1" si="54"/>
        <v>35.950430288111129</v>
      </c>
      <c r="Z185">
        <f t="shared" ca="1" si="48"/>
        <v>120</v>
      </c>
      <c r="AA185">
        <f t="shared" ca="1" si="55"/>
        <v>390.77015451250747</v>
      </c>
      <c r="AB185">
        <f t="shared" ca="1" si="49"/>
        <v>0</v>
      </c>
      <c r="AC185">
        <f t="shared" ca="1" si="50"/>
        <v>0.76596457886739677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>
        <f ca="1"/>
        <v>45555</v>
      </c>
      <c r="S186" s="55">
        <f t="shared" ca="1" si="51"/>
        <v>45555</v>
      </c>
      <c r="T186" s="55">
        <f t="shared" ca="1" si="45"/>
        <v>147.3772926928053</v>
      </c>
      <c r="U186" s="55">
        <f t="shared" ca="1" si="46"/>
        <v>74.482446157713653</v>
      </c>
      <c r="V186" s="55">
        <f t="shared" ca="1" si="47"/>
        <v>0</v>
      </c>
      <c r="W186" s="55">
        <f t="shared" ca="1" si="52"/>
        <v>-137.70171764678227</v>
      </c>
      <c r="X186" s="55">
        <f t="shared" ca="1" si="53"/>
        <v>86.407960246781045</v>
      </c>
      <c r="Y186" s="55">
        <f t="shared" ca="1" si="54"/>
        <v>35.96582537759361</v>
      </c>
      <c r="Z186">
        <f t="shared" ca="1" si="48"/>
        <v>120</v>
      </c>
      <c r="AA186">
        <f t="shared" ca="1" si="55"/>
        <v>390.93015451250744</v>
      </c>
      <c r="AB186">
        <f t="shared" ca="1" si="49"/>
        <v>0</v>
      </c>
      <c r="AC186">
        <f t="shared" ca="1" si="50"/>
        <v>0.77123958738825948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>
        <f ca="1"/>
        <v>45556</v>
      </c>
      <c r="S187" s="55">
        <f t="shared" ca="1" si="51"/>
        <v>45556</v>
      </c>
      <c r="T187" s="55">
        <f t="shared" ca="1" si="45"/>
        <v>144.57531339617546</v>
      </c>
      <c r="U187" s="55">
        <f t="shared" ca="1" si="46"/>
        <v>76.034148927645916</v>
      </c>
      <c r="V187" s="55">
        <f t="shared" ca="1" si="47"/>
        <v>0</v>
      </c>
      <c r="W187" s="55">
        <f t="shared" ca="1" si="52"/>
        <v>-139.48213585804999</v>
      </c>
      <c r="X187" s="55">
        <f t="shared" ca="1" si="53"/>
        <v>86.922929832172557</v>
      </c>
      <c r="Y187" s="55">
        <f t="shared" ca="1" si="54"/>
        <v>35.980997476772224</v>
      </c>
      <c r="Z187">
        <f t="shared" ca="1" si="48"/>
        <v>120</v>
      </c>
      <c r="AA187">
        <f t="shared" ca="1" si="55"/>
        <v>392.68015451250744</v>
      </c>
      <c r="AB187">
        <f t="shared" ca="1" si="49"/>
        <v>0</v>
      </c>
      <c r="AC187">
        <f t="shared" ca="1" si="50"/>
        <v>0.77644778153931859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>
        <f ca="1"/>
        <v>45557</v>
      </c>
      <c r="S188" s="55">
        <f t="shared" ca="1" si="51"/>
        <v>45557</v>
      </c>
      <c r="T188" s="55">
        <f t="shared" ca="1" si="45"/>
        <v>142.56649072100925</v>
      </c>
      <c r="U188" s="55">
        <f t="shared" ca="1" si="46"/>
        <v>77.635945160245299</v>
      </c>
      <c r="V188" s="55">
        <f t="shared" ca="1" si="47"/>
        <v>0</v>
      </c>
      <c r="W188" s="55">
        <f t="shared" ca="1" si="52"/>
        <v>-140.42518679296748</v>
      </c>
      <c r="X188" s="55">
        <f t="shared" ca="1" si="53"/>
        <v>87.444024583932901</v>
      </c>
      <c r="Y188" s="55">
        <f t="shared" ca="1" si="54"/>
        <v>35.995927217362556</v>
      </c>
      <c r="Z188">
        <f t="shared" ca="1" si="48"/>
        <v>120</v>
      </c>
      <c r="AA188">
        <f t="shared" ca="1" si="55"/>
        <v>393.62015451250744</v>
      </c>
      <c r="AB188">
        <f t="shared" ca="1" si="49"/>
        <v>0</v>
      </c>
      <c r="AC188">
        <f t="shared" ca="1" si="50"/>
        <v>0.78156738399341674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>
        <f ca="1"/>
        <v>45558</v>
      </c>
      <c r="S189" s="55">
        <f t="shared" ca="1" si="51"/>
        <v>45558</v>
      </c>
      <c r="T189" s="55">
        <f t="shared" ca="1" si="45"/>
        <v>139.40004550480009</v>
      </c>
      <c r="U189" s="55">
        <f t="shared" ca="1" si="46"/>
        <v>79.358391177550061</v>
      </c>
      <c r="V189" s="55">
        <f t="shared" ca="1" si="47"/>
        <v>0</v>
      </c>
      <c r="W189" s="55">
        <f t="shared" ca="1" si="52"/>
        <v>-142.42635189065862</v>
      </c>
      <c r="X189" s="55">
        <f t="shared" ca="1" si="53"/>
        <v>87.986185836250613</v>
      </c>
      <c r="Y189" s="55">
        <f t="shared" ca="1" si="54"/>
        <v>36.010931863831587</v>
      </c>
      <c r="Z189">
        <f t="shared" ca="1" si="48"/>
        <v>120</v>
      </c>
      <c r="AA189">
        <f t="shared" ca="1" si="55"/>
        <v>395.66015451250746</v>
      </c>
      <c r="AB189">
        <f t="shared" ca="1" si="49"/>
        <v>0</v>
      </c>
      <c r="AC189">
        <f t="shared" ca="1" si="50"/>
        <v>0.78679821279709994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>
        <f ca="1"/>
        <v>45559</v>
      </c>
      <c r="S190" s="55">
        <f t="shared" ca="1" si="51"/>
        <v>45559</v>
      </c>
      <c r="T190" s="55">
        <f t="shared" ca="1" si="45"/>
        <v>137.48945511982751</v>
      </c>
      <c r="U190" s="55">
        <f t="shared" ca="1" si="46"/>
        <v>81.037034326394803</v>
      </c>
      <c r="V190" s="55">
        <f t="shared" ca="1" si="47"/>
        <v>0</v>
      </c>
      <c r="W190" s="55">
        <f t="shared" ca="1" si="52"/>
        <v>-143.20036660096284</v>
      </c>
      <c r="X190" s="55">
        <f t="shared" ca="1" si="53"/>
        <v>88.513927378691591</v>
      </c>
      <c r="Y190" s="55">
        <f t="shared" ca="1" si="54"/>
        <v>36.025257795566986</v>
      </c>
      <c r="Z190">
        <f t="shared" ca="1" si="48"/>
        <v>120</v>
      </c>
      <c r="AA190">
        <f t="shared" ca="1" si="55"/>
        <v>396.46015451250747</v>
      </c>
      <c r="AB190">
        <f t="shared" ca="1" si="49"/>
        <v>0</v>
      </c>
      <c r="AC190">
        <f t="shared" ca="1" si="50"/>
        <v>0.79163835868544152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>
        <f ca="1"/>
        <v>45560</v>
      </c>
      <c r="S191" s="55">
        <f t="shared" ca="1" si="51"/>
        <v>45560</v>
      </c>
      <c r="T191" s="55">
        <f t="shared" ca="1" si="45"/>
        <v>134.63173033253881</v>
      </c>
      <c r="U191" s="55">
        <f t="shared" ca="1" si="46"/>
        <v>82.717297343881825</v>
      </c>
      <c r="V191" s="55">
        <f t="shared" ca="1" si="47"/>
        <v>0</v>
      </c>
      <c r="W191" s="55">
        <f t="shared" ca="1" si="52"/>
        <v>-144.91517593656877</v>
      </c>
      <c r="X191" s="55">
        <f t="shared" ca="1" si="53"/>
        <v>89.037389973183053</v>
      </c>
      <c r="Y191" s="55">
        <f t="shared" ca="1" si="54"/>
        <v>36.039142766879763</v>
      </c>
      <c r="Z191">
        <f t="shared" ca="1" si="48"/>
        <v>120</v>
      </c>
      <c r="AA191">
        <f t="shared" ca="1" si="55"/>
        <v>398.27015451250747</v>
      </c>
      <c r="AB191">
        <f t="shared" ca="1" si="49"/>
        <v>0</v>
      </c>
      <c r="AC191">
        <f t="shared" ca="1" si="50"/>
        <v>0.79624343693026922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>
        <f ca="1"/>
        <v>45561</v>
      </c>
      <c r="S192" s="55">
        <f t="shared" ca="1" si="51"/>
        <v>45561</v>
      </c>
      <c r="T192" s="55">
        <f t="shared" ca="1" si="45"/>
        <v>133.21866441243719</v>
      </c>
      <c r="U192" s="55">
        <f t="shared" ca="1" si="46"/>
        <v>84.507823139638845</v>
      </c>
      <c r="V192" s="55">
        <f t="shared" ca="1" si="47"/>
        <v>0</v>
      </c>
      <c r="W192" s="55">
        <f t="shared" ca="1" si="52"/>
        <v>-145.0932942249128</v>
      </c>
      <c r="X192" s="55">
        <f t="shared" ca="1" si="53"/>
        <v>89.579066682698766</v>
      </c>
      <c r="Y192" s="55">
        <f t="shared" ca="1" si="54"/>
        <v>36.053044221363471</v>
      </c>
      <c r="Z192">
        <f t="shared" ca="1" si="48"/>
        <v>120</v>
      </c>
      <c r="AA192">
        <f t="shared" ca="1" si="55"/>
        <v>398.46015451250747</v>
      </c>
      <c r="AB192">
        <f t="shared" ca="1" si="49"/>
        <v>0</v>
      </c>
      <c r="AC192">
        <f t="shared" ca="1" si="50"/>
        <v>0.80090233491225793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>
        <f ca="1"/>
        <v>45562</v>
      </c>
      <c r="S193" s="55">
        <f t="shared" ca="1" si="51"/>
        <v>45562</v>
      </c>
      <c r="T193" s="55">
        <f t="shared" ca="1" si="45"/>
        <v>130.24116914531868</v>
      </c>
      <c r="U193" s="55">
        <f t="shared" ca="1" si="46"/>
        <v>86.397600569004808</v>
      </c>
      <c r="V193" s="55">
        <f t="shared" ca="1" si="47"/>
        <v>0</v>
      </c>
      <c r="W193" s="55">
        <f t="shared" ca="1" si="52"/>
        <v>-146.75218082006373</v>
      </c>
      <c r="X193" s="55">
        <f t="shared" ca="1" si="53"/>
        <v>90.136381976674301</v>
      </c>
      <c r="Y193" s="55">
        <f t="shared" ca="1" si="54"/>
        <v>36.066897684786291</v>
      </c>
      <c r="Z193">
        <f t="shared" ca="1" si="48"/>
        <v>120</v>
      </c>
      <c r="AA193">
        <f t="shared" ca="1" si="55"/>
        <v>400.27015451250747</v>
      </c>
      <c r="AB193">
        <f t="shared" ca="1" si="49"/>
        <v>0</v>
      </c>
      <c r="AC193">
        <f t="shared" ca="1" si="50"/>
        <v>0.80555846791741803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>
        <f ca="1"/>
        <v>45563</v>
      </c>
      <c r="S194" s="55">
        <f t="shared" ca="1" si="51"/>
        <v>45563</v>
      </c>
      <c r="T194" s="55">
        <f t="shared" ca="1" si="45"/>
        <v>127.8967412970636</v>
      </c>
      <c r="U194" s="55">
        <f t="shared" ca="1" si="46"/>
        <v>88.394065563738707</v>
      </c>
      <c r="V194" s="55">
        <f t="shared" ca="1" si="47"/>
        <v>0</v>
      </c>
      <c r="W194" s="55">
        <f t="shared" ca="1" si="52"/>
        <v>-147.68819548970447</v>
      </c>
      <c r="X194" s="55">
        <f t="shared" ca="1" si="53"/>
        <v>90.710615289724885</v>
      </c>
      <c r="Y194" s="55">
        <f t="shared" ca="1" si="54"/>
        <v>36.080716187855252</v>
      </c>
      <c r="Z194">
        <f t="shared" ca="1" si="48"/>
        <v>120</v>
      </c>
      <c r="AA194">
        <f t="shared" ca="1" si="55"/>
        <v>401.31015451250749</v>
      </c>
      <c r="AB194">
        <f t="shared" ca="1" si="49"/>
        <v>0</v>
      </c>
      <c r="AC194">
        <f t="shared" ca="1" si="50"/>
        <v>0.81020490584675076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>
        <f ca="1"/>
        <v>45564</v>
      </c>
      <c r="S195" s="55">
        <f t="shared" ca="1" si="51"/>
        <v>45564</v>
      </c>
      <c r="T195" s="55">
        <f t="shared" ca="1" si="45"/>
        <v>124.01255107994747</v>
      </c>
      <c r="U195" s="55">
        <f t="shared" ca="1" si="46"/>
        <v>90.390653950900074</v>
      </c>
      <c r="V195" s="55">
        <f t="shared" ca="1" si="47"/>
        <v>0</v>
      </c>
      <c r="W195" s="55">
        <f t="shared" ca="1" si="52"/>
        <v>-150.15788247917439</v>
      </c>
      <c r="X195" s="55">
        <f t="shared" ca="1" si="53"/>
        <v>91.279341011244611</v>
      </c>
      <c r="Y195" s="55">
        <f t="shared" ca="1" si="54"/>
        <v>36.094075625850685</v>
      </c>
      <c r="Z195">
        <f t="shared" ca="1" si="48"/>
        <v>120</v>
      </c>
      <c r="AA195">
        <f t="shared" ca="1" si="55"/>
        <v>404.14015451250748</v>
      </c>
      <c r="AB195">
        <f t="shared" ca="1" si="49"/>
        <v>0</v>
      </c>
      <c r="AC195">
        <f t="shared" ca="1" si="50"/>
        <v>0.81458995134097334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>
        <f ca="1"/>
        <v>45565</v>
      </c>
      <c r="S196" s="55">
        <f t="shared" ca="1" si="51"/>
        <v>45565</v>
      </c>
      <c r="T196" s="55">
        <f t="shared" ca="1" si="45"/>
        <v>118.86523545032665</v>
      </c>
      <c r="U196" s="55">
        <f t="shared" ca="1" si="46"/>
        <v>92.351395028287115</v>
      </c>
      <c r="V196" s="55">
        <f t="shared" ca="1" si="47"/>
        <v>0</v>
      </c>
      <c r="W196" s="55">
        <f t="shared" ca="1" si="52"/>
        <v>-153.91358367779193</v>
      </c>
      <c r="X196" s="55">
        <f t="shared" ca="1" si="53"/>
        <v>91.835670828122446</v>
      </c>
      <c r="Y196" s="55">
        <f t="shared" ca="1" si="54"/>
        <v>36.106872455356623</v>
      </c>
      <c r="Z196">
        <f t="shared" ca="1" si="48"/>
        <v>120</v>
      </c>
      <c r="AA196">
        <f t="shared" ca="1" si="55"/>
        <v>408.63015451250749</v>
      </c>
      <c r="AB196">
        <f t="shared" ca="1" si="49"/>
        <v>0</v>
      </c>
      <c r="AC196">
        <f t="shared" ca="1" si="50"/>
        <v>0.81865835222221861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>
        <f ca="1"/>
        <v>45566</v>
      </c>
      <c r="S197" s="55">
        <f t="shared" ca="1" si="51"/>
        <v>45566</v>
      </c>
      <c r="T197" s="55">
        <f t="shared" ca="1" si="45"/>
        <v>115.97210932338916</v>
      </c>
      <c r="U197" s="55">
        <f t="shared" ca="1" si="46"/>
        <v>94.315865342130465</v>
      </c>
      <c r="V197" s="55">
        <f t="shared" ca="1" si="47"/>
        <v>0</v>
      </c>
      <c r="W197" s="55">
        <f t="shared" ca="1" si="52"/>
        <v>-155.40704673007869</v>
      </c>
      <c r="X197" s="55">
        <f t="shared" ca="1" si="53"/>
        <v>92.388069498941178</v>
      </c>
      <c r="Y197" s="55">
        <f t="shared" ca="1" si="54"/>
        <v>36.119281023730508</v>
      </c>
      <c r="Z197">
        <f t="shared" ca="1" si="48"/>
        <v>120</v>
      </c>
      <c r="AA197">
        <f t="shared" ca="1" si="55"/>
        <v>410.46015451250747</v>
      </c>
      <c r="AB197">
        <f t="shared" ca="1" si="49"/>
        <v>0</v>
      </c>
      <c r="AC197">
        <f t="shared" ca="1" si="50"/>
        <v>0.82251339873697493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>
        <f ca="1"/>
        <v>45567</v>
      </c>
      <c r="S198" s="55">
        <f t="shared" ca="1" si="51"/>
        <v>45567</v>
      </c>
      <c r="T198" s="55">
        <f t="shared" ca="1" si="45"/>
        <v>112.70455330636635</v>
      </c>
      <c r="U198" s="55">
        <f t="shared" ca="1" si="46"/>
        <v>96.378514472311025</v>
      </c>
      <c r="V198" s="55">
        <f t="shared" ca="1" si="47"/>
        <v>0</v>
      </c>
      <c r="W198" s="55">
        <f t="shared" ca="1" si="52"/>
        <v>-157.19153549076282</v>
      </c>
      <c r="X198" s="55">
        <f t="shared" ca="1" si="53"/>
        <v>92.955298817086558</v>
      </c>
      <c r="Y198" s="55">
        <f t="shared" ca="1" si="54"/>
        <v>36.131633579427017</v>
      </c>
      <c r="Z198">
        <f t="shared" ca="1" si="48"/>
        <v>120</v>
      </c>
      <c r="AA198">
        <f t="shared" ca="1" si="55"/>
        <v>412.71015451250747</v>
      </c>
      <c r="AB198">
        <f t="shared" ca="1" si="49"/>
        <v>0</v>
      </c>
      <c r="AC198">
        <f t="shared" ca="1" si="50"/>
        <v>0.82633840352397747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>
        <f ca="1"/>
        <v>45568</v>
      </c>
      <c r="S199" s="55">
        <f t="shared" ca="1" si="51"/>
        <v>45568</v>
      </c>
      <c r="T199" s="55">
        <f t="shared" ca="1" si="45"/>
        <v>111.27710505910515</v>
      </c>
      <c r="U199" s="55">
        <f t="shared" ca="1" si="46"/>
        <v>98.36568445176357</v>
      </c>
      <c r="V199" s="55">
        <f t="shared" ca="1" si="47"/>
        <v>0</v>
      </c>
      <c r="W199" s="55">
        <f t="shared" ca="1" si="52"/>
        <v>-157.19153549076282</v>
      </c>
      <c r="X199" s="55">
        <f t="shared" ca="1" si="53"/>
        <v>93.503295518017424</v>
      </c>
      <c r="Y199" s="55">
        <f t="shared" ca="1" si="54"/>
        <v>36.1433586106875</v>
      </c>
      <c r="Z199">
        <f t="shared" ca="1" si="48"/>
        <v>119.37777777777778</v>
      </c>
      <c r="AA199">
        <f t="shared" ca="1" si="55"/>
        <v>412.71015451250747</v>
      </c>
      <c r="AB199">
        <f t="shared" ca="1" si="49"/>
        <v>0</v>
      </c>
      <c r="AC199">
        <f t="shared" ca="1" si="50"/>
        <v>0.82982160510189418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>
        <f ca="1"/>
        <v>45569</v>
      </c>
      <c r="S200" s="55">
        <f t="shared" ca="1" si="51"/>
        <v>45569</v>
      </c>
      <c r="T200" s="55">
        <f t="shared" ca="1" si="45"/>
        <v>109.22055357889026</v>
      </c>
      <c r="U200" s="55">
        <f t="shared" ca="1" si="46"/>
        <v>100.38161355777969</v>
      </c>
      <c r="V200" s="55">
        <f t="shared" ca="1" si="47"/>
        <v>0</v>
      </c>
      <c r="W200" s="55">
        <f t="shared" ca="1" si="52"/>
        <v>-157.79308280465301</v>
      </c>
      <c r="X200" s="55">
        <f t="shared" ca="1" si="53"/>
        <v>94.052757123492825</v>
      </c>
      <c r="Y200" s="55">
        <f t="shared" ca="1" si="54"/>
        <v>36.15482194490351</v>
      </c>
      <c r="Z200">
        <f t="shared" ca="1" si="48"/>
        <v>120</v>
      </c>
      <c r="AA200">
        <f t="shared" ca="1" si="55"/>
        <v>413.49281891532564</v>
      </c>
      <c r="AB200">
        <f t="shared" ca="1" si="49"/>
        <v>0</v>
      </c>
      <c r="AC200">
        <f t="shared" ca="1" si="50"/>
        <v>0.83316587177602042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>
        <f ca="1"/>
        <v>45570</v>
      </c>
      <c r="S201" s="55">
        <f t="shared" ca="1" si="51"/>
        <v>45570</v>
      </c>
      <c r="T201" s="55">
        <f t="shared" ca="1" si="45"/>
        <v>107.7194659424425</v>
      </c>
      <c r="U201" s="55">
        <f t="shared" ca="1" si="46"/>
        <v>102.44932432725265</v>
      </c>
      <c r="V201" s="55">
        <f t="shared" ca="1" si="47"/>
        <v>0</v>
      </c>
      <c r="W201" s="55">
        <f t="shared" ca="1" si="52"/>
        <v>-157.79308280465301</v>
      </c>
      <c r="X201" s="55">
        <f t="shared" ca="1" si="53"/>
        <v>94.608102539728051</v>
      </c>
      <c r="Y201" s="55">
        <f t="shared" ca="1" si="54"/>
        <v>36.16609966169348</v>
      </c>
      <c r="Z201">
        <f t="shared" ca="1" si="48"/>
        <v>119.55555555555554</v>
      </c>
      <c r="AA201">
        <f t="shared" ca="1" si="55"/>
        <v>413.49281891532564</v>
      </c>
      <c r="AB201">
        <f t="shared" ca="1" si="49"/>
        <v>0</v>
      </c>
      <c r="AC201">
        <f t="shared" ca="1" si="50"/>
        <v>0.83641057035313726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>
        <f ca="1"/>
        <v>45571</v>
      </c>
      <c r="S202" s="55">
        <f t="shared" ca="1" si="51"/>
        <v>45571</v>
      </c>
      <c r="T202" s="55">
        <f t="shared" ca="1" si="45"/>
        <v>106.24854749698201</v>
      </c>
      <c r="U202" s="55">
        <f t="shared" ca="1" si="46"/>
        <v>104.47468350352786</v>
      </c>
      <c r="V202" s="55">
        <f t="shared" ca="1" si="47"/>
        <v>0</v>
      </c>
      <c r="W202" s="55">
        <f t="shared" ca="1" si="52"/>
        <v>-157.79308280465301</v>
      </c>
      <c r="X202" s="55">
        <f t="shared" ca="1" si="53"/>
        <v>95.151719030315007</v>
      </c>
      <c r="Y202" s="55">
        <f t="shared" ca="1" si="54"/>
        <v>36.176923901921235</v>
      </c>
      <c r="Z202">
        <f t="shared" ca="1" si="48"/>
        <v>119.09261597043376</v>
      </c>
      <c r="AA202">
        <f t="shared" ca="1" si="55"/>
        <v>413.49281891532564</v>
      </c>
      <c r="AB202">
        <f t="shared" ca="1" si="49"/>
        <v>0</v>
      </c>
      <c r="AC202">
        <f t="shared" ca="1" si="50"/>
        <v>0.83941829514079991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>
        <f ca="1"/>
        <v>45572</v>
      </c>
      <c r="S203" s="55">
        <f t="shared" ca="1" si="51"/>
        <v>45572</v>
      </c>
      <c r="T203" s="55">
        <f t="shared" ca="1" si="45"/>
        <v>103.89150018588379</v>
      </c>
      <c r="U203" s="55">
        <f t="shared" ca="1" si="46"/>
        <v>106.70937700109857</v>
      </c>
      <c r="V203" s="55">
        <f t="shared" ca="1" si="47"/>
        <v>0</v>
      </c>
      <c r="W203" s="55">
        <f t="shared" ca="1" si="52"/>
        <v>-158.50580599920366</v>
      </c>
      <c r="X203" s="55">
        <f t="shared" ca="1" si="53"/>
        <v>95.730987601843808</v>
      </c>
      <c r="Y203" s="55">
        <f t="shared" ca="1" si="54"/>
        <v>36.188024711415586</v>
      </c>
      <c r="Z203">
        <f t="shared" ca="1" si="48"/>
        <v>120</v>
      </c>
      <c r="AA203">
        <f t="shared" ca="1" si="55"/>
        <v>414.46769864022269</v>
      </c>
      <c r="AB203">
        <f t="shared" ca="1" si="49"/>
        <v>0</v>
      </c>
      <c r="AC203">
        <f t="shared" ca="1" si="50"/>
        <v>0.84255381068154611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>
        <f ca="1"/>
        <v>45573</v>
      </c>
      <c r="S204" s="55">
        <f t="shared" ca="1" si="51"/>
        <v>45573</v>
      </c>
      <c r="T204" s="55">
        <f t="shared" ca="1" si="45"/>
        <v>101.09866764894396</v>
      </c>
      <c r="U204" s="55">
        <f t="shared" ca="1" si="46"/>
        <v>109.02174071192127</v>
      </c>
      <c r="V204" s="55">
        <f t="shared" ca="1" si="47"/>
        <v>0</v>
      </c>
      <c r="W204" s="55">
        <f t="shared" ca="1" si="52"/>
        <v>-159.58718730353755</v>
      </c>
      <c r="X204" s="55">
        <f t="shared" ca="1" si="53"/>
        <v>96.320918239261687</v>
      </c>
      <c r="Y204" s="55">
        <f t="shared" ca="1" si="54"/>
        <v>36.199006552214463</v>
      </c>
      <c r="Z204">
        <f t="shared" ca="1" si="48"/>
        <v>120</v>
      </c>
      <c r="AA204">
        <f t="shared" ca="1" si="55"/>
        <v>415.98769864022267</v>
      </c>
      <c r="AB204">
        <f t="shared" ca="1" si="49"/>
        <v>0</v>
      </c>
      <c r="AC204">
        <f t="shared" ca="1" si="50"/>
        <v>0.84560958989482826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>
        <f ca="1"/>
        <v>45574</v>
      </c>
      <c r="S205" s="55">
        <f t="shared" ca="1" si="51"/>
        <v>45574</v>
      </c>
      <c r="T205" s="55">
        <f t="shared" ca="1" si="45"/>
        <v>98.348558178808901</v>
      </c>
      <c r="U205" s="55">
        <f t="shared" ca="1" si="46"/>
        <v>111.15887470986787</v>
      </c>
      <c r="V205" s="55">
        <f t="shared" ca="1" si="47"/>
        <v>0</v>
      </c>
      <c r="W205" s="55">
        <f t="shared" ca="1" si="52"/>
        <v>-160.76372746249146</v>
      </c>
      <c r="X205" s="55">
        <f t="shared" ca="1" si="53"/>
        <v>96.874298082690075</v>
      </c>
      <c r="Y205" s="55">
        <f t="shared" ca="1" si="54"/>
        <v>36.209191395551521</v>
      </c>
      <c r="Z205">
        <f t="shared" ca="1" si="48"/>
        <v>120</v>
      </c>
      <c r="AA205">
        <f t="shared" ca="1" si="55"/>
        <v>417.68769864022266</v>
      </c>
      <c r="AB205">
        <f t="shared" ca="1" si="49"/>
        <v>0</v>
      </c>
      <c r="AC205">
        <f t="shared" ca="1" si="50"/>
        <v>0.84827458343565487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>
        <f ca="1"/>
        <v>45575</v>
      </c>
      <c r="S206" s="55">
        <f t="shared" ca="1" si="51"/>
        <v>45575</v>
      </c>
      <c r="T206" s="55">
        <f t="shared" ca="1" si="45"/>
        <v>96.697517985210382</v>
      </c>
      <c r="U206" s="55">
        <f t="shared" ca="1" si="46"/>
        <v>113.38677511500163</v>
      </c>
      <c r="V206" s="55">
        <f t="shared" ca="1" si="47"/>
        <v>0</v>
      </c>
      <c r="W206" s="55">
        <f t="shared" ca="1" si="52"/>
        <v>-160.76372746249146</v>
      </c>
      <c r="X206" s="55">
        <f t="shared" ca="1" si="53"/>
        <v>97.441029139165622</v>
      </c>
      <c r="Y206" s="55">
        <f t="shared" ca="1" si="54"/>
        <v>36.219320550611201</v>
      </c>
      <c r="Z206">
        <f t="shared" ca="1" si="48"/>
        <v>118.84444444444443</v>
      </c>
      <c r="AA206">
        <f t="shared" ca="1" si="55"/>
        <v>417.68769864022266</v>
      </c>
      <c r="AB206">
        <f t="shared" ca="1" si="49"/>
        <v>0</v>
      </c>
      <c r="AC206">
        <f t="shared" ca="1" si="50"/>
        <v>0.85090072041497622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>
        <f ca="1"/>
        <v>45576</v>
      </c>
      <c r="S207" s="55">
        <f t="shared" ca="1" si="51"/>
        <v>45576</v>
      </c>
      <c r="T207" s="55">
        <f t="shared" ca="1" si="45"/>
        <v>93.627430158687289</v>
      </c>
      <c r="U207" s="55">
        <f t="shared" ca="1" si="46"/>
        <v>115.77209769272666</v>
      </c>
      <c r="V207" s="55">
        <f t="shared" ca="1" si="47"/>
        <v>0</v>
      </c>
      <c r="W207" s="55">
        <f t="shared" ca="1" si="52"/>
        <v>-162.0512169886253</v>
      </c>
      <c r="X207" s="55">
        <f t="shared" ca="1" si="53"/>
        <v>98.033515960698352</v>
      </c>
      <c r="Y207" s="55">
        <f t="shared" ca="1" si="54"/>
        <v>36.229558006414237</v>
      </c>
      <c r="Z207">
        <f t="shared" ca="1" si="48"/>
        <v>120</v>
      </c>
      <c r="AA207">
        <f t="shared" ca="1" si="55"/>
        <v>419.64181654791474</v>
      </c>
      <c r="AB207">
        <f t="shared" ca="1" si="49"/>
        <v>0</v>
      </c>
      <c r="AC207">
        <f t="shared" ca="1" si="50"/>
        <v>0.85355175489142399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>
        <f ca="1"/>
        <v>45577</v>
      </c>
      <c r="S208" s="55">
        <f t="shared" ca="1" si="51"/>
        <v>45577</v>
      </c>
      <c r="T208" s="55">
        <f t="shared" ca="1" si="45"/>
        <v>90.587845562096433</v>
      </c>
      <c r="U208" s="55">
        <f t="shared" ca="1" si="46"/>
        <v>118.15419666530916</v>
      </c>
      <c r="V208" s="55">
        <f t="shared" ca="1" si="47"/>
        <v>0</v>
      </c>
      <c r="W208" s="55">
        <f t="shared" ca="1" si="52"/>
        <v>-163.30703293654724</v>
      </c>
      <c r="X208" s="55">
        <f t="shared" ca="1" si="53"/>
        <v>98.621916138092161</v>
      </c>
      <c r="Y208" s="55">
        <f t="shared" ca="1" si="54"/>
        <v>36.239488152934015</v>
      </c>
      <c r="Z208">
        <f t="shared" ca="1" si="48"/>
        <v>120</v>
      </c>
      <c r="AA208">
        <f t="shared" ca="1" si="55"/>
        <v>421.61181654791471</v>
      </c>
      <c r="AB208">
        <f t="shared" ca="1" si="49"/>
        <v>0</v>
      </c>
      <c r="AC208">
        <f t="shared" ca="1" si="50"/>
        <v>0.85604461518212538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>
        <f ca="1"/>
        <v>45578</v>
      </c>
      <c r="S209" s="55">
        <f t="shared" ca="1" si="51"/>
        <v>45578</v>
      </c>
      <c r="T209" s="55">
        <f t="shared" ca="1" si="45"/>
        <v>87.168271219718577</v>
      </c>
      <c r="U209" s="55">
        <f t="shared" ca="1" si="46"/>
        <v>120.46196660419476</v>
      </c>
      <c r="V209" s="55">
        <f t="shared" ca="1" si="47"/>
        <v>0</v>
      </c>
      <c r="W209" s="55">
        <f t="shared" ca="1" si="52"/>
        <v>-165.00003447090356</v>
      </c>
      <c r="X209" s="55">
        <f t="shared" ca="1" si="53"/>
        <v>99.193641951378922</v>
      </c>
      <c r="Y209" s="55">
        <f t="shared" ca="1" si="54"/>
        <v>36.248959470511316</v>
      </c>
      <c r="Z209">
        <f t="shared" ca="1" si="48"/>
        <v>120</v>
      </c>
      <c r="AA209">
        <f t="shared" ca="1" si="55"/>
        <v>424.3718165479147</v>
      </c>
      <c r="AB209">
        <f t="shared" ca="1" si="49"/>
        <v>0</v>
      </c>
      <c r="AC209">
        <f t="shared" ca="1" si="50"/>
        <v>0.85832232220561699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>
        <f ca="1"/>
        <v>45579</v>
      </c>
      <c r="S210" s="55">
        <f t="shared" ca="1" si="51"/>
        <v>45579</v>
      </c>
      <c r="T210" s="55">
        <f t="shared" ref="T210:T273" ca="1" si="63">VLOOKUP(S210,ModelOutputs,2,FALSE)</f>
        <v>83.869860565647869</v>
      </c>
      <c r="U210" s="55">
        <f t="shared" ref="U210:U273" ca="1" si="64">VLOOKUP(S210,ModelOutputs,7,FALSE)</f>
        <v>122.70372022456043</v>
      </c>
      <c r="V210" s="55">
        <f t="shared" ref="V210:V273" ca="1" si="65">VLOOKUP(S210,ModelOutputs,6,FALSE)</f>
        <v>0</v>
      </c>
      <c r="W210" s="55">
        <f t="shared" ca="1" si="52"/>
        <v>-166.62307158740543</v>
      </c>
      <c r="X210" s="55">
        <f t="shared" ca="1" si="53"/>
        <v>99.750957245354456</v>
      </c>
      <c r="Y210" s="55">
        <f t="shared" ca="1" si="54"/>
        <v>36.258024259332643</v>
      </c>
      <c r="Z210">
        <f t="shared" ref="Z210:Z273" ca="1" si="66">VLOOKUP(S210,ModelOutputs,10,FALSE)*AWC</f>
        <v>120</v>
      </c>
      <c r="AA210">
        <f t="shared" ca="1" si="55"/>
        <v>427.1218165479147</v>
      </c>
      <c r="AB210">
        <f t="shared" ref="AB210:AB273" ca="1" si="67">VLOOKUP(S210,ModelOutputs,12,FALSE)</f>
        <v>0</v>
      </c>
      <c r="AC210">
        <f t="shared" ref="AC210:AC273" ca="1" si="68">VLOOKUP(S210,ModelOutputs,13,FALSE)</f>
        <v>0.86041390867460088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>
        <f ca="1"/>
        <v>45580</v>
      </c>
      <c r="S211" s="55">
        <f t="shared" ref="S211:S274" ca="1" si="69">IF(R211&gt;1,R211,"")</f>
        <v>45580</v>
      </c>
      <c r="T211" s="55">
        <f t="shared" ca="1" si="63"/>
        <v>82.106037179606147</v>
      </c>
      <c r="U211" s="55">
        <f t="shared" ca="1" si="64"/>
        <v>124.97265677166874</v>
      </c>
      <c r="V211" s="55">
        <f t="shared" ca="1" si="65"/>
        <v>0</v>
      </c>
      <c r="W211" s="55">
        <f t="shared" ref="W211:W274" ca="1" si="70">-VLOOKUP(S211,ModelOutputs,9,FALSE)+W210</f>
        <v>-166.68662774211114</v>
      </c>
      <c r="X211" s="55">
        <f t="shared" ref="X211:X274" ca="1" si="71">VLOOKUP(S211,ModelOutputs,5,FALSE)+X210</f>
        <v>100.31074094301174</v>
      </c>
      <c r="Y211" s="55">
        <f t="shared" ref="Y211:Y274" ca="1" si="72">VLOOKUP(S211,ModelOutputs,4,FALSE)+Y210</f>
        <v>36.266909877447652</v>
      </c>
      <c r="Z211">
        <f t="shared" ca="1" si="66"/>
        <v>120</v>
      </c>
      <c r="AA211">
        <f t="shared" ref="AA211:AA274" ca="1" si="73">VLOOKUP(S211,ModelOutputs,11,FALSE)+AA210</f>
        <v>427.23181654791472</v>
      </c>
      <c r="AB211">
        <f t="shared" ca="1" si="67"/>
        <v>0</v>
      </c>
      <c r="AC211">
        <f t="shared" ca="1" si="68"/>
        <v>0.86241720518859744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>
        <f ca="1"/>
        <v>45581</v>
      </c>
      <c r="S212" s="55">
        <f t="shared" ca="1" si="69"/>
        <v>45581</v>
      </c>
      <c r="T212" s="55">
        <f t="shared" ca="1" si="63"/>
        <v>80.149270307135225</v>
      </c>
      <c r="U212" s="55">
        <f t="shared" ca="1" si="64"/>
        <v>127.42072002576568</v>
      </c>
      <c r="V212" s="55">
        <f t="shared" ca="1" si="65"/>
        <v>0</v>
      </c>
      <c r="W212" s="55">
        <f t="shared" ca="1" si="70"/>
        <v>-166.79379028500327</v>
      </c>
      <c r="X212" s="55">
        <f t="shared" ca="1" si="71"/>
        <v>100.90016115626648</v>
      </c>
      <c r="Y212" s="55">
        <f t="shared" ca="1" si="72"/>
        <v>36.275948588711067</v>
      </c>
      <c r="Z212">
        <f t="shared" ca="1" si="66"/>
        <v>120</v>
      </c>
      <c r="AA212">
        <f t="shared" ca="1" si="73"/>
        <v>427.42181654791472</v>
      </c>
      <c r="AB212">
        <f t="shared" ca="1" si="67"/>
        <v>0</v>
      </c>
      <c r="AC212">
        <f t="shared" ca="1" si="68"/>
        <v>0.86445865410804734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>
        <f ca="1"/>
        <v>45582</v>
      </c>
      <c r="S213" s="55">
        <f t="shared" ca="1" si="69"/>
        <v>45582</v>
      </c>
      <c r="T213" s="55">
        <f t="shared" ca="1" si="63"/>
        <v>78.032897244791215</v>
      </c>
      <c r="U213" s="55">
        <f t="shared" ca="1" si="64"/>
        <v>129.74245493198413</v>
      </c>
      <c r="V213" s="55">
        <f t="shared" ca="1" si="65"/>
        <v>0</v>
      </c>
      <c r="W213" s="55">
        <f t="shared" ca="1" si="70"/>
        <v>-167.16170094497593</v>
      </c>
      <c r="X213" s="55">
        <f t="shared" ca="1" si="71"/>
        <v>101.46490186262849</v>
      </c>
      <c r="Y213" s="55">
        <f t="shared" ca="1" si="72"/>
        <v>36.284480386196158</v>
      </c>
      <c r="Z213">
        <f t="shared" ca="1" si="66"/>
        <v>120</v>
      </c>
      <c r="AA213">
        <f t="shared" ca="1" si="73"/>
        <v>428.09181654791473</v>
      </c>
      <c r="AB213">
        <f t="shared" ca="1" si="67"/>
        <v>0</v>
      </c>
      <c r="AC213">
        <f t="shared" ca="1" si="68"/>
        <v>0.8662870572885657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>
        <f ca="1"/>
        <v>45583</v>
      </c>
      <c r="S214" s="55">
        <f t="shared" ca="1" si="69"/>
        <v>45583</v>
      </c>
      <c r="T214" s="55">
        <f t="shared" ca="1" si="63"/>
        <v>76.332651600435213</v>
      </c>
      <c r="U214" s="55">
        <f t="shared" ca="1" si="64"/>
        <v>132.00329375840045</v>
      </c>
      <c r="V214" s="55">
        <f t="shared" ca="1" si="65"/>
        <v>0</v>
      </c>
      <c r="W214" s="55">
        <f t="shared" ca="1" si="70"/>
        <v>-167.16170094497593</v>
      </c>
      <c r="X214" s="55">
        <f t="shared" ca="1" si="71"/>
        <v>102.01730053344723</v>
      </c>
      <c r="Y214" s="55">
        <f t="shared" ca="1" si="72"/>
        <v>36.292674897437749</v>
      </c>
      <c r="Z214">
        <f t="shared" ca="1" si="66"/>
        <v>117.77777777777779</v>
      </c>
      <c r="AA214">
        <f t="shared" ca="1" si="73"/>
        <v>428.09181654791473</v>
      </c>
      <c r="AB214">
        <f t="shared" ca="1" si="67"/>
        <v>0</v>
      </c>
      <c r="AC214">
        <f t="shared" ca="1" si="68"/>
        <v>0.86797313124193098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>
        <f ca="1"/>
        <v>45584</v>
      </c>
      <c r="S215" s="55">
        <f t="shared" ca="1" si="69"/>
        <v>45584</v>
      </c>
      <c r="T215" s="55">
        <f t="shared" ca="1" si="63"/>
        <v>74.644912244753243</v>
      </c>
      <c r="U215" s="55">
        <f t="shared" ca="1" si="64"/>
        <v>134.23859091609319</v>
      </c>
      <c r="V215" s="55">
        <f t="shared" ca="1" si="65"/>
        <v>0</v>
      </c>
      <c r="W215" s="55">
        <f t="shared" ca="1" si="70"/>
        <v>-167.16170094497593</v>
      </c>
      <c r="X215" s="55">
        <f t="shared" ca="1" si="71"/>
        <v>102.55691311948502</v>
      </c>
      <c r="Y215" s="55">
        <f t="shared" ca="1" si="72"/>
        <v>36.300620113410723</v>
      </c>
      <c r="Z215">
        <f t="shared" ca="1" si="66"/>
        <v>114.03993708715646</v>
      </c>
      <c r="AA215">
        <f t="shared" ca="1" si="73"/>
        <v>428.09181654791473</v>
      </c>
      <c r="AB215">
        <f t="shared" ca="1" si="67"/>
        <v>0</v>
      </c>
      <c r="AC215">
        <f t="shared" ca="1" si="68"/>
        <v>0.86955417639338783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>
        <f ca="1"/>
        <v>45585</v>
      </c>
      <c r="S216" s="55">
        <f t="shared" ca="1" si="69"/>
        <v>45585</v>
      </c>
      <c r="T216" s="55">
        <f t="shared" ca="1" si="63"/>
        <v>72.839886629325946</v>
      </c>
      <c r="U216" s="55">
        <f t="shared" ca="1" si="64"/>
        <v>136.61363565614994</v>
      </c>
      <c r="V216" s="55">
        <f t="shared" ca="1" si="65"/>
        <v>0</v>
      </c>
      <c r="W216" s="55">
        <f t="shared" ca="1" si="70"/>
        <v>-167.16170094497593</v>
      </c>
      <c r="X216" s="55">
        <f t="shared" ca="1" si="71"/>
        <v>103.11891378292968</v>
      </c>
      <c r="Y216" s="55">
        <f t="shared" ca="1" si="72"/>
        <v>36.308638574595513</v>
      </c>
      <c r="Z216">
        <f t="shared" ca="1" si="66"/>
        <v>114.03730475560705</v>
      </c>
      <c r="AA216">
        <f t="shared" ca="1" si="73"/>
        <v>428.09181654791473</v>
      </c>
      <c r="AB216">
        <f t="shared" ca="1" si="67"/>
        <v>0</v>
      </c>
      <c r="AC216">
        <f t="shared" ca="1" si="68"/>
        <v>0.87114606086940038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>
        <f ca="1"/>
        <v>45586</v>
      </c>
      <c r="S217" s="55">
        <f t="shared" ca="1" si="69"/>
        <v>45586</v>
      </c>
      <c r="T217" s="55">
        <f t="shared" ca="1" si="63"/>
        <v>70.966834317115371</v>
      </c>
      <c r="U217" s="55">
        <f t="shared" ca="1" si="64"/>
        <v>139.07672069570648</v>
      </c>
      <c r="V217" s="55">
        <f t="shared" ca="1" si="65"/>
        <v>0</v>
      </c>
      <c r="W217" s="55">
        <f t="shared" ca="1" si="70"/>
        <v>-167.16170094497593</v>
      </c>
      <c r="X217" s="55">
        <f t="shared" ca="1" si="71"/>
        <v>103.70095803412396</v>
      </c>
      <c r="Y217" s="55">
        <f t="shared" ca="1" si="72"/>
        <v>36.316627050747215</v>
      </c>
      <c r="Z217">
        <f t="shared" ca="1" si="66"/>
        <v>115.05598468169366</v>
      </c>
      <c r="AA217">
        <f t="shared" ca="1" si="73"/>
        <v>428.09181654791473</v>
      </c>
      <c r="AB217">
        <f t="shared" ca="1" si="67"/>
        <v>0</v>
      </c>
      <c r="AC217">
        <f t="shared" ca="1" si="68"/>
        <v>0.8727070717888693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>
        <f ca="1"/>
        <v>45587</v>
      </c>
      <c r="S218" s="55">
        <f t="shared" ca="1" si="69"/>
        <v>45587</v>
      </c>
      <c r="T218" s="55">
        <f t="shared" ca="1" si="63"/>
        <v>69.000565403809986</v>
      </c>
      <c r="U218" s="55">
        <f t="shared" ca="1" si="64"/>
        <v>141.65325710567407</v>
      </c>
      <c r="V218" s="55">
        <f t="shared" ca="1" si="65"/>
        <v>0</v>
      </c>
      <c r="W218" s="55">
        <f t="shared" ca="1" si="70"/>
        <v>-167.16170094497593</v>
      </c>
      <c r="X218" s="55">
        <f t="shared" ca="1" si="71"/>
        <v>104.30322016300913</v>
      </c>
      <c r="Y218" s="55">
        <f t="shared" ca="1" si="72"/>
        <v>36.324632418524246</v>
      </c>
      <c r="Z218">
        <f t="shared" ca="1" si="66"/>
        <v>117.4966266456633</v>
      </c>
      <c r="AA218">
        <f t="shared" ca="1" si="73"/>
        <v>428.09181654791473</v>
      </c>
      <c r="AB218">
        <f t="shared" ca="1" si="67"/>
        <v>0</v>
      </c>
      <c r="AC218">
        <f t="shared" ca="1" si="68"/>
        <v>0.87424828019940182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>
        <f ca="1"/>
        <v>45588</v>
      </c>
      <c r="S219" s="55">
        <f t="shared" ca="1" si="69"/>
        <v>45588</v>
      </c>
      <c r="T219" s="55">
        <f t="shared" ca="1" si="63"/>
        <v>67.168844239535929</v>
      </c>
      <c r="U219" s="55">
        <f t="shared" ca="1" si="64"/>
        <v>144.06471329081361</v>
      </c>
      <c r="V219" s="55">
        <f t="shared" ca="1" si="65"/>
        <v>0</v>
      </c>
      <c r="W219" s="55">
        <f t="shared" ca="1" si="70"/>
        <v>-167.16170094497593</v>
      </c>
      <c r="X219" s="55">
        <f t="shared" ca="1" si="71"/>
        <v>104.87544693625114</v>
      </c>
      <c r="Y219" s="55">
        <f t="shared" ca="1" si="72"/>
        <v>36.332140666147716</v>
      </c>
      <c r="Z219">
        <f t="shared" ca="1" si="66"/>
        <v>117.62653658856334</v>
      </c>
      <c r="AA219">
        <f t="shared" ca="1" si="73"/>
        <v>428.09181654791473</v>
      </c>
      <c r="AB219">
        <f t="shared" ca="1" si="67"/>
        <v>0</v>
      </c>
      <c r="AC219">
        <f t="shared" ca="1" si="68"/>
        <v>0.8756111661611663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>
        <f ca="1"/>
        <v>45589</v>
      </c>
      <c r="S220" s="55">
        <f t="shared" ca="1" si="69"/>
        <v>45589</v>
      </c>
      <c r="T220" s="55">
        <f t="shared" ca="1" si="63"/>
        <v>65.218787411841831</v>
      </c>
      <c r="U220" s="55">
        <f t="shared" ca="1" si="64"/>
        <v>146.61029289270937</v>
      </c>
      <c r="V220" s="55">
        <f t="shared" ca="1" si="65"/>
        <v>0</v>
      </c>
      <c r="W220" s="55">
        <f t="shared" ca="1" si="70"/>
        <v>-167.16170094497593</v>
      </c>
      <c r="X220" s="55">
        <f t="shared" ca="1" si="71"/>
        <v>105.46339933282829</v>
      </c>
      <c r="Y220" s="55">
        <f t="shared" ca="1" si="72"/>
        <v>36.339711043772219</v>
      </c>
      <c r="Z220">
        <f t="shared" ca="1" si="66"/>
        <v>114.11164272257571</v>
      </c>
      <c r="AA220">
        <f t="shared" ca="1" si="73"/>
        <v>428.09181654791473</v>
      </c>
      <c r="AB220">
        <f t="shared" ca="1" si="67"/>
        <v>0</v>
      </c>
      <c r="AC220">
        <f t="shared" ca="1" si="68"/>
        <v>0.8769716466646168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>
        <f ca="1"/>
        <v>45590</v>
      </c>
      <c r="S221" s="55">
        <f t="shared" ca="1" si="69"/>
        <v>45590</v>
      </c>
      <c r="T221" s="55">
        <f t="shared" ca="1" si="63"/>
        <v>63.163008494947462</v>
      </c>
      <c r="U221" s="55">
        <f t="shared" ca="1" si="64"/>
        <v>149.24267637471431</v>
      </c>
      <c r="V221" s="55">
        <f t="shared" ca="1" si="65"/>
        <v>0</v>
      </c>
      <c r="W221" s="55">
        <f t="shared" ca="1" si="70"/>
        <v>-167.16170094497593</v>
      </c>
      <c r="X221" s="55">
        <f t="shared" ca="1" si="71"/>
        <v>106.03245842332481</v>
      </c>
      <c r="Y221" s="55">
        <f t="shared" ca="1" si="72"/>
        <v>36.34725651838626</v>
      </c>
      <c r="Z221">
        <f t="shared" ca="1" si="66"/>
        <v>108.62183723217558</v>
      </c>
      <c r="AA221">
        <f t="shared" ca="1" si="73"/>
        <v>428.09181654791473</v>
      </c>
      <c r="AB221">
        <f t="shared" ca="1" si="67"/>
        <v>0</v>
      </c>
      <c r="AC221">
        <f t="shared" ca="1" si="68"/>
        <v>0.87829934690162881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>
        <f ca="1"/>
        <v>45591</v>
      </c>
      <c r="S222" s="55">
        <f t="shared" ca="1" si="69"/>
        <v>45591</v>
      </c>
      <c r="T222" s="55">
        <f t="shared" ca="1" si="63"/>
        <v>60.925634988466612</v>
      </c>
      <c r="U222" s="55">
        <f t="shared" ca="1" si="64"/>
        <v>152.09679983677546</v>
      </c>
      <c r="V222" s="55">
        <f t="shared" ca="1" si="65"/>
        <v>0</v>
      </c>
      <c r="W222" s="55">
        <f t="shared" ca="1" si="70"/>
        <v>-167.16170094497593</v>
      </c>
      <c r="X222" s="55">
        <f t="shared" ca="1" si="71"/>
        <v>106.64144422135108</v>
      </c>
      <c r="Y222" s="55">
        <f t="shared" ca="1" si="72"/>
        <v>36.355020675940295</v>
      </c>
      <c r="Z222">
        <f t="shared" ca="1" si="66"/>
        <v>108.97218441940731</v>
      </c>
      <c r="AA222">
        <f t="shared" ca="1" si="73"/>
        <v>428.09181654791473</v>
      </c>
      <c r="AB222">
        <f t="shared" ca="1" si="67"/>
        <v>0</v>
      </c>
      <c r="AC222">
        <f t="shared" ca="1" si="68"/>
        <v>0.87965389165300234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>
        <f ca="1"/>
        <v>45592</v>
      </c>
      <c r="S223" s="55">
        <f t="shared" ca="1" si="69"/>
        <v>45592</v>
      </c>
      <c r="T223" s="55">
        <f t="shared" ca="1" si="63"/>
        <v>58.842273416143179</v>
      </c>
      <c r="U223" s="55">
        <f t="shared" ca="1" si="64"/>
        <v>154.78516083420845</v>
      </c>
      <c r="V223" s="55">
        <f t="shared" ca="1" si="65"/>
        <v>0</v>
      </c>
      <c r="W223" s="55">
        <f t="shared" ca="1" si="70"/>
        <v>-167.16170094497593</v>
      </c>
      <c r="X223" s="55">
        <f t="shared" ca="1" si="71"/>
        <v>107.23915804028877</v>
      </c>
      <c r="Y223" s="55">
        <f t="shared" ca="1" si="72"/>
        <v>36.362306282112158</v>
      </c>
      <c r="Z223">
        <f t="shared" ca="1" si="66"/>
        <v>111.75483104924845</v>
      </c>
      <c r="AA223">
        <f t="shared" ca="1" si="73"/>
        <v>428.09181654791473</v>
      </c>
      <c r="AB223">
        <f t="shared" ca="1" si="67"/>
        <v>0</v>
      </c>
      <c r="AC223">
        <f t="shared" ca="1" si="68"/>
        <v>0.88085421982644185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>
        <f ca="1"/>
        <v>45593</v>
      </c>
      <c r="S224" s="55">
        <f t="shared" ca="1" si="69"/>
        <v>45593</v>
      </c>
      <c r="T224" s="55">
        <f t="shared" ca="1" si="63"/>
        <v>56.746922503504386</v>
      </c>
      <c r="U224" s="55">
        <f t="shared" ca="1" si="64"/>
        <v>157.4771646833897</v>
      </c>
      <c r="V224" s="55">
        <f t="shared" ca="1" si="65"/>
        <v>0</v>
      </c>
      <c r="W224" s="55">
        <f t="shared" ca="1" si="70"/>
        <v>-167.16170094497593</v>
      </c>
      <c r="X224" s="55">
        <f t="shared" ca="1" si="71"/>
        <v>107.82868463043644</v>
      </c>
      <c r="Y224" s="55">
        <f t="shared" ca="1" si="72"/>
        <v>36.369432628506942</v>
      </c>
      <c r="Z224">
        <f t="shared" ca="1" si="66"/>
        <v>110.27879852284858</v>
      </c>
      <c r="AA224">
        <f t="shared" ca="1" si="73"/>
        <v>428.09181654791473</v>
      </c>
      <c r="AB224">
        <f t="shared" ca="1" si="67"/>
        <v>0</v>
      </c>
      <c r="AC224">
        <f t="shared" ca="1" si="68"/>
        <v>0.88198755217991986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>
        <f ca="1"/>
        <v>45594</v>
      </c>
      <c r="S225" s="55">
        <f t="shared" ca="1" si="69"/>
        <v>45594</v>
      </c>
      <c r="T225" s="55">
        <f t="shared" ca="1" si="63"/>
        <v>54.534995927348859</v>
      </c>
      <c r="U225" s="55">
        <f t="shared" ca="1" si="64"/>
        <v>160.28961248574143</v>
      </c>
      <c r="V225" s="55">
        <f t="shared" ca="1" si="65"/>
        <v>0</v>
      </c>
      <c r="W225" s="55">
        <f t="shared" ca="1" si="70"/>
        <v>-167.16170094497593</v>
      </c>
      <c r="X225" s="55">
        <f t="shared" ca="1" si="71"/>
        <v>108.42203586871489</v>
      </c>
      <c r="Y225" s="55">
        <f t="shared" ca="1" si="72"/>
        <v>36.376602616424698</v>
      </c>
      <c r="Z225">
        <f t="shared" ca="1" si="66"/>
        <v>107.45914461326907</v>
      </c>
      <c r="AA225">
        <f t="shared" ca="1" si="73"/>
        <v>428.09181654791473</v>
      </c>
      <c r="AB225">
        <f t="shared" ca="1" si="67"/>
        <v>0</v>
      </c>
      <c r="AC225">
        <f t="shared" ca="1" si="68"/>
        <v>0.88310296805617439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>
        <f ca="1"/>
        <v>45595</v>
      </c>
      <c r="S226" s="55">
        <f t="shared" ca="1" si="69"/>
        <v>45595</v>
      </c>
      <c r="T226" s="55">
        <f t="shared" ca="1" si="63"/>
        <v>52.34746085730032</v>
      </c>
      <c r="U226" s="55">
        <f t="shared" ca="1" si="64"/>
        <v>163.04111537968168</v>
      </c>
      <c r="V226" s="55">
        <f t="shared" ca="1" si="65"/>
        <v>0</v>
      </c>
      <c r="W226" s="55">
        <f t="shared" ca="1" si="70"/>
        <v>-167.16170094497593</v>
      </c>
      <c r="X226" s="55">
        <f t="shared" ca="1" si="71"/>
        <v>108.97909351033437</v>
      </c>
      <c r="Y226" s="55">
        <f t="shared" ca="1" si="72"/>
        <v>36.383512798696941</v>
      </c>
      <c r="Z226">
        <f t="shared" ca="1" si="66"/>
        <v>103.02779738170457</v>
      </c>
      <c r="AA226">
        <f t="shared" ca="1" si="73"/>
        <v>428.09181654791473</v>
      </c>
      <c r="AB226">
        <f t="shared" ca="1" si="67"/>
        <v>0</v>
      </c>
      <c r="AC226">
        <f t="shared" ca="1" si="68"/>
        <v>0.88413070034436392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>
        <f ca="1"/>
        <v>45596</v>
      </c>
      <c r="S227" s="55">
        <f t="shared" ca="1" si="69"/>
        <v>45596</v>
      </c>
      <c r="T227" s="55">
        <f t="shared" ca="1" si="63"/>
        <v>50.266043185331071</v>
      </c>
      <c r="U227" s="55">
        <f t="shared" ca="1" si="64"/>
        <v>165.64402848592408</v>
      </c>
      <c r="V227" s="55">
        <f t="shared" ca="1" si="65"/>
        <v>0</v>
      </c>
      <c r="W227" s="55">
        <f t="shared" ca="1" si="70"/>
        <v>-167.16170094497593</v>
      </c>
      <c r="X227" s="55">
        <f t="shared" ca="1" si="71"/>
        <v>109.49406162312781</v>
      </c>
      <c r="Y227" s="55">
        <f t="shared" ca="1" si="72"/>
        <v>36.39004012017665</v>
      </c>
      <c r="Z227">
        <f t="shared" ca="1" si="66"/>
        <v>99.584781474027352</v>
      </c>
      <c r="AA227">
        <f t="shared" ca="1" si="73"/>
        <v>428.09181654791473</v>
      </c>
      <c r="AB227">
        <f t="shared" ca="1" si="67"/>
        <v>0</v>
      </c>
      <c r="AC227">
        <f t="shared" ca="1" si="68"/>
        <v>0.88504873649097893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>
        <f ca="1"/>
        <v>45597</v>
      </c>
      <c r="S228" s="55">
        <f t="shared" ca="1" si="69"/>
        <v>45597</v>
      </c>
      <c r="T228" s="55">
        <f t="shared" ca="1" si="63"/>
        <v>48.145393923725997</v>
      </c>
      <c r="U228" s="55">
        <f t="shared" ca="1" si="64"/>
        <v>168.25564526724861</v>
      </c>
      <c r="V228" s="55">
        <f t="shared" ca="1" si="65"/>
        <v>0</v>
      </c>
      <c r="W228" s="55">
        <f t="shared" ca="1" si="70"/>
        <v>-167.16170094497593</v>
      </c>
      <c r="X228" s="55">
        <f t="shared" ca="1" si="71"/>
        <v>109.97862071391472</v>
      </c>
      <c r="Y228" s="55">
        <f t="shared" ca="1" si="72"/>
        <v>36.396448549109195</v>
      </c>
      <c r="Z228">
        <f t="shared" ca="1" si="66"/>
        <v>93.502070801679153</v>
      </c>
      <c r="AA228">
        <f t="shared" ca="1" si="73"/>
        <v>428.09181654791473</v>
      </c>
      <c r="AB228">
        <f t="shared" ca="1" si="67"/>
        <v>0</v>
      </c>
      <c r="AC228">
        <f t="shared" ca="1" si="68"/>
        <v>0.88592008872092853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>
        <f ca="1"/>
        <v>45598</v>
      </c>
      <c r="S229" s="55">
        <f t="shared" ca="1" si="69"/>
        <v>45598</v>
      </c>
      <c r="T229" s="55">
        <f t="shared" ca="1" si="63"/>
        <v>46.052884283050247</v>
      </c>
      <c r="U229" s="55">
        <f t="shared" ca="1" si="64"/>
        <v>170.82574750064052</v>
      </c>
      <c r="V229" s="55">
        <f t="shared" ca="1" si="65"/>
        <v>0</v>
      </c>
      <c r="W229" s="55">
        <f t="shared" ca="1" si="70"/>
        <v>-167.16170094497593</v>
      </c>
      <c r="X229" s="55">
        <f t="shared" ca="1" si="71"/>
        <v>110.44999416917464</v>
      </c>
      <c r="Y229" s="55">
        <f t="shared" ca="1" si="72"/>
        <v>36.402667686565437</v>
      </c>
      <c r="Z229">
        <f t="shared" ca="1" si="66"/>
        <v>91.83826456505912</v>
      </c>
      <c r="AA229">
        <f t="shared" ca="1" si="73"/>
        <v>428.09181654791473</v>
      </c>
      <c r="AB229">
        <f t="shared" ca="1" si="67"/>
        <v>0</v>
      </c>
      <c r="AC229">
        <f t="shared" ca="1" si="68"/>
        <v>0.88673177904684475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>
        <f ca="1"/>
        <v>45599</v>
      </c>
      <c r="S230" s="55">
        <f t="shared" ca="1" si="69"/>
        <v>45599</v>
      </c>
      <c r="T230" s="55">
        <f t="shared" ca="1" si="63"/>
        <v>43.919643069210117</v>
      </c>
      <c r="U230" s="55">
        <f t="shared" ca="1" si="64"/>
        <v>173.44412286814267</v>
      </c>
      <c r="V230" s="55">
        <f t="shared" ca="1" si="65"/>
        <v>0</v>
      </c>
      <c r="W230" s="55">
        <f t="shared" ca="1" si="70"/>
        <v>-167.16170094497593</v>
      </c>
      <c r="X230" s="55">
        <f t="shared" ca="1" si="71"/>
        <v>110.92895710453377</v>
      </c>
      <c r="Y230" s="55">
        <f t="shared" ca="1" si="72"/>
        <v>36.408838904868333</v>
      </c>
      <c r="Z230">
        <f t="shared" ca="1" si="66"/>
        <v>91.659353074577211</v>
      </c>
      <c r="AA230">
        <f t="shared" ca="1" si="73"/>
        <v>428.09181654791473</v>
      </c>
      <c r="AB230">
        <f t="shared" ca="1" si="67"/>
        <v>0</v>
      </c>
      <c r="AC230">
        <f t="shared" ca="1" si="68"/>
        <v>0.88751468904097652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>
        <f ca="1"/>
        <v>45600</v>
      </c>
      <c r="S231" s="55">
        <f t="shared" ca="1" si="69"/>
        <v>45600</v>
      </c>
      <c r="T231" s="55">
        <f t="shared" ca="1" si="63"/>
        <v>41.750265645843996</v>
      </c>
      <c r="U231" s="55">
        <f t="shared" ca="1" si="64"/>
        <v>176.14789259984525</v>
      </c>
      <c r="V231" s="55">
        <f t="shared" ca="1" si="65"/>
        <v>0</v>
      </c>
      <c r="W231" s="55">
        <f t="shared" ca="1" si="70"/>
        <v>-167.16170094497593</v>
      </c>
      <c r="X231" s="55">
        <f t="shared" ca="1" si="71"/>
        <v>111.45716782471125</v>
      </c>
      <c r="Y231" s="55">
        <f t="shared" ca="1" si="72"/>
        <v>36.415020493027299</v>
      </c>
      <c r="Z231">
        <f t="shared" ca="1" si="66"/>
        <v>97.930652643734561</v>
      </c>
      <c r="AA231">
        <f t="shared" ca="1" si="73"/>
        <v>428.09181654791473</v>
      </c>
      <c r="AB231">
        <f t="shared" ca="1" si="67"/>
        <v>0</v>
      </c>
      <c r="AC231">
        <f t="shared" ca="1" si="68"/>
        <v>0.88827919982431314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>
        <f ca="1"/>
        <v>45601</v>
      </c>
      <c r="S232" s="55">
        <f t="shared" ca="1" si="69"/>
        <v>45601</v>
      </c>
      <c r="T232" s="55">
        <f t="shared" ca="1" si="63"/>
        <v>39.696963493031795</v>
      </c>
      <c r="U232" s="55">
        <f t="shared" ca="1" si="64"/>
        <v>178.72610046357423</v>
      </c>
      <c r="V232" s="55">
        <f t="shared" ca="1" si="65"/>
        <v>0</v>
      </c>
      <c r="W232" s="55">
        <f t="shared" ca="1" si="70"/>
        <v>-167.16170094497593</v>
      </c>
      <c r="X232" s="55">
        <f t="shared" ca="1" si="71"/>
        <v>111.97619012723705</v>
      </c>
      <c r="Y232" s="55">
        <f t="shared" ca="1" si="72"/>
        <v>36.420903901418278</v>
      </c>
      <c r="Z232">
        <f t="shared" ca="1" si="66"/>
        <v>99.36203939165506</v>
      </c>
      <c r="AA232">
        <f t="shared" ca="1" si="73"/>
        <v>428.09181654791473</v>
      </c>
      <c r="AB232">
        <f t="shared" ca="1" si="67"/>
        <v>0</v>
      </c>
      <c r="AC232">
        <f t="shared" ca="1" si="68"/>
        <v>0.88896901505661141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>
        <f ca="1"/>
        <v>45602</v>
      </c>
      <c r="S233" s="55">
        <f t="shared" ca="1" si="69"/>
        <v>45602</v>
      </c>
      <c r="T233" s="55">
        <f t="shared" ca="1" si="63"/>
        <v>37.599270017530358</v>
      </c>
      <c r="U233" s="55">
        <f t="shared" ca="1" si="64"/>
        <v>181.3744102076916</v>
      </c>
      <c r="V233" s="55">
        <f t="shared" ca="1" si="65"/>
        <v>0</v>
      </c>
      <c r="W233" s="55">
        <f t="shared" ca="1" si="70"/>
        <v>-167.16170094497593</v>
      </c>
      <c r="X233" s="55">
        <f t="shared" ca="1" si="71"/>
        <v>112.520927155195</v>
      </c>
      <c r="Y233" s="55">
        <f t="shared" ca="1" si="72"/>
        <v>36.426783142076268</v>
      </c>
      <c r="Z233">
        <f t="shared" ca="1" si="66"/>
        <v>101.41318102842008</v>
      </c>
      <c r="AA233">
        <f t="shared" ca="1" si="73"/>
        <v>428.09181654791473</v>
      </c>
      <c r="AB233">
        <f t="shared" ca="1" si="67"/>
        <v>0</v>
      </c>
      <c r="AC233">
        <f t="shared" ca="1" si="68"/>
        <v>0.88964001925589442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>
        <f ca="1"/>
        <v>45603</v>
      </c>
      <c r="S234" s="55">
        <f t="shared" ca="1" si="69"/>
        <v>45603</v>
      </c>
      <c r="T234" s="55">
        <f t="shared" ca="1" si="63"/>
        <v>35.460253188637864</v>
      </c>
      <c r="U234" s="55">
        <f t="shared" ca="1" si="64"/>
        <v>184.07565056025962</v>
      </c>
      <c r="V234" s="55">
        <f t="shared" ca="1" si="65"/>
        <v>0</v>
      </c>
      <c r="W234" s="55">
        <f t="shared" ca="1" si="70"/>
        <v>-167.16170094497593</v>
      </c>
      <c r="X234" s="55">
        <f t="shared" ca="1" si="71"/>
        <v>113.07729765881474</v>
      </c>
      <c r="Y234" s="55">
        <f t="shared" ca="1" si="72"/>
        <v>36.432636162132049</v>
      </c>
      <c r="Z234">
        <f t="shared" ca="1" si="66"/>
        <v>101.34799532439921</v>
      </c>
      <c r="AA234">
        <f t="shared" ca="1" si="73"/>
        <v>428.09181654791473</v>
      </c>
      <c r="AB234">
        <f t="shared" ca="1" si="67"/>
        <v>0</v>
      </c>
      <c r="AC234">
        <f t="shared" ca="1" si="68"/>
        <v>0.89028742134639727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>
        <f ca="1"/>
        <v>45604</v>
      </c>
      <c r="S235" s="55">
        <f t="shared" ca="1" si="69"/>
        <v>45604</v>
      </c>
      <c r="T235" s="55">
        <f t="shared" ca="1" si="63"/>
        <v>33.424791375297097</v>
      </c>
      <c r="U235" s="55">
        <f t="shared" ca="1" si="64"/>
        <v>186.65648616874356</v>
      </c>
      <c r="V235" s="55">
        <f t="shared" ca="1" si="65"/>
        <v>0</v>
      </c>
      <c r="W235" s="55">
        <f t="shared" ca="1" si="70"/>
        <v>-167.16170094497593</v>
      </c>
      <c r="X235" s="55">
        <f t="shared" ca="1" si="71"/>
        <v>113.61708841241261</v>
      </c>
      <c r="Y235" s="55">
        <f t="shared" ca="1" si="72"/>
        <v>36.438219203677349</v>
      </c>
      <c r="Z235">
        <f t="shared" ca="1" si="66"/>
        <v>101.35035781963741</v>
      </c>
      <c r="AA235">
        <f t="shared" ca="1" si="73"/>
        <v>428.09181654791473</v>
      </c>
      <c r="AB235">
        <f t="shared" ca="1" si="67"/>
        <v>0</v>
      </c>
      <c r="AC235">
        <f t="shared" ca="1" si="68"/>
        <v>0.89087299386987695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>
        <f ca="1"/>
        <v>45605</v>
      </c>
      <c r="S236" s="55">
        <f t="shared" ca="1" si="69"/>
        <v>45605</v>
      </c>
      <c r="T236" s="55">
        <f t="shared" ca="1" si="63"/>
        <v>31.319652844828362</v>
      </c>
      <c r="U236" s="55">
        <f t="shared" ca="1" si="64"/>
        <v>189.31097981726569</v>
      </c>
      <c r="V236" s="55">
        <f t="shared" ca="1" si="65"/>
        <v>0</v>
      </c>
      <c r="W236" s="55">
        <f t="shared" ca="1" si="70"/>
        <v>-167.16170094497593</v>
      </c>
      <c r="X236" s="55">
        <f t="shared" ca="1" si="71"/>
        <v>114.16084850597971</v>
      </c>
      <c r="Y236" s="55">
        <f t="shared" ca="1" si="72"/>
        <v>36.443814228163646</v>
      </c>
      <c r="Z236">
        <f t="shared" ca="1" si="66"/>
        <v>99.296199648285551</v>
      </c>
      <c r="AA236">
        <f t="shared" ca="1" si="73"/>
        <v>428.09181654791473</v>
      </c>
      <c r="AB236">
        <f t="shared" ca="1" si="67"/>
        <v>0</v>
      </c>
      <c r="AC236">
        <f t="shared" ca="1" si="68"/>
        <v>0.89144351918011733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>
        <f ca="1"/>
        <v>45606</v>
      </c>
      <c r="S237" s="55">
        <f t="shared" ca="1" si="69"/>
        <v>45606</v>
      </c>
      <c r="T237" s="55">
        <f t="shared" ca="1" si="63"/>
        <v>29.192519877683861</v>
      </c>
      <c r="U237" s="55">
        <f t="shared" ca="1" si="64"/>
        <v>191.96773502268979</v>
      </c>
      <c r="V237" s="55">
        <f t="shared" ca="1" si="65"/>
        <v>0</v>
      </c>
      <c r="W237" s="55">
        <f t="shared" ca="1" si="70"/>
        <v>-167.16170094497593</v>
      </c>
      <c r="X237" s="55">
        <f t="shared" ca="1" si="71"/>
        <v>114.6849611453494</v>
      </c>
      <c r="Y237" s="55">
        <f t="shared" ca="1" si="72"/>
        <v>36.449323827073563</v>
      </c>
      <c r="Z237">
        <f t="shared" ca="1" si="66"/>
        <v>95.12920829254098</v>
      </c>
      <c r="AA237">
        <f t="shared" ca="1" si="73"/>
        <v>428.09181654791473</v>
      </c>
      <c r="AB237">
        <f t="shared" ca="1" si="67"/>
        <v>0</v>
      </c>
      <c r="AC237">
        <f t="shared" ca="1" si="68"/>
        <v>0.89198403222795009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>
        <f ca="1"/>
        <v>45607</v>
      </c>
      <c r="S238" s="55">
        <f t="shared" ca="1" si="69"/>
        <v>45607</v>
      </c>
      <c r="T238" s="55">
        <f t="shared" ca="1" si="63"/>
        <v>27.100990557828869</v>
      </c>
      <c r="U238" s="55">
        <f t="shared" ca="1" si="64"/>
        <v>194.58982512664596</v>
      </c>
      <c r="V238" s="55">
        <f t="shared" ca="1" si="65"/>
        <v>0</v>
      </c>
      <c r="W238" s="55">
        <f t="shared" ca="1" si="70"/>
        <v>-167.16170094497593</v>
      </c>
      <c r="X238" s="55">
        <f t="shared" ca="1" si="71"/>
        <v>115.2101446309066</v>
      </c>
      <c r="Y238" s="55">
        <f t="shared" ca="1" si="72"/>
        <v>36.454701125617547</v>
      </c>
      <c r="Z238">
        <f t="shared" ca="1" si="66"/>
        <v>95.546959706311739</v>
      </c>
      <c r="AA238">
        <f t="shared" ca="1" si="73"/>
        <v>428.09181654791473</v>
      </c>
      <c r="AB238">
        <f t="shared" ca="1" si="67"/>
        <v>0</v>
      </c>
      <c r="AC238">
        <f t="shared" ca="1" si="68"/>
        <v>0.89248919026094187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>
        <f ca="1"/>
        <v>45608</v>
      </c>
      <c r="S239" s="55">
        <f t="shared" ca="1" si="69"/>
        <v>45608</v>
      </c>
      <c r="T239" s="55">
        <f t="shared" ca="1" si="63"/>
        <v>25.079181810506011</v>
      </c>
      <c r="U239" s="55">
        <f t="shared" ca="1" si="64"/>
        <v>197.12336983442813</v>
      </c>
      <c r="V239" s="55">
        <f t="shared" ca="1" si="65"/>
        <v>0</v>
      </c>
      <c r="W239" s="55">
        <f t="shared" ca="1" si="70"/>
        <v>-167.16170094497593</v>
      </c>
      <c r="X239" s="55">
        <f t="shared" ca="1" si="71"/>
        <v>115.71670290911391</v>
      </c>
      <c r="Y239" s="55">
        <f t="shared" ca="1" si="72"/>
        <v>36.459878807869558</v>
      </c>
      <c r="Z239">
        <f t="shared" ca="1" si="66"/>
        <v>93.999770329569742</v>
      </c>
      <c r="AA239">
        <f t="shared" ca="1" si="73"/>
        <v>428.09181654791473</v>
      </c>
      <c r="AB239">
        <f t="shared" ca="1" si="67"/>
        <v>0</v>
      </c>
      <c r="AC239">
        <f t="shared" ca="1" si="68"/>
        <v>0.8929519864145008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>
        <f ca="1"/>
        <v>45609</v>
      </c>
      <c r="S240" s="55">
        <f t="shared" ca="1" si="69"/>
        <v>45609</v>
      </c>
      <c r="T240" s="55">
        <f t="shared" ca="1" si="63"/>
        <v>23.089249748206971</v>
      </c>
      <c r="U240" s="55">
        <f t="shared" ca="1" si="64"/>
        <v>199.61599070842368</v>
      </c>
      <c r="V240" s="55">
        <f t="shared" ca="1" si="65"/>
        <v>0</v>
      </c>
      <c r="W240" s="55">
        <f t="shared" ca="1" si="70"/>
        <v>-167.16170094497593</v>
      </c>
      <c r="X240" s="55">
        <f t="shared" ca="1" si="71"/>
        <v>116.21434188468679</v>
      </c>
      <c r="Y240" s="55">
        <f t="shared" ca="1" si="72"/>
        <v>36.464928643993183</v>
      </c>
      <c r="Z240">
        <f t="shared" ca="1" si="66"/>
        <v>92.757581649264182</v>
      </c>
      <c r="AA240">
        <f t="shared" ca="1" si="73"/>
        <v>428.09181654791473</v>
      </c>
      <c r="AB240">
        <f t="shared" ca="1" si="67"/>
        <v>0</v>
      </c>
      <c r="AC240">
        <f t="shared" ca="1" si="68"/>
        <v>0.89338427580268787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>
        <f ca="1"/>
        <v>45610</v>
      </c>
      <c r="S241" s="55">
        <f t="shared" ca="1" si="69"/>
        <v>45610</v>
      </c>
      <c r="T241" s="55">
        <f t="shared" ca="1" si="63"/>
        <v>21.032519045998637</v>
      </c>
      <c r="U241" s="55">
        <f t="shared" ca="1" si="64"/>
        <v>202.16994625375867</v>
      </c>
      <c r="V241" s="55">
        <f t="shared" ca="1" si="65"/>
        <v>0</v>
      </c>
      <c r="W241" s="55">
        <f t="shared" ca="1" si="70"/>
        <v>-167.16170094497593</v>
      </c>
      <c r="X241" s="55">
        <f t="shared" ca="1" si="71"/>
        <v>116.70650356209212</v>
      </c>
      <c r="Y241" s="55">
        <f t="shared" ca="1" si="72"/>
        <v>36.4699918097145</v>
      </c>
      <c r="Z241">
        <f t="shared" ca="1" si="66"/>
        <v>89.073346922130412</v>
      </c>
      <c r="AA241">
        <f t="shared" ca="1" si="73"/>
        <v>428.09181654791473</v>
      </c>
      <c r="AB241">
        <f t="shared" ca="1" si="67"/>
        <v>0</v>
      </c>
      <c r="AC241">
        <f t="shared" ca="1" si="68"/>
        <v>0.89380469424447073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>
        <f ca="1"/>
        <v>45611</v>
      </c>
      <c r="S242" s="55">
        <f t="shared" ca="1" si="69"/>
        <v>45611</v>
      </c>
      <c r="T242" s="55">
        <f t="shared" ca="1" si="63"/>
        <v>18.947040532140292</v>
      </c>
      <c r="U242" s="55">
        <f t="shared" ca="1" si="64"/>
        <v>204.77555788746787</v>
      </c>
      <c r="V242" s="55">
        <f t="shared" ca="1" si="65"/>
        <v>0</v>
      </c>
      <c r="W242" s="55">
        <f t="shared" ca="1" si="70"/>
        <v>-167.16170094497593</v>
      </c>
      <c r="X242" s="55">
        <f t="shared" ca="1" si="71"/>
        <v>117.22156908278508</v>
      </c>
      <c r="Y242" s="55">
        <f t="shared" ca="1" si="72"/>
        <v>36.475059408872404</v>
      </c>
      <c r="Z242">
        <f t="shared" ca="1" si="66"/>
        <v>90.728027745251367</v>
      </c>
      <c r="AA242">
        <f t="shared" ca="1" si="73"/>
        <v>428.09181654791473</v>
      </c>
      <c r="AB242">
        <f t="shared" ca="1" si="67"/>
        <v>0</v>
      </c>
      <c r="AC242">
        <f t="shared" ca="1" si="68"/>
        <v>0.89421131234063533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>
        <f ca="1"/>
        <v>45612</v>
      </c>
      <c r="S243" s="55">
        <f t="shared" ca="1" si="69"/>
        <v>45612</v>
      </c>
      <c r="T243" s="55">
        <f t="shared" ca="1" si="63"/>
        <v>16.957945667807984</v>
      </c>
      <c r="U243" s="55">
        <f t="shared" ca="1" si="64"/>
        <v>207.25034184446835</v>
      </c>
      <c r="V243" s="55">
        <f t="shared" ca="1" si="65"/>
        <v>0</v>
      </c>
      <c r="W243" s="55">
        <f t="shared" ca="1" si="70"/>
        <v>-167.16170094497593</v>
      </c>
      <c r="X243" s="55">
        <f t="shared" ca="1" si="71"/>
        <v>117.70242886213246</v>
      </c>
      <c r="Y243" s="55">
        <f t="shared" ca="1" si="72"/>
        <v>36.479888722193202</v>
      </c>
      <c r="Z243">
        <f t="shared" ca="1" si="66"/>
        <v>87.340613280211613</v>
      </c>
      <c r="AA243">
        <f t="shared" ca="1" si="73"/>
        <v>428.09181654791473</v>
      </c>
      <c r="AB243">
        <f t="shared" ca="1" si="67"/>
        <v>0</v>
      </c>
      <c r="AC243">
        <f t="shared" ca="1" si="68"/>
        <v>0.89457768581431996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>
        <f ca="1"/>
        <v>45613</v>
      </c>
      <c r="S244" s="55">
        <f t="shared" ca="1" si="69"/>
        <v>45613</v>
      </c>
      <c r="T244" s="55">
        <f t="shared" ca="1" si="63"/>
        <v>15.062298325732304</v>
      </c>
      <c r="U244" s="55">
        <f t="shared" ca="1" si="64"/>
        <v>209.59960143890888</v>
      </c>
      <c r="V244" s="55">
        <f t="shared" ca="1" si="65"/>
        <v>0</v>
      </c>
      <c r="W244" s="55">
        <f t="shared" ca="1" si="70"/>
        <v>-167.16170094497593</v>
      </c>
      <c r="X244" s="55">
        <f t="shared" ca="1" si="71"/>
        <v>118.15143249877764</v>
      </c>
      <c r="Y244" s="55">
        <f t="shared" ca="1" si="72"/>
        <v>36.48449733791287</v>
      </c>
      <c r="Z244">
        <f t="shared" ca="1" si="66"/>
        <v>83.943416184460986</v>
      </c>
      <c r="AA244">
        <f t="shared" ca="1" si="73"/>
        <v>428.09181654791473</v>
      </c>
      <c r="AB244">
        <f t="shared" ca="1" si="67"/>
        <v>0</v>
      </c>
      <c r="AC244">
        <f t="shared" ca="1" si="68"/>
        <v>0.89490845509500394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>
        <f ca="1"/>
        <v>45614</v>
      </c>
      <c r="S245" s="55">
        <f t="shared" ca="1" si="69"/>
        <v>45614</v>
      </c>
      <c r="T245" s="55">
        <f t="shared" ca="1" si="63"/>
        <v>13.182322969874184</v>
      </c>
      <c r="U245" s="55">
        <f t="shared" ca="1" si="64"/>
        <v>211.90909090909088</v>
      </c>
      <c r="V245" s="55">
        <f t="shared" ca="1" si="65"/>
        <v>0</v>
      </c>
      <c r="W245" s="55">
        <f t="shared" ca="1" si="70"/>
        <v>-167.16170094497593</v>
      </c>
      <c r="X245" s="55">
        <f t="shared" ca="1" si="71"/>
        <v>118.57644183760132</v>
      </c>
      <c r="Y245" s="55">
        <f t="shared" ca="1" si="72"/>
        <v>36.489002113413072</v>
      </c>
      <c r="Z245">
        <f t="shared" ca="1" si="66"/>
        <v>79.216976715483639</v>
      </c>
      <c r="AA245">
        <f t="shared" ca="1" si="73"/>
        <v>428.09181654791473</v>
      </c>
      <c r="AB245">
        <f t="shared" ca="1" si="67"/>
        <v>0</v>
      </c>
      <c r="AC245">
        <f t="shared" ca="1" si="68"/>
        <v>0.89521819789393153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5" priority="50" operator="containsText" text="Suggested">
      <formula>NOT(ISERROR(SEARCH("Suggested",H29)))</formula>
    </cfRule>
  </conditionalFormatting>
  <conditionalFormatting sqref="F29:G29">
    <cfRule type="expression" dxfId="24" priority="56">
      <formula>$B$29=1</formula>
    </cfRule>
  </conditionalFormatting>
  <conditionalFormatting sqref="F30:G30">
    <cfRule type="expression" dxfId="23" priority="63">
      <formula>$B$30=1</formula>
    </cfRule>
  </conditionalFormatting>
  <conditionalFormatting sqref="F31:G31">
    <cfRule type="expression" dxfId="22" priority="65">
      <formula>$B$31=1</formula>
    </cfRule>
  </conditionalFormatting>
  <conditionalFormatting sqref="F32:G32">
    <cfRule type="expression" dxfId="21" priority="67">
      <formula>$B$32=1</formula>
    </cfRule>
  </conditionalFormatting>
  <conditionalFormatting sqref="F33:G33">
    <cfRule type="expression" dxfId="20" priority="69">
      <formula>$B$33=1</formula>
    </cfRule>
  </conditionalFormatting>
  <conditionalFormatting sqref="F34:G34">
    <cfRule type="expression" dxfId="19" priority="71">
      <formula>$B$34=1</formula>
    </cfRule>
  </conditionalFormatting>
  <conditionalFormatting sqref="F35:G35">
    <cfRule type="expression" dxfId="18" priority="73">
      <formula>$B$35=1</formula>
    </cfRule>
  </conditionalFormatting>
  <conditionalFormatting sqref="F36">
    <cfRule type="expression" dxfId="17" priority="75">
      <formula>$B$36=1</formula>
    </cfRule>
  </conditionalFormatting>
  <conditionalFormatting sqref="F37:G37">
    <cfRule type="expression" dxfId="16" priority="77">
      <formula>$B$37=1</formula>
    </cfRule>
  </conditionalFormatting>
  <conditionalFormatting sqref="F38:G38">
    <cfRule type="expression" dxfId="15" priority="79">
      <formula>$B$38=1</formula>
    </cfRule>
  </conditionalFormatting>
  <conditionalFormatting sqref="F22:H24 C22:E23 C17:H21 D24 C25:H28 C31:H45 E29:H30">
    <cfRule type="expression" dxfId="14" priority="10">
      <formula>$B$1=1</formula>
    </cfRule>
  </conditionalFormatting>
  <conditionalFormatting sqref="C55:E56 C68:H71 C64:E67 F65:H66 F8:H15 C57:H63 C46:H50 C54 C51:D53 F51:H55">
    <cfRule type="expression" dxfId="13" priority="9">
      <formula>NOT($B$1=3)</formula>
    </cfRule>
  </conditionalFormatting>
  <conditionalFormatting sqref="E15">
    <cfRule type="expression" dxfId="12" priority="7">
      <formula>NOT($B$1=1)</formula>
    </cfRule>
  </conditionalFormatting>
  <conditionalFormatting sqref="D72:E72">
    <cfRule type="expression" dxfId="11" priority="6">
      <formula>NOT($B$1=3)</formula>
    </cfRule>
  </conditionalFormatting>
  <conditionalFormatting sqref="C72">
    <cfRule type="expression" dxfId="10" priority="5">
      <formula>NOT($B$1=3)</formula>
    </cfRule>
  </conditionalFormatting>
  <conditionalFormatting sqref="G36">
    <cfRule type="expression" dxfId="9" priority="88">
      <formula>$B$36</formula>
    </cfRule>
  </conditionalFormatting>
  <conditionalFormatting sqref="F39:G39">
    <cfRule type="expression" dxfId="8" priority="91">
      <formula>$B$39=1</formula>
    </cfRule>
  </conditionalFormatting>
  <conditionalFormatting sqref="F40:G40">
    <cfRule type="expression" dxfId="7" priority="92">
      <formula>$B$40=1</formula>
    </cfRule>
  </conditionalFormatting>
  <conditionalFormatting sqref="F41:G41">
    <cfRule type="expression" dxfId="6" priority="93">
      <formula>$B$41=1</formula>
    </cfRule>
  </conditionalFormatting>
  <conditionalFormatting sqref="F42:G42">
    <cfRule type="expression" dxfId="5" priority="94">
      <formula>$B$42=1</formula>
    </cfRule>
  </conditionalFormatting>
  <conditionalFormatting sqref="F43:G43">
    <cfRule type="expression" dxfId="4" priority="95">
      <formula>$B$43=1</formula>
    </cfRule>
  </conditionalFormatting>
  <conditionalFormatting sqref="C24 E24">
    <cfRule type="expression" dxfId="3" priority="4">
      <formula>$B$1=1</formula>
    </cfRule>
  </conditionalFormatting>
  <conditionalFormatting sqref="D54">
    <cfRule type="expression" dxfId="2" priority="3">
      <formula>NOT($B$1=3)</formula>
    </cfRule>
  </conditionalFormatting>
  <conditionalFormatting sqref="C29:D30">
    <cfRule type="expression" dxfId="1" priority="2">
      <formula>$B$1=1</formula>
    </cfRule>
  </conditionalFormatting>
  <conditionalFormatting sqref="E51:E54">
    <cfRule type="expression" dxfId="0" priority="1">
      <formula>NOT($B$1=3)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C38:C43 E9:E10 C29:C34 E62:E63 E51:E52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ListMembers!$C$7:$H$7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Q1004"/>
  <sheetViews>
    <sheetView topLeftCell="I1" zoomScale="105" workbookViewId="0">
      <selection activeCell="M1" sqref="M1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7.5546875" customWidth="1"/>
    <col min="8" max="8" width="22.33203125" bestFit="1" customWidth="1"/>
    <col min="10" max="10" width="13.6640625" customWidth="1"/>
    <col min="11" max="11" width="12.5546875" bestFit="1" customWidth="1"/>
    <col min="12" max="12" width="11.6640625" bestFit="1" customWidth="1"/>
    <col min="13" max="23" width="11.6640625" customWidth="1"/>
    <col min="24" max="24" width="10.6640625" bestFit="1" customWidth="1"/>
    <col min="25" max="25" width="10.6640625" customWidth="1"/>
    <col min="26" max="27" width="11.6640625" customWidth="1"/>
    <col min="28" max="28" width="10.6640625" bestFit="1" customWidth="1"/>
    <col min="31" max="31" width="6.109375" customWidth="1"/>
    <col min="38" max="38" width="3.6640625" customWidth="1"/>
    <col min="39" max="39" width="14.109375" customWidth="1"/>
    <col min="40" max="40" width="12.5546875" customWidth="1"/>
    <col min="41" max="41" width="6.33203125" customWidth="1"/>
    <col min="42" max="42" width="15.109375" bestFit="1" customWidth="1"/>
    <col min="43" max="43" width="17.44140625" bestFit="1" customWidth="1"/>
    <col min="44" max="44" width="12.44140625" bestFit="1" customWidth="1"/>
    <col min="45" max="45" width="6" bestFit="1" customWidth="1"/>
  </cols>
  <sheetData>
    <row r="1" spans="1:43">
      <c r="I1" t="str">
        <f t="array" aca="1" ref="I1:P3" ca="1">_xll.GetDailyNBalanceSummary(A6:B54,D17:E23,D8:E14)</f>
        <v>Mineral</v>
      </c>
      <c r="J1" t="str">
        <f ca="1"/>
        <v>Crop Product</v>
      </c>
      <c r="K1" t="str">
        <f ca="1"/>
        <v>Other Crop Parts</v>
      </c>
      <c r="L1" t="str">
        <f ca="1"/>
        <v>Soil Organic</v>
      </c>
      <c r="M1" t="str">
        <f ca="1"/>
        <v>Residues</v>
      </c>
      <c r="N1" t="str">
        <f ca="1"/>
        <v>Fertiliser</v>
      </c>
      <c r="O1" t="str">
        <f ca="1"/>
        <v>Uncharacterised</v>
      </c>
      <c r="P1" t="str">
        <f ca="1"/>
        <v>Total</v>
      </c>
      <c r="Q1" t="s">
        <v>279</v>
      </c>
    </row>
    <row r="2" spans="1:43">
      <c r="H2" t="s">
        <v>277</v>
      </c>
      <c r="I2">
        <f ca="1"/>
        <v>50</v>
      </c>
      <c r="J2">
        <f ca="1"/>
        <v>0</v>
      </c>
      <c r="K2">
        <f ca="1"/>
        <v>2</v>
      </c>
      <c r="L2">
        <f ca="1"/>
        <v>118</v>
      </c>
      <c r="M2">
        <f ca="1"/>
        <v>36</v>
      </c>
      <c r="N2">
        <f ca="1"/>
        <v>186</v>
      </c>
      <c r="O2">
        <f ca="1"/>
        <v>0</v>
      </c>
      <c r="P2">
        <f ca="1"/>
        <v>392</v>
      </c>
      <c r="Q2">
        <f ca="1">SUM(I2:O2)</f>
        <v>392</v>
      </c>
      <c r="R2">
        <f ca="1">Q2-P2</f>
        <v>0</v>
      </c>
    </row>
    <row r="3" spans="1:43">
      <c r="H3" t="s">
        <v>278</v>
      </c>
      <c r="I3">
        <f ca="1"/>
        <v>13</v>
      </c>
      <c r="J3">
        <f ca="1"/>
        <v>180</v>
      </c>
      <c r="K3">
        <f ca="1"/>
        <v>32</v>
      </c>
      <c r="L3">
        <f ca="1"/>
        <v>0</v>
      </c>
      <c r="M3">
        <f ca="1"/>
        <v>0</v>
      </c>
      <c r="N3">
        <f ca="1"/>
        <v>0</v>
      </c>
      <c r="O3">
        <f ca="1"/>
        <v>167</v>
      </c>
      <c r="P3">
        <f ca="1"/>
        <v>392</v>
      </c>
      <c r="Q3">
        <f ca="1">SUM(I3:O3)</f>
        <v>392</v>
      </c>
    </row>
    <row r="4" spans="1:43" ht="15" thickBot="1"/>
    <row r="5" spans="1:43" ht="26.4" thickBot="1">
      <c r="A5" s="138" t="s">
        <v>110</v>
      </c>
      <c r="B5" s="139"/>
      <c r="I5" s="30" t="s">
        <v>109</v>
      </c>
      <c r="J5" s="22"/>
      <c r="K5" s="21" t="s">
        <v>179</v>
      </c>
      <c r="L5" s="22"/>
      <c r="M5" s="21" t="s">
        <v>176</v>
      </c>
      <c r="N5" s="21" t="s">
        <v>177</v>
      </c>
      <c r="O5" s="21" t="s">
        <v>13</v>
      </c>
      <c r="P5" s="21" t="s">
        <v>176</v>
      </c>
      <c r="Q5" s="21" t="s">
        <v>178</v>
      </c>
      <c r="R5" s="23" t="s">
        <v>173</v>
      </c>
      <c r="S5" s="97"/>
      <c r="T5" s="97"/>
      <c r="U5" s="97"/>
      <c r="V5" s="97"/>
      <c r="W5" s="97" t="s">
        <v>175</v>
      </c>
      <c r="X5" s="97" t="s">
        <v>174</v>
      </c>
      <c r="AA5" s="97"/>
      <c r="AG5" t="str">
        <f t="array" aca="1" ref="AG5:AQ8" ca="1">_xll.GetDailyNBalanceSummary(A6:B54,D17:E23,D8:E14)</f>
        <v>Mineral</v>
      </c>
      <c r="AH5" t="str">
        <f ca="1"/>
        <v>Crop Product</v>
      </c>
      <c r="AI5" t="str">
        <f ca="1"/>
        <v>Other Crop Parts</v>
      </c>
      <c r="AJ5" t="str">
        <f ca="1"/>
        <v>Soil Organic</v>
      </c>
      <c r="AK5" t="str">
        <f ca="1"/>
        <v>Residues</v>
      </c>
      <c r="AL5" t="str">
        <f ca="1"/>
        <v>Fertiliser</v>
      </c>
      <c r="AM5" t="str">
        <f ca="1"/>
        <v>Uncharacterised</v>
      </c>
      <c r="AN5" t="str">
        <f ca="1"/>
        <v>Total</v>
      </c>
      <c r="AO5" t="e">
        <f ca="1"/>
        <v>#N/A</v>
      </c>
      <c r="AP5" t="e">
        <f ca="1"/>
        <v>#N/A</v>
      </c>
      <c r="AQ5" t="e">
        <f ca="1"/>
        <v>#N/A</v>
      </c>
    </row>
    <row r="6" spans="1:43" ht="15" thickBot="1">
      <c r="A6" s="12" t="s">
        <v>244</v>
      </c>
      <c r="B6" s="13" t="str">
        <f>Location</f>
        <v>pukekohe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AA6" s="97"/>
      <c r="AG6">
        <f ca="1"/>
        <v>50</v>
      </c>
      <c r="AH6">
        <f ca="1"/>
        <v>0</v>
      </c>
      <c r="AI6">
        <f ca="1"/>
        <v>2</v>
      </c>
      <c r="AJ6">
        <f ca="1"/>
        <v>118</v>
      </c>
      <c r="AK6">
        <f ca="1"/>
        <v>36</v>
      </c>
      <c r="AL6">
        <f ca="1"/>
        <v>186</v>
      </c>
      <c r="AM6">
        <f ca="1"/>
        <v>0</v>
      </c>
      <c r="AN6">
        <f ca="1"/>
        <v>392</v>
      </c>
      <c r="AO6" t="e">
        <f ca="1"/>
        <v>#N/A</v>
      </c>
      <c r="AP6" t="e">
        <f ca="1"/>
        <v>#N/A</v>
      </c>
      <c r="AQ6" t="e">
        <f ca="1"/>
        <v>#N/A</v>
      </c>
    </row>
    <row r="7" spans="1:43">
      <c r="A7" s="12" t="s">
        <v>224</v>
      </c>
      <c r="B7" s="13" t="str">
        <f>SoilOrder</f>
        <v>ClayLoam</v>
      </c>
      <c r="D7" s="39" t="str">
        <f>ConceptDemo!C27</f>
        <v>Fertiliser already applied or planned</v>
      </c>
      <c r="E7" s="40"/>
      <c r="I7" s="12" t="s">
        <v>0</v>
      </c>
      <c r="J7" s="28">
        <f>B25+1</f>
        <v>45388</v>
      </c>
      <c r="K7" s="3">
        <v>50</v>
      </c>
      <c r="L7" s="3"/>
      <c r="M7" s="3">
        <f ca="1">SUMIF($I$12:$I$1005,TRUE,M12:M1005)</f>
        <v>36.489002113413072</v>
      </c>
      <c r="N7" s="3">
        <f ca="1">SUMIF($I$12:$I$1005,TRUE,N12:N1005)</f>
        <v>117.89819650922655</v>
      </c>
      <c r="O7" s="3">
        <f ca="1">SUMIF($I$12:$I$1005,TRUE,O12:O1005)</f>
        <v>185.83962661801661</v>
      </c>
      <c r="P7" s="3">
        <f ca="1">VLOOKUP(B36,ModelOutputs,P9,FALSE)-Q7</f>
        <v>0.30511696427838597</v>
      </c>
      <c r="Q7">
        <f ca="1">VLOOKUP(B36,ModelOutputs,Q9,FALSE)</f>
        <v>1.721172619006281</v>
      </c>
      <c r="R7" s="13"/>
      <c r="W7" s="3">
        <f ca="1">MAX(0,X8-X7)</f>
        <v>0</v>
      </c>
      <c r="X7" s="3">
        <f ca="1">SUM(K7:R7)</f>
        <v>392.2531148239409</v>
      </c>
      <c r="AA7" s="3"/>
      <c r="AG7">
        <f ca="1"/>
        <v>13</v>
      </c>
      <c r="AH7">
        <f ca="1"/>
        <v>180</v>
      </c>
      <c r="AI7">
        <f ca="1"/>
        <v>32</v>
      </c>
      <c r="AJ7">
        <f ca="1"/>
        <v>0</v>
      </c>
      <c r="AK7">
        <f ca="1"/>
        <v>0</v>
      </c>
      <c r="AL7">
        <f ca="1"/>
        <v>0</v>
      </c>
      <c r="AM7">
        <f ca="1"/>
        <v>167</v>
      </c>
      <c r="AN7">
        <f ca="1"/>
        <v>392</v>
      </c>
      <c r="AO7" t="e">
        <f ca="1"/>
        <v>#N/A</v>
      </c>
      <c r="AP7" t="e">
        <f ca="1"/>
        <v>#N/A</v>
      </c>
      <c r="AQ7" t="e">
        <f ca="1"/>
        <v>#N/A</v>
      </c>
    </row>
    <row r="8" spans="1:43" ht="15" thickBot="1">
      <c r="A8" s="12" t="s">
        <v>207</v>
      </c>
      <c r="B8" s="13" t="str">
        <f>SampleDepth</f>
        <v>Top30cm</v>
      </c>
      <c r="D8" s="19" t="str">
        <f>ConceptDemo!C28</f>
        <v>Date</v>
      </c>
      <c r="E8" s="20" t="str">
        <f>ConceptDemo!D28</f>
        <v>Amount</v>
      </c>
      <c r="I8" s="14" t="s">
        <v>12</v>
      </c>
      <c r="J8" s="29">
        <f>B38</f>
        <v>45614</v>
      </c>
      <c r="K8" s="24">
        <f ca="1">VLOOKUP(J8,ModelOutputs,2,FALSE)</f>
        <v>13.182322969874184</v>
      </c>
      <c r="L8" s="27"/>
      <c r="M8" s="25"/>
      <c r="N8" s="25"/>
      <c r="O8" s="25"/>
      <c r="P8" s="24">
        <f ca="1">(VLOOKUP($J$8,ModelOutputs,P9,FALSE)-VLOOKUP($J$7+1,ModelOutputs,P9,FALSE))-Q8</f>
        <v>31.603973944812481</v>
      </c>
      <c r="Q8" s="26">
        <f ca="1">VLOOKUP($J$8,ModelOutputs,Q9,FALSE)-VLOOKUP($J$7+1,ModelOutputs,Q9,FALSE)</f>
        <v>178.27882738099373</v>
      </c>
      <c r="R8" s="27">
        <f ca="1">SUMIF($I$12:$I$1005,TRUE,R12:R1005)</f>
        <v>167.16170094497593</v>
      </c>
      <c r="S8" s="3"/>
      <c r="T8" s="3"/>
      <c r="U8" s="3"/>
      <c r="V8" s="3"/>
      <c r="W8" s="3">
        <f ca="1">MAX(0,X7-X8)</f>
        <v>2.0262895832845516</v>
      </c>
      <c r="X8" s="3">
        <f ca="1">SUM(K8:R8)</f>
        <v>390.22682524065635</v>
      </c>
      <c r="AG8" t="e">
        <f ca="1"/>
        <v>#N/A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</row>
    <row r="9" spans="1:43">
      <c r="A9" s="12" t="s">
        <v>234</v>
      </c>
      <c r="B9" s="13" t="str">
        <f>SoilCategory</f>
        <v>Volcanic</v>
      </c>
      <c r="D9" s="37">
        <f>IF(ConceptDemo!C29="","",ConceptDemo!C29)</f>
        <v>45474</v>
      </c>
      <c r="E9" s="38">
        <f>IF(ConceptDemo!D29="","",ConceptDemo!D29)</f>
        <v>24</v>
      </c>
      <c r="L9">
        <f ca="1">SUMIF(H11:H1004,FALSE,L11:L1004)</f>
        <v>154.7698784113368</v>
      </c>
      <c r="M9">
        <f ca="1">SUMIF(H11:H1004,TRUE,M11:M1004)</f>
        <v>36.48449733791287</v>
      </c>
      <c r="P9">
        <v>7</v>
      </c>
      <c r="Q9">
        <v>8</v>
      </c>
      <c r="W9" s="3"/>
      <c r="AA9" s="3"/>
      <c r="AG9" t="e" cm="1">
        <f t="array" aca="1" ref="AG9" ca="1">_xll.GetDailyNBalanceSummary(A10:B58,D21:E27,D12:E18)</f>
        <v>#VALUE!</v>
      </c>
      <c r="AH9" t="e" cm="1">
        <f t="array" aca="1" ref="AH9" ca="1">_xll.GetDailyNBalanceSummary(B10:C58,E21:F27,E12:F18)</f>
        <v>#VALUE!</v>
      </c>
      <c r="AI9" t="e" cm="1" vm="1">
        <f t="array" aca="1" ref="AI9" ca="1">_xll.GetDailyNBalanceSummary(C10:D58,F21:G27,F12:G18)</f>
        <v>#VALUE!</v>
      </c>
      <c r="AJ9" t="e" cm="1" vm="1">
        <f t="array" aca="1" ref="AJ9" ca="1">_xll.GetDailyNBalanceSummary(D10:E58,G21:H27,G12:H18)</f>
        <v>#VALUE!</v>
      </c>
      <c r="AK9" t="e" cm="1">
        <f t="array" aca="1" ref="AK9" ca="1">_xll.GetDailyNBalanceSummary(E10:F58,H21:I27,H12:I18)</f>
        <v>#VALUE!</v>
      </c>
      <c r="AL9" t="e" cm="1">
        <f t="array" aca="1" ref="AL9" ca="1">_xll.GetDailyNBalanceSummary(F10:G58,I21:J27,I12:J18)</f>
        <v>#VALUE!</v>
      </c>
      <c r="AM9" t="e" cm="1">
        <f t="array" aca="1" ref="AM9" ca="1">_xll.GetDailyNBalanceSummary(G10:H58,J21:K27,J12:K18)</f>
        <v>#VALUE!</v>
      </c>
      <c r="AN9" t="e" cm="1">
        <f t="array" aca="1" ref="AN9" ca="1">_xll.GetDailyNBalanceSummary(H10:I58,K21:L27,K12:L18)</f>
        <v>#VALUE!</v>
      </c>
      <c r="AO9" t="e" cm="1">
        <f t="array" aca="1" ref="AO9" ca="1">_xll.GetDailyNBalanceSummary(I10:J58,L21:M27,L12:M18)</f>
        <v>#VALUE!</v>
      </c>
    </row>
    <row r="10" spans="1:43">
      <c r="A10" s="12" t="s">
        <v>206</v>
      </c>
      <c r="B10" s="13">
        <f>HWEON</f>
        <v>55</v>
      </c>
      <c r="D10" s="18">
        <f>IF(ConceptDemo!C30="","",ConceptDemo!C30)</f>
        <v>45508</v>
      </c>
      <c r="E10" s="17">
        <f>IF(ConceptDemo!D30="","",ConceptDemo!D30)</f>
        <v>18</v>
      </c>
      <c r="H10" t="s">
        <v>172</v>
      </c>
      <c r="I10" t="s">
        <v>108</v>
      </c>
      <c r="J10" t="str">
        <f t="array" aca="1" ref="J10:V1004" ca="1">_xll.GetDailyNBalance(A6:B54,D17:E23,D8:E14)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X10" t="s">
        <v>142</v>
      </c>
      <c r="Y10" t="s">
        <v>143</v>
      </c>
      <c r="AG10" t="e" cm="1">
        <f t="array" aca="1" ref="AG10" ca="1">_xll.GetDailyNBalanceSummary(A11:B59,D22:E28,D13:E19)</f>
        <v>#VALUE!</v>
      </c>
      <c r="AH10" t="e" cm="1">
        <f t="array" aca="1" ref="AH10" ca="1">_xll.GetDailyNBalanceSummary(B11:C59,E22:F28,E13:F19)</f>
        <v>#VALUE!</v>
      </c>
      <c r="AI10" t="e" cm="1" vm="1">
        <f t="array" aca="1" ref="AI10" ca="1">_xll.GetDailyNBalanceSummary(C11:D59,F22:G28,F13:G19)</f>
        <v>#VALUE!</v>
      </c>
      <c r="AJ10" t="e" cm="1" vm="1">
        <f t="array" aca="1" ref="AJ10" ca="1">_xll.GetDailyNBalanceSummary(D11:E59,G22:H28,G13:H19)</f>
        <v>#VALUE!</v>
      </c>
      <c r="AK10" t="e" cm="1">
        <f t="array" aca="1" ref="AK10" ca="1">_xll.GetDailyNBalanceSummary(E11:F59,H22:I28,H13:I19)</f>
        <v>#VALUE!</v>
      </c>
      <c r="AL10" t="e" cm="1">
        <f t="array" aca="1" ref="AL10" ca="1">_xll.GetDailyNBalanceSummary(F11:G59,I22:J28,I13:J19)</f>
        <v>#VALUE!</v>
      </c>
      <c r="AM10" t="e" cm="1">
        <f t="array" aca="1" ref="AM10" ca="1">_xll.GetDailyNBalanceSummary(G11:H59,J22:K28,J13:K19)</f>
        <v>#VALUE!</v>
      </c>
      <c r="AN10" t="e" cm="1">
        <f t="array" aca="1" ref="AN10" ca="1">_xll.GetDailyNBalanceSummary(H11:I59,K22:L28,K13:L19)</f>
        <v>#VALUE!</v>
      </c>
      <c r="AO10" t="e" cm="1">
        <f t="array" aca="1" ref="AO10" ca="1">_xll.GetDailyNBalanceSummary(I11:J59,L22:M28,L13:M19)</f>
        <v>#VALUE!</v>
      </c>
    </row>
    <row r="11" spans="1:43">
      <c r="A11" s="12" t="s">
        <v>25</v>
      </c>
      <c r="B11" s="13">
        <f>Splits</f>
        <v>1</v>
      </c>
      <c r="D11" s="18" t="str">
        <f>IF(ConceptDemo!C31="","",ConceptDemo!C31)</f>
        <v/>
      </c>
      <c r="E11" s="17" t="str">
        <f>IF(ConceptDemo!D31="","",ConceptDemo!D31)</f>
        <v/>
      </c>
      <c r="H11" t="b">
        <f ca="1">IF(J11&lt;$J$8,TRUE,FALSE)</f>
        <v>1</v>
      </c>
      <c r="I11" t="b">
        <f t="shared" ref="I11:I74" ca="1" si="0">AND(IF(J11&gt;($J$7-1),TRUE,FALSE),IF(J11&lt;($J$8+1),TRUE,FALSE))</f>
        <v>0</v>
      </c>
      <c r="J11" s="2">
        <f ca="1"/>
        <v>45387</v>
      </c>
      <c r="K11">
        <f ca="1"/>
        <v>0</v>
      </c>
      <c r="L11">
        <f ca="1"/>
        <v>1.9068778329509257</v>
      </c>
      <c r="M11">
        <f ca="1"/>
        <v>0</v>
      </c>
      <c r="N11" s="4">
        <f ca="1"/>
        <v>0.67824532837476781</v>
      </c>
      <c r="O11">
        <f ca="1"/>
        <v>0</v>
      </c>
      <c r="P11">
        <f ca="1"/>
        <v>145.6</v>
      </c>
      <c r="Q11">
        <f ca="1"/>
        <v>0</v>
      </c>
      <c r="R11">
        <f ca="1"/>
        <v>0</v>
      </c>
      <c r="S11">
        <f ca="1"/>
        <v>0.9</v>
      </c>
      <c r="T11">
        <f ca="1"/>
        <v>0</v>
      </c>
      <c r="U11">
        <f ca="1"/>
        <v>0</v>
      </c>
      <c r="V11">
        <f ca="1"/>
        <v>0.99998457105749694</v>
      </c>
      <c r="X11" s="2">
        <f t="shared" ref="X11:X74" ca="1" si="1">IFERROR(J11,$X$9)</f>
        <v>45387</v>
      </c>
      <c r="Y11">
        <f t="shared" ref="Y11:Y74" ca="1" si="2">IFERROR(O11,0)</f>
        <v>0</v>
      </c>
      <c r="AA11" s="3"/>
      <c r="AB11" s="3"/>
      <c r="AD11" s="3"/>
      <c r="AE11" s="3"/>
      <c r="AG11" t="e" cm="1">
        <f t="array" aca="1" ref="AG11" ca="1">_xll.GetDailyNBalanceSummary(A12:B60,D23:E29,D14:E20)</f>
        <v>#VALUE!</v>
      </c>
      <c r="AH11" t="e" cm="1">
        <f t="array" aca="1" ref="AH11" ca="1">_xll.GetDailyNBalanceSummary(B12:C60,E23:F29,E14:F20)</f>
        <v>#VALUE!</v>
      </c>
      <c r="AI11" t="e" cm="1" vm="2">
        <f t="array" aca="1" ref="AI11" ca="1">_xll.GetDailyNBalanceSummary(C12:D60,F23:G29,F14:G20)</f>
        <v>#VALUE!</v>
      </c>
      <c r="AJ11" t="e" cm="1" vm="2">
        <f t="array" aca="1" ref="AJ11" ca="1">_xll.GetDailyNBalanceSummary(D12:E60,G23:H29,G14:H20)</f>
        <v>#VALUE!</v>
      </c>
      <c r="AK11" t="e" cm="1">
        <f t="array" aca="1" ref="AK11" ca="1">_xll.GetDailyNBalanceSummary(E12:F60,H23:I29,H14:I20)</f>
        <v>#VALUE!</v>
      </c>
      <c r="AL11" t="e" cm="1">
        <f t="array" aca="1" ref="AL11" ca="1">_xll.GetDailyNBalanceSummary(F12:G60,I23:J29,I14:J20)</f>
        <v>#VALUE!</v>
      </c>
      <c r="AM11" t="e" cm="1">
        <f t="array" aca="1" ref="AM11" ca="1">_xll.GetDailyNBalanceSummary(G12:H60,J23:K29,J14:K20)</f>
        <v>#VALUE!</v>
      </c>
      <c r="AN11" t="e" cm="1">
        <f t="array" aca="1" ref="AN11" ca="1">_xll.GetDailyNBalanceSummary(H12:I60,K23:L29,K14:L20)</f>
        <v>#VALUE!</v>
      </c>
      <c r="AO11" t="e" cm="1">
        <f t="array" aca="1" ref="AO11" ca="1">_xll.GetDailyNBalanceSummary(I12:J60,L23:M29,L14:M20)</f>
        <v>#VALUE!</v>
      </c>
    </row>
    <row r="12" spans="1:43">
      <c r="A12" s="12" t="s">
        <v>225</v>
      </c>
      <c r="B12" s="13">
        <f>Rocks</f>
        <v>0</v>
      </c>
      <c r="D12" s="18" t="str">
        <f>IF(ConceptDemo!C32="","",ConceptDemo!C32)</f>
        <v/>
      </c>
      <c r="E12" s="17" t="str">
        <f>IF(ConceptDemo!D32="","",ConceptDemo!D32)</f>
        <v/>
      </c>
      <c r="H12" t="b">
        <f t="shared" ref="H12:H75" ca="1" si="3">IF(J12&lt;$J$8,TRUE,FALSE)</f>
        <v>1</v>
      </c>
      <c r="I12" t="b">
        <f t="shared" ca="1" si="0"/>
        <v>1</v>
      </c>
      <c r="J12" s="2">
        <f ca="1"/>
        <v>45388</v>
      </c>
      <c r="K12">
        <f ca="1"/>
        <v>50.626388012632596</v>
      </c>
      <c r="L12">
        <f ca="1"/>
        <v>0</v>
      </c>
      <c r="M12">
        <f ca="1"/>
        <v>-4.6642102585129436E-2</v>
      </c>
      <c r="N12" s="4">
        <f ca="1"/>
        <v>0.67303011521772416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0.89642592592592585</v>
      </c>
      <c r="T12">
        <f ca="1"/>
        <v>0</v>
      </c>
      <c r="U12">
        <f ca="1"/>
        <v>0</v>
      </c>
      <c r="V12">
        <f ca="1"/>
        <v>0</v>
      </c>
      <c r="X12" s="2">
        <f t="shared" ca="1" si="1"/>
        <v>45388</v>
      </c>
      <c r="Y12">
        <f t="shared" ca="1" si="2"/>
        <v>0</v>
      </c>
      <c r="Z12" s="3"/>
      <c r="AA12" s="63">
        <f ca="1">K11+M12+N12+O12</f>
        <v>0.62638801263259469</v>
      </c>
      <c r="AB12" s="63">
        <f ca="1">K12+L12+R12</f>
        <v>50.626388012632596</v>
      </c>
      <c r="AC12" s="3">
        <f ca="1">AB12-AA12</f>
        <v>50</v>
      </c>
      <c r="AE12" s="3"/>
    </row>
    <row r="13" spans="1:43">
      <c r="A13" s="12" t="s">
        <v>199</v>
      </c>
      <c r="B13" s="13" t="str">
        <f>PrePlantRain</f>
        <v>Typical</v>
      </c>
      <c r="D13" s="18" t="str">
        <f>IF(ConceptDemo!C33="","",ConceptDemo!C33)</f>
        <v/>
      </c>
      <c r="E13" s="17" t="str">
        <f>IF(ConceptDemo!D33="","",ConceptDemo!D33)</f>
        <v/>
      </c>
      <c r="H13" t="b">
        <f t="shared" ca="1" si="3"/>
        <v>1</v>
      </c>
      <c r="I13" t="b">
        <f t="shared" ca="1" si="0"/>
        <v>1</v>
      </c>
      <c r="J13" s="2">
        <f ca="1"/>
        <v>45389</v>
      </c>
      <c r="K13">
        <f ca="1"/>
        <v>51.366725651340047</v>
      </c>
      <c r="L13">
        <f ca="1"/>
        <v>0</v>
      </c>
      <c r="M13">
        <f ca="1"/>
        <v>6.855102823943629E-2</v>
      </c>
      <c r="N13" s="4">
        <f ca="1"/>
        <v>0.67178661046801769</v>
      </c>
      <c r="O13">
        <f ca="1"/>
        <v>0</v>
      </c>
      <c r="P13">
        <f ca="1"/>
        <v>2.026289583284667</v>
      </c>
      <c r="Q13">
        <f ca="1"/>
        <v>1.721172619006281</v>
      </c>
      <c r="R13">
        <f ca="1"/>
        <v>0</v>
      </c>
      <c r="S13">
        <f ca="1"/>
        <v>0.91135825870671905</v>
      </c>
      <c r="T13">
        <f ca="1"/>
        <v>0</v>
      </c>
      <c r="U13">
        <f ca="1"/>
        <v>0</v>
      </c>
      <c r="V13">
        <f ca="1"/>
        <v>6.0235658318563701E-3</v>
      </c>
      <c r="X13" s="2">
        <f t="shared" ca="1" si="1"/>
        <v>45389</v>
      </c>
      <c r="Y13">
        <f t="shared" ca="1" si="2"/>
        <v>0</v>
      </c>
      <c r="AA13" s="63">
        <f t="shared" ref="AA13:AA76" ca="1" si="4">K12+M13+N13+O13</f>
        <v>51.366725651340047</v>
      </c>
      <c r="AB13" s="63">
        <f t="shared" ref="AB13:AB76" ca="1" si="5">K13+L13+R13</f>
        <v>51.366725651340047</v>
      </c>
      <c r="AC13" s="3">
        <f t="shared" ref="AC13:AC76" ca="1" si="6">AB13-AA13</f>
        <v>0</v>
      </c>
    </row>
    <row r="14" spans="1:43" ht="15" thickBot="1">
      <c r="A14" s="12" t="s">
        <v>200</v>
      </c>
      <c r="B14" s="13" t="str">
        <f>InCropRain</f>
        <v>Typical</v>
      </c>
      <c r="D14" s="35" t="str">
        <f>IF(ConceptDemo!C34="","",ConceptDemo!C34)</f>
        <v/>
      </c>
      <c r="E14" s="20" t="str">
        <f>IF(ConceptDemo!D34="","",ConceptDemo!D34)</f>
        <v/>
      </c>
      <c r="H14" t="b">
        <f t="shared" ca="1" si="3"/>
        <v>1</v>
      </c>
      <c r="I14" t="b">
        <f t="shared" ca="1" si="0"/>
        <v>1</v>
      </c>
      <c r="J14" s="2">
        <f ca="1"/>
        <v>45390</v>
      </c>
      <c r="K14">
        <f ca="1"/>
        <v>52.225966194795426</v>
      </c>
      <c r="L14">
        <f ca="1"/>
        <v>0</v>
      </c>
      <c r="M14">
        <f ca="1"/>
        <v>0.16487699845204845</v>
      </c>
      <c r="N14" s="4">
        <f ca="1"/>
        <v>0.69436354500332675</v>
      </c>
      <c r="O14">
        <f ca="1"/>
        <v>0</v>
      </c>
      <c r="P14">
        <f ca="1"/>
        <v>2.026289583284667</v>
      </c>
      <c r="Q14">
        <f ca="1"/>
        <v>1.721172619006281</v>
      </c>
      <c r="R14">
        <f ca="1"/>
        <v>0</v>
      </c>
      <c r="S14">
        <f ca="1"/>
        <v>0.95629798449830627</v>
      </c>
      <c r="T14">
        <f ca="1"/>
        <v>0</v>
      </c>
      <c r="U14">
        <f ca="1"/>
        <v>0</v>
      </c>
      <c r="V14">
        <f ca="1"/>
        <v>6.0235658318563701E-3</v>
      </c>
      <c r="X14" s="2">
        <f t="shared" ca="1" si="1"/>
        <v>45390</v>
      </c>
      <c r="Y14">
        <f t="shared" ca="1" si="2"/>
        <v>0</v>
      </c>
      <c r="AA14" s="63">
        <f t="shared" ca="1" si="4"/>
        <v>52.225966194795426</v>
      </c>
      <c r="AB14" s="63">
        <f t="shared" ca="1" si="5"/>
        <v>52.225966194795426</v>
      </c>
      <c r="AC14" s="3">
        <f t="shared" ca="1" si="6"/>
        <v>0</v>
      </c>
    </row>
    <row r="15" spans="1:43" ht="15" thickBot="1">
      <c r="A15" s="12" t="s">
        <v>187</v>
      </c>
      <c r="B15" s="13" t="str">
        <f>Irrigation</f>
        <v>None</v>
      </c>
      <c r="H15" t="b">
        <f t="shared" ca="1" si="3"/>
        <v>1</v>
      </c>
      <c r="I15" t="b">
        <f t="shared" ca="1" si="0"/>
        <v>1</v>
      </c>
      <c r="J15" s="2">
        <f ca="1"/>
        <v>45391</v>
      </c>
      <c r="K15">
        <f ca="1"/>
        <v>53.167748503895105</v>
      </c>
      <c r="L15">
        <f ca="1"/>
        <v>0</v>
      </c>
      <c r="M15">
        <f ca="1"/>
        <v>0.24880588896981393</v>
      </c>
      <c r="N15" s="4">
        <f ca="1"/>
        <v>0.69297642012986826</v>
      </c>
      <c r="O15">
        <f ca="1"/>
        <v>0</v>
      </c>
      <c r="P15">
        <f ca="1"/>
        <v>2.026289583284667</v>
      </c>
      <c r="Q15">
        <f ca="1"/>
        <v>1.721172619006281</v>
      </c>
      <c r="R15">
        <f ca="1"/>
        <v>0</v>
      </c>
      <c r="S15">
        <f ca="1"/>
        <v>0.96395308077468811</v>
      </c>
      <c r="T15">
        <f ca="1"/>
        <v>0</v>
      </c>
      <c r="U15">
        <f ca="1"/>
        <v>0</v>
      </c>
      <c r="V15">
        <f ca="1"/>
        <v>6.0235658318563701E-3</v>
      </c>
      <c r="X15" s="2">
        <f t="shared" ca="1" si="1"/>
        <v>45391</v>
      </c>
      <c r="Y15">
        <f t="shared" ca="1" si="2"/>
        <v>0</v>
      </c>
      <c r="AA15" s="63">
        <f t="shared" ca="1" si="4"/>
        <v>53.167748503895105</v>
      </c>
      <c r="AB15" s="63">
        <f t="shared" ca="1" si="5"/>
        <v>53.167748503895105</v>
      </c>
      <c r="AC15" s="3">
        <f t="shared" ca="1" si="6"/>
        <v>0</v>
      </c>
    </row>
    <row r="16" spans="1:43">
      <c r="A16" s="5" t="s">
        <v>139</v>
      </c>
      <c r="B16" s="31" t="str">
        <f>PriorCropNameFull</f>
        <v>Mustard Green manure General</v>
      </c>
      <c r="D16" s="136" t="str">
        <f>ConceptDemo!C36</f>
        <v>Soil Mineral N Test Results</v>
      </c>
      <c r="E16" s="137"/>
      <c r="H16" t="b">
        <f t="shared" ca="1" si="3"/>
        <v>1</v>
      </c>
      <c r="I16" t="b">
        <f t="shared" ca="1" si="0"/>
        <v>1</v>
      </c>
      <c r="J16" s="2">
        <f ca="1"/>
        <v>45392</v>
      </c>
      <c r="K16">
        <f ca="1"/>
        <v>54.162680154343619</v>
      </c>
      <c r="L16">
        <f ca="1"/>
        <v>0</v>
      </c>
      <c r="M16">
        <f ca="1"/>
        <v>0.31705496207075556</v>
      </c>
      <c r="N16" s="4">
        <f ca="1"/>
        <v>0.67787668837776027</v>
      </c>
      <c r="O16">
        <f ca="1"/>
        <v>0</v>
      </c>
      <c r="P16">
        <f ca="1"/>
        <v>2.026289583284667</v>
      </c>
      <c r="Q16">
        <f ca="1"/>
        <v>1.721172619006281</v>
      </c>
      <c r="R16">
        <f ca="1"/>
        <v>0</v>
      </c>
      <c r="S16">
        <f ca="1"/>
        <v>0.96983795079643054</v>
      </c>
      <c r="T16">
        <f ca="1"/>
        <v>0</v>
      </c>
      <c r="U16">
        <f ca="1"/>
        <v>0</v>
      </c>
      <c r="V16">
        <f ca="1"/>
        <v>6.0235658318563701E-3</v>
      </c>
      <c r="X16" s="2">
        <f t="shared" ca="1" si="1"/>
        <v>45392</v>
      </c>
      <c r="Y16">
        <f t="shared" ca="1" si="2"/>
        <v>0</v>
      </c>
      <c r="AA16" s="63">
        <f t="shared" ca="1" si="4"/>
        <v>54.162680154343619</v>
      </c>
      <c r="AB16" s="63">
        <f t="shared" ca="1" si="5"/>
        <v>54.162680154343619</v>
      </c>
      <c r="AC16" s="3">
        <f t="shared" ca="1" si="6"/>
        <v>0</v>
      </c>
    </row>
    <row r="17" spans="1:29" ht="15" thickBot="1">
      <c r="A17" s="6" t="s">
        <v>235</v>
      </c>
      <c r="B17" s="32">
        <f>PriorYield</f>
        <v>7</v>
      </c>
      <c r="D17" s="19" t="str">
        <f>ConceptDemo!C37</f>
        <v>Date</v>
      </c>
      <c r="E17" s="20" t="str">
        <f>ConceptDemo!D37</f>
        <v>Value</v>
      </c>
      <c r="H17" t="b">
        <f t="shared" ca="1" si="3"/>
        <v>1</v>
      </c>
      <c r="I17" t="b">
        <f t="shared" ca="1" si="0"/>
        <v>1</v>
      </c>
      <c r="J17" s="2">
        <f ca="1"/>
        <v>45393</v>
      </c>
      <c r="K17">
        <f ca="1"/>
        <v>55.225465141339299</v>
      </c>
      <c r="L17">
        <f ca="1"/>
        <v>0</v>
      </c>
      <c r="M17">
        <f ca="1"/>
        <v>0.38212714318333085</v>
      </c>
      <c r="N17" s="4">
        <f ca="1"/>
        <v>0.68065784381234562</v>
      </c>
      <c r="O17">
        <f ca="1"/>
        <v>0</v>
      </c>
      <c r="P17">
        <f ca="1"/>
        <v>2.026289583284667</v>
      </c>
      <c r="Q17">
        <f ca="1"/>
        <v>1.721172619006281</v>
      </c>
      <c r="R17">
        <f ca="1"/>
        <v>0</v>
      </c>
      <c r="S17">
        <f ca="1"/>
        <v>0.9995814717210787</v>
      </c>
      <c r="T17">
        <f ca="1"/>
        <v>0</v>
      </c>
      <c r="U17">
        <f ca="1"/>
        <v>0</v>
      </c>
      <c r="V17">
        <f ca="1"/>
        <v>6.0235658318563701E-3</v>
      </c>
      <c r="X17" s="2">
        <f t="shared" ca="1" si="1"/>
        <v>45393</v>
      </c>
      <c r="Y17">
        <f t="shared" ca="1" si="2"/>
        <v>0</v>
      </c>
      <c r="AA17" s="63">
        <f t="shared" ca="1" si="4"/>
        <v>55.225465141339299</v>
      </c>
      <c r="AB17" s="63">
        <f t="shared" ca="1" si="5"/>
        <v>55.225465141339299</v>
      </c>
      <c r="AC17" s="3">
        <f t="shared" ca="1" si="6"/>
        <v>0</v>
      </c>
    </row>
    <row r="18" spans="1:29">
      <c r="A18" s="6" t="s">
        <v>228</v>
      </c>
      <c r="B18" s="32">
        <f>PriorPopulation</f>
        <v>1</v>
      </c>
      <c r="D18" s="18" t="str">
        <f>IF(ConceptDemo!C38="","",ConceptDemo!C38)</f>
        <v/>
      </c>
      <c r="E18" s="17" t="str">
        <f>IF(ConceptDemo!D38="","",ConceptDemo!D38)</f>
        <v/>
      </c>
      <c r="H18" t="b">
        <f t="shared" ca="1" si="3"/>
        <v>1</v>
      </c>
      <c r="I18" t="b">
        <f t="shared" ca="1" si="0"/>
        <v>1</v>
      </c>
      <c r="J18" s="2">
        <f ca="1"/>
        <v>45394</v>
      </c>
      <c r="K18">
        <f ca="1"/>
        <v>56.367523304616412</v>
      </c>
      <c r="L18">
        <f ca="1"/>
        <v>0</v>
      </c>
      <c r="M18">
        <f ca="1"/>
        <v>0.44682772551388417</v>
      </c>
      <c r="N18" s="4">
        <f ca="1"/>
        <v>0.69523043776323057</v>
      </c>
      <c r="O18">
        <f ca="1"/>
        <v>0</v>
      </c>
      <c r="P18">
        <f ca="1"/>
        <v>2.026289583284667</v>
      </c>
      <c r="Q18">
        <f ca="1"/>
        <v>1.721172619006281</v>
      </c>
      <c r="R18">
        <f ca="1"/>
        <v>0</v>
      </c>
      <c r="S18">
        <f ca="1"/>
        <v>0.99811932687271154</v>
      </c>
      <c r="T18">
        <f ca="1"/>
        <v>0</v>
      </c>
      <c r="U18">
        <f ca="1"/>
        <v>0</v>
      </c>
      <c r="V18">
        <f ca="1"/>
        <v>6.0235658318563701E-3</v>
      </c>
      <c r="X18" s="2">
        <f t="shared" ca="1" si="1"/>
        <v>45394</v>
      </c>
      <c r="Y18">
        <f t="shared" ca="1" si="2"/>
        <v>0</v>
      </c>
      <c r="AA18" s="63">
        <f t="shared" ca="1" si="4"/>
        <v>56.367523304616412</v>
      </c>
      <c r="AB18" s="63">
        <f t="shared" ca="1" si="5"/>
        <v>56.367523304616412</v>
      </c>
      <c r="AC18" s="3">
        <f t="shared" ca="1" si="6"/>
        <v>0</v>
      </c>
    </row>
    <row r="19" spans="1:29">
      <c r="A19" s="6" t="s">
        <v>229</v>
      </c>
      <c r="B19" s="32" t="str">
        <f>PriorUnits</f>
        <v>t/ha</v>
      </c>
      <c r="D19" s="18" t="str">
        <f>IF(ConceptDemo!C39="","",ConceptDemo!C39)</f>
        <v/>
      </c>
      <c r="E19" s="17" t="str">
        <f>IF(ConceptDemo!D39="","",ConceptDemo!D39)</f>
        <v/>
      </c>
      <c r="H19" t="b">
        <f t="shared" ca="1" si="3"/>
        <v>1</v>
      </c>
      <c r="I19" t="b">
        <f t="shared" ca="1" si="0"/>
        <v>1</v>
      </c>
      <c r="J19" s="2">
        <f ca="1"/>
        <v>45395</v>
      </c>
      <c r="K19">
        <f ca="1"/>
        <v>57.160592372168871</v>
      </c>
      <c r="L19">
        <f ca="1"/>
        <v>0</v>
      </c>
      <c r="M19">
        <f ca="1"/>
        <v>0.48653063722138157</v>
      </c>
      <c r="N19" s="4">
        <f ca="1"/>
        <v>0.67787668837776027</v>
      </c>
      <c r="O19">
        <f ca="1"/>
        <v>0</v>
      </c>
      <c r="P19">
        <f ca="1"/>
        <v>2.026289583284667</v>
      </c>
      <c r="Q19">
        <f ca="1"/>
        <v>1.721172619006281</v>
      </c>
      <c r="R19">
        <f ca="1"/>
        <v>0.37133825804668619</v>
      </c>
      <c r="S19">
        <f ca="1"/>
        <v>1</v>
      </c>
      <c r="T19">
        <f ca="1"/>
        <v>0.92317309339172482</v>
      </c>
      <c r="U19">
        <f ca="1"/>
        <v>0</v>
      </c>
      <c r="V19">
        <f ca="1"/>
        <v>6.0235658318563701E-3</v>
      </c>
      <c r="X19" s="2">
        <f t="shared" ca="1" si="1"/>
        <v>45395</v>
      </c>
      <c r="Y19">
        <f t="shared" ca="1" si="2"/>
        <v>0</v>
      </c>
      <c r="AA19" s="63">
        <f t="shared" ca="1" si="4"/>
        <v>57.531930630215548</v>
      </c>
      <c r="AB19" s="63">
        <f t="shared" ca="1" si="5"/>
        <v>57.531930630215555</v>
      </c>
      <c r="AC19" s="3">
        <f t="shared" ca="1" si="6"/>
        <v>0</v>
      </c>
    </row>
    <row r="20" spans="1:29">
      <c r="A20" s="6" t="s">
        <v>112</v>
      </c>
      <c r="B20" s="32">
        <f>PriorFieldLoss</f>
        <v>1</v>
      </c>
      <c r="D20" s="18" t="str">
        <f>IF(ConceptDemo!C40="","",ConceptDemo!C40)</f>
        <v/>
      </c>
      <c r="E20" s="17" t="str">
        <f>IF(ConceptDemo!D40="","",ConceptDemo!D40)</f>
        <v/>
      </c>
      <c r="H20" t="b">
        <f t="shared" ca="1" si="3"/>
        <v>1</v>
      </c>
      <c r="I20" t="b">
        <f t="shared" ca="1" si="0"/>
        <v>1</v>
      </c>
      <c r="J20" s="2">
        <f ca="1"/>
        <v>45396</v>
      </c>
      <c r="K20">
        <f ca="1"/>
        <v>58.145821867974057</v>
      </c>
      <c r="L20">
        <f ca="1"/>
        <v>0</v>
      </c>
      <c r="M20">
        <f ca="1"/>
        <v>0.52189537087981286</v>
      </c>
      <c r="N20" s="4">
        <f ca="1"/>
        <v>0.66792127594232287</v>
      </c>
      <c r="O20">
        <f ca="1"/>
        <v>0</v>
      </c>
      <c r="P20">
        <f ca="1"/>
        <v>2.026289583284667</v>
      </c>
      <c r="Q20">
        <f ca="1"/>
        <v>1.721172619006281</v>
      </c>
      <c r="R20">
        <f ca="1"/>
        <v>0.20458715101694575</v>
      </c>
      <c r="S20">
        <f ca="1"/>
        <v>1</v>
      </c>
      <c r="T20">
        <f ca="1"/>
        <v>0.5</v>
      </c>
      <c r="U20">
        <f ca="1"/>
        <v>0</v>
      </c>
      <c r="V20">
        <f ca="1"/>
        <v>6.0235658318563701E-3</v>
      </c>
      <c r="X20" s="2">
        <f t="shared" ca="1" si="1"/>
        <v>45396</v>
      </c>
      <c r="Y20">
        <f t="shared" ca="1" si="2"/>
        <v>0</v>
      </c>
      <c r="AA20" s="63">
        <f t="shared" ca="1" si="4"/>
        <v>58.350409018991002</v>
      </c>
      <c r="AB20" s="63">
        <f t="shared" ca="1" si="5"/>
        <v>58.350409018991002</v>
      </c>
      <c r="AC20" s="3">
        <f t="shared" ca="1" si="6"/>
        <v>0</v>
      </c>
    </row>
    <row r="21" spans="1:29">
      <c r="A21" s="6" t="s">
        <v>113</v>
      </c>
      <c r="B21" s="32">
        <f>PriorDressingLoss</f>
        <v>0</v>
      </c>
      <c r="D21" s="18" t="str">
        <f>IF(ConceptDemo!C41="","",ConceptDemo!C41)</f>
        <v/>
      </c>
      <c r="E21" s="17" t="str">
        <f>IF(ConceptDemo!D41="","",ConceptDemo!D41)</f>
        <v/>
      </c>
      <c r="H21" t="b">
        <f t="shared" ca="1" si="3"/>
        <v>1</v>
      </c>
      <c r="I21" t="b">
        <f t="shared" ca="1" si="0"/>
        <v>1</v>
      </c>
      <c r="J21" s="2">
        <f ca="1"/>
        <v>45397</v>
      </c>
      <c r="K21">
        <f ca="1"/>
        <v>58.827193278480777</v>
      </c>
      <c r="L21">
        <f ca="1"/>
        <v>0</v>
      </c>
      <c r="M21">
        <f ca="1"/>
        <v>0.57755264879637691</v>
      </c>
      <c r="N21" s="4">
        <f ca="1"/>
        <v>0.69579462888676147</v>
      </c>
      <c r="O21">
        <f ca="1"/>
        <v>0</v>
      </c>
      <c r="P21">
        <f ca="1"/>
        <v>2.026289583284667</v>
      </c>
      <c r="Q21">
        <f ca="1"/>
        <v>1.721172619006281</v>
      </c>
      <c r="R21">
        <f ca="1"/>
        <v>0.59197586717641859</v>
      </c>
      <c r="S21">
        <f ca="1"/>
        <v>1</v>
      </c>
      <c r="T21">
        <f ca="1"/>
        <v>1.4300000000000068</v>
      </c>
      <c r="U21">
        <f ca="1"/>
        <v>0</v>
      </c>
      <c r="V21">
        <f ca="1"/>
        <v>6.0235658318563701E-3</v>
      </c>
      <c r="X21" s="2">
        <f t="shared" ca="1" si="1"/>
        <v>45397</v>
      </c>
      <c r="Y21">
        <f t="shared" ca="1" si="2"/>
        <v>0</v>
      </c>
      <c r="AA21" s="63">
        <f t="shared" ca="1" si="4"/>
        <v>59.419169145657193</v>
      </c>
      <c r="AB21" s="63">
        <f t="shared" ca="1" si="5"/>
        <v>59.419169145657193</v>
      </c>
      <c r="AC21" s="3">
        <f t="shared" ca="1" si="6"/>
        <v>0</v>
      </c>
    </row>
    <row r="22" spans="1:29">
      <c r="A22" s="6" t="s">
        <v>114</v>
      </c>
      <c r="B22" s="32">
        <f>PriorMoistureContent</f>
        <v>0</v>
      </c>
      <c r="D22" s="18" t="str">
        <f>IF(ConceptDemo!C42="","",ConceptDemo!C42)</f>
        <v/>
      </c>
      <c r="E22" s="17" t="str">
        <f>IF(ConceptDemo!D42="","",ConceptDemo!D42)</f>
        <v/>
      </c>
      <c r="H22" t="b">
        <f t="shared" ca="1" si="3"/>
        <v>1</v>
      </c>
      <c r="I22" t="b">
        <f t="shared" ca="1" si="0"/>
        <v>1</v>
      </c>
      <c r="J22" s="2">
        <f ca="1"/>
        <v>45398</v>
      </c>
      <c r="K22">
        <f ca="1"/>
        <v>59.855292204709166</v>
      </c>
      <c r="L22">
        <f ca="1"/>
        <v>0</v>
      </c>
      <c r="M22">
        <f ca="1"/>
        <v>0.599049045157237</v>
      </c>
      <c r="N22" s="4">
        <f ca="1"/>
        <v>0.68177222593547404</v>
      </c>
      <c r="O22">
        <f ca="1"/>
        <v>0</v>
      </c>
      <c r="P22">
        <f ca="1"/>
        <v>2.026289583284667</v>
      </c>
      <c r="Q22">
        <f ca="1"/>
        <v>1.721172619006281</v>
      </c>
      <c r="R22">
        <f ca="1"/>
        <v>0.25272234486432515</v>
      </c>
      <c r="S22">
        <f ca="1"/>
        <v>1</v>
      </c>
      <c r="T22">
        <f ca="1"/>
        <v>0.59999999999999432</v>
      </c>
      <c r="U22">
        <f ca="1"/>
        <v>0</v>
      </c>
      <c r="V22">
        <f ca="1"/>
        <v>6.0235658318563701E-3</v>
      </c>
      <c r="X22" s="2">
        <f t="shared" ca="1" si="1"/>
        <v>45398</v>
      </c>
      <c r="Y22">
        <f t="shared" ca="1" si="2"/>
        <v>0</v>
      </c>
      <c r="AA22" s="63">
        <f t="shared" ca="1" si="4"/>
        <v>60.10801454957349</v>
      </c>
      <c r="AB22" s="63">
        <f t="shared" ca="1" si="5"/>
        <v>60.10801454957349</v>
      </c>
      <c r="AC22" s="3">
        <f t="shared" ca="1" si="6"/>
        <v>0</v>
      </c>
    </row>
    <row r="23" spans="1:29" ht="15" thickBot="1">
      <c r="A23" s="6" t="s">
        <v>115</v>
      </c>
      <c r="B23" s="34">
        <f>PriorEstablishDate</f>
        <v>45262</v>
      </c>
      <c r="D23" s="35" t="str">
        <f>IF(ConceptDemo!C43="","",ConceptDemo!C43)</f>
        <v/>
      </c>
      <c r="E23" s="20" t="str">
        <f>IF(ConceptDemo!D43="","",ConceptDemo!D43)</f>
        <v/>
      </c>
      <c r="H23" t="b">
        <f t="shared" ca="1" si="3"/>
        <v>1</v>
      </c>
      <c r="I23" t="b">
        <f t="shared" ca="1" si="0"/>
        <v>1</v>
      </c>
      <c r="J23" s="2">
        <f ca="1"/>
        <v>45399</v>
      </c>
      <c r="K23">
        <f ca="1"/>
        <v>60.871976665966052</v>
      </c>
      <c r="L23">
        <f ca="1"/>
        <v>0</v>
      </c>
      <c r="M23">
        <f ca="1"/>
        <v>0.6256383137121424</v>
      </c>
      <c r="N23" s="4">
        <f ca="1"/>
        <v>0.68232982847965873</v>
      </c>
      <c r="O23">
        <f ca="1"/>
        <v>0</v>
      </c>
      <c r="P23">
        <f ca="1"/>
        <v>2.026289583284667</v>
      </c>
      <c r="Q23">
        <f ca="1"/>
        <v>1.721172619006281</v>
      </c>
      <c r="R23">
        <f ca="1"/>
        <v>0.29128368093491885</v>
      </c>
      <c r="S23">
        <f ca="1"/>
        <v>1</v>
      </c>
      <c r="T23">
        <f ca="1"/>
        <v>0.67999999999999972</v>
      </c>
      <c r="U23">
        <f ca="1"/>
        <v>0</v>
      </c>
      <c r="V23">
        <f ca="1"/>
        <v>6.0235658318563701E-3</v>
      </c>
      <c r="X23" s="2">
        <f t="shared" ca="1" si="1"/>
        <v>45399</v>
      </c>
      <c r="Y23">
        <f t="shared" ca="1" si="2"/>
        <v>0</v>
      </c>
      <c r="AA23" s="63">
        <f t="shared" ca="1" si="4"/>
        <v>61.163260346900969</v>
      </c>
      <c r="AB23" s="63">
        <f t="shared" ca="1" si="5"/>
        <v>61.163260346900969</v>
      </c>
      <c r="AC23" s="3">
        <f t="shared" ca="1" si="6"/>
        <v>0</v>
      </c>
    </row>
    <row r="24" spans="1:29">
      <c r="A24" s="6" t="s">
        <v>116</v>
      </c>
      <c r="B24" s="32" t="str">
        <f>PriorEstablishStage</f>
        <v>Seed</v>
      </c>
      <c r="H24" t="b">
        <f t="shared" ca="1" si="3"/>
        <v>1</v>
      </c>
      <c r="I24" t="b">
        <f t="shared" ca="1" si="0"/>
        <v>1</v>
      </c>
      <c r="J24" s="2">
        <f ca="1"/>
        <v>45400</v>
      </c>
      <c r="K24">
        <f ca="1"/>
        <v>62.121635270834474</v>
      </c>
      <c r="L24">
        <f ca="1"/>
        <v>0</v>
      </c>
      <c r="M24">
        <f ca="1"/>
        <v>0.6369140514349132</v>
      </c>
      <c r="N24" s="4">
        <f ca="1"/>
        <v>0.66957434569979013</v>
      </c>
      <c r="O24">
        <f ca="1"/>
        <v>0</v>
      </c>
      <c r="P24">
        <f ca="1"/>
        <v>2.026289583284667</v>
      </c>
      <c r="Q24">
        <f ca="1"/>
        <v>1.721172619006281</v>
      </c>
      <c r="R24">
        <f ca="1"/>
        <v>5.6829792266283027E-2</v>
      </c>
      <c r="S24">
        <f ca="1"/>
        <v>1</v>
      </c>
      <c r="T24">
        <f ca="1"/>
        <v>0.13000000000000256</v>
      </c>
      <c r="U24">
        <f ca="1"/>
        <v>0</v>
      </c>
      <c r="V24">
        <f ca="1"/>
        <v>6.0235658318563701E-3</v>
      </c>
      <c r="X24" s="2">
        <f t="shared" ca="1" si="1"/>
        <v>45400</v>
      </c>
      <c r="Y24">
        <f t="shared" ca="1" si="2"/>
        <v>0</v>
      </c>
      <c r="AA24" s="63">
        <f t="shared" ca="1" si="4"/>
        <v>62.178465063100759</v>
      </c>
      <c r="AB24" s="63">
        <f t="shared" ca="1" si="5"/>
        <v>62.178465063100759</v>
      </c>
      <c r="AC24" s="3">
        <f t="shared" ca="1" si="6"/>
        <v>0</v>
      </c>
    </row>
    <row r="25" spans="1:29">
      <c r="A25" s="6" t="s">
        <v>117</v>
      </c>
      <c r="B25" s="34">
        <f>PriorHarvestDate</f>
        <v>45387</v>
      </c>
      <c r="H25" t="b">
        <f t="shared" ca="1" si="3"/>
        <v>1</v>
      </c>
      <c r="I25" t="b">
        <f t="shared" ca="1" si="0"/>
        <v>1</v>
      </c>
      <c r="J25" s="2">
        <f ca="1"/>
        <v>45401</v>
      </c>
      <c r="K25">
        <f ca="1"/>
        <v>63.467548014194094</v>
      </c>
      <c r="L25">
        <f ca="1"/>
        <v>0</v>
      </c>
      <c r="M25">
        <f ca="1"/>
        <v>0.66414051742414237</v>
      </c>
      <c r="N25" s="4">
        <f ca="1"/>
        <v>0.68177222593547404</v>
      </c>
      <c r="O25">
        <f ca="1"/>
        <v>0</v>
      </c>
      <c r="P25">
        <f ca="1"/>
        <v>2.026289583284667</v>
      </c>
      <c r="Q25">
        <f ca="1"/>
        <v>1.721172619006281</v>
      </c>
      <c r="R25">
        <f ca="1"/>
        <v>0</v>
      </c>
      <c r="S25">
        <f ca="1"/>
        <v>0.98907407407407399</v>
      </c>
      <c r="T25">
        <f ca="1"/>
        <v>0</v>
      </c>
      <c r="U25">
        <f ca="1"/>
        <v>0</v>
      </c>
      <c r="V25">
        <f ca="1"/>
        <v>6.0235658318563701E-3</v>
      </c>
      <c r="X25" s="2">
        <f t="shared" ca="1" si="1"/>
        <v>45401</v>
      </c>
      <c r="Y25">
        <f t="shared" ca="1" si="2"/>
        <v>0</v>
      </c>
      <c r="AA25" s="63">
        <f t="shared" ca="1" si="4"/>
        <v>63.467548014194094</v>
      </c>
      <c r="AB25" s="63">
        <f t="shared" ca="1" si="5"/>
        <v>63.467548014194094</v>
      </c>
      <c r="AC25" s="3">
        <f t="shared" ca="1" si="6"/>
        <v>0</v>
      </c>
    </row>
    <row r="26" spans="1:29">
      <c r="A26" s="6" t="s">
        <v>118</v>
      </c>
      <c r="B26" s="32" t="str">
        <f>PriorHarvestStage</f>
        <v>EarlyReproductive</v>
      </c>
      <c r="H26" t="b">
        <f t="shared" ca="1" si="3"/>
        <v>1</v>
      </c>
      <c r="I26" t="b">
        <f t="shared" ca="1" si="0"/>
        <v>1</v>
      </c>
      <c r="J26" s="2">
        <f ca="1"/>
        <v>45402</v>
      </c>
      <c r="K26">
        <f ca="1"/>
        <v>64.302731961739809</v>
      </c>
      <c r="L26">
        <f ca="1"/>
        <v>0</v>
      </c>
      <c r="M26">
        <f ca="1"/>
        <v>0.67094373308709265</v>
      </c>
      <c r="N26" s="4">
        <f ca="1"/>
        <v>0.67344109789520568</v>
      </c>
      <c r="O26">
        <f ca="1"/>
        <v>0</v>
      </c>
      <c r="P26">
        <f ca="1"/>
        <v>2.026289583284667</v>
      </c>
      <c r="Q26">
        <f ca="1"/>
        <v>1.721172619006281</v>
      </c>
      <c r="R26">
        <f ca="1"/>
        <v>0.50920088343657888</v>
      </c>
      <c r="S26">
        <f ca="1"/>
        <v>1</v>
      </c>
      <c r="T26">
        <f ca="1"/>
        <v>1.1253040630379729</v>
      </c>
      <c r="U26">
        <f ca="1"/>
        <v>0</v>
      </c>
      <c r="V26">
        <f ca="1"/>
        <v>6.0235658318563701E-3</v>
      </c>
      <c r="X26" s="2">
        <f t="shared" ca="1" si="1"/>
        <v>45402</v>
      </c>
      <c r="Y26">
        <f t="shared" ca="1" si="2"/>
        <v>0</v>
      </c>
      <c r="AA26" s="63">
        <f t="shared" ca="1" si="4"/>
        <v>64.811932845176401</v>
      </c>
      <c r="AB26" s="63">
        <f t="shared" ca="1" si="5"/>
        <v>64.811932845176386</v>
      </c>
      <c r="AC26" s="3">
        <f t="shared" ca="1" si="6"/>
        <v>0</v>
      </c>
    </row>
    <row r="27" spans="1:29">
      <c r="A27" s="6" t="s">
        <v>162</v>
      </c>
      <c r="B27" s="32" t="str">
        <f>PriorResidueRemoval</f>
        <v>None removed</v>
      </c>
      <c r="H27" t="b">
        <f t="shared" ca="1" si="3"/>
        <v>1</v>
      </c>
      <c r="I27" t="b">
        <f t="shared" ca="1" si="0"/>
        <v>1</v>
      </c>
      <c r="J27" s="2">
        <f ca="1"/>
        <v>45403</v>
      </c>
      <c r="K27">
        <f ca="1"/>
        <v>64.938052903794031</v>
      </c>
      <c r="L27">
        <f ca="1"/>
        <v>4.7283748265668279E-2</v>
      </c>
      <c r="M27">
        <f ca="1"/>
        <v>0.64746181514757595</v>
      </c>
      <c r="N27" s="4">
        <f ca="1"/>
        <v>0.63377551842247004</v>
      </c>
      <c r="O27">
        <f ca="1"/>
        <v>0</v>
      </c>
      <c r="P27">
        <f ca="1"/>
        <v>2.0735733315503353</v>
      </c>
      <c r="Q27">
        <f ca="1"/>
        <v>1.7613364206219069</v>
      </c>
      <c r="R27">
        <f ca="1"/>
        <v>0.59863264325016152</v>
      </c>
      <c r="S27">
        <f ca="1"/>
        <v>1</v>
      </c>
      <c r="T27">
        <f ca="1"/>
        <v>1.3100000000000023</v>
      </c>
      <c r="U27">
        <f ca="1"/>
        <v>0</v>
      </c>
      <c r="V27">
        <f ca="1"/>
        <v>6.2716804085214189E-3</v>
      </c>
      <c r="X27" s="2">
        <f t="shared" ca="1" si="1"/>
        <v>45403</v>
      </c>
      <c r="Y27">
        <f t="shared" ca="1" si="2"/>
        <v>0</v>
      </c>
      <c r="AA27" s="63">
        <f t="shared" ca="1" si="4"/>
        <v>65.583969295309856</v>
      </c>
      <c r="AB27" s="63">
        <f t="shared" ca="1" si="5"/>
        <v>65.583969295309856</v>
      </c>
      <c r="AC27" s="3">
        <f t="shared" ca="1" si="6"/>
        <v>0</v>
      </c>
    </row>
    <row r="28" spans="1:29" ht="15" thickBot="1">
      <c r="A28" s="6" t="s">
        <v>165</v>
      </c>
      <c r="B28" s="95" t="str">
        <f>PriorResidueIncorporation</f>
        <v>Full (Plough)</v>
      </c>
      <c r="H28" t="b">
        <f t="shared" ca="1" si="3"/>
        <v>1</v>
      </c>
      <c r="I28" t="b">
        <f t="shared" ca="1" si="0"/>
        <v>1</v>
      </c>
      <c r="J28" s="2">
        <f ca="1"/>
        <v>45404</v>
      </c>
      <c r="K28">
        <f ca="1"/>
        <v>66.144551229632896</v>
      </c>
      <c r="L28">
        <f ca="1"/>
        <v>7.7812217761359381E-2</v>
      </c>
      <c r="M28">
        <f ca="1"/>
        <v>0.66112191304898715</v>
      </c>
      <c r="N28" s="4">
        <f ca="1"/>
        <v>0.64180709682328685</v>
      </c>
      <c r="O28">
        <f ca="1"/>
        <v>0</v>
      </c>
      <c r="P28">
        <f ca="1"/>
        <v>2.1513855493116947</v>
      </c>
      <c r="Q28">
        <f ca="1"/>
        <v>1.8274317407280807</v>
      </c>
      <c r="R28">
        <f ca="1"/>
        <v>1.8618466272044418E-2</v>
      </c>
      <c r="S28">
        <f ca="1"/>
        <v>1</v>
      </c>
      <c r="T28">
        <f ca="1"/>
        <v>3.9999999999999147E-2</v>
      </c>
      <c r="U28">
        <f ca="1"/>
        <v>0</v>
      </c>
      <c r="V28">
        <f ca="1"/>
        <v>6.6892228642108191E-3</v>
      </c>
      <c r="X28" s="2">
        <f t="shared" ca="1" si="1"/>
        <v>45404</v>
      </c>
      <c r="Y28">
        <f t="shared" ca="1" si="2"/>
        <v>0</v>
      </c>
      <c r="AA28" s="63">
        <f t="shared" ca="1" si="4"/>
        <v>66.240981913666303</v>
      </c>
      <c r="AB28" s="63">
        <f t="shared" ca="1" si="5"/>
        <v>66.240981913666303</v>
      </c>
      <c r="AC28" s="3">
        <f t="shared" ca="1" si="6"/>
        <v>0</v>
      </c>
    </row>
    <row r="29" spans="1:29" ht="15" thickBot="1">
      <c r="A29" s="8" t="s">
        <v>140</v>
      </c>
      <c r="B29" s="11" t="str">
        <f>CurrentCropNameFull</f>
        <v>Carrot Vegetable Fresh</v>
      </c>
      <c r="H29" t="b">
        <f t="shared" ca="1" si="3"/>
        <v>1</v>
      </c>
      <c r="I29" t="b">
        <f t="shared" ca="1" si="0"/>
        <v>1</v>
      </c>
      <c r="J29" s="2">
        <f ca="1"/>
        <v>45405</v>
      </c>
      <c r="K29">
        <f ca="1"/>
        <v>66.373206895292455</v>
      </c>
      <c r="L29">
        <f ca="1"/>
        <v>7.909774846243911E-2</v>
      </c>
      <c r="M29">
        <f ca="1"/>
        <v>0.65695778543888039</v>
      </c>
      <c r="N29" s="4">
        <f ca="1"/>
        <v>0.63164413058023205</v>
      </c>
      <c r="O29">
        <f ca="1"/>
        <v>0</v>
      </c>
      <c r="P29">
        <f ca="1"/>
        <v>2.2304832977741338</v>
      </c>
      <c r="Q29">
        <f ca="1"/>
        <v>1.8946190174143225</v>
      </c>
      <c r="R29">
        <f ca="1"/>
        <v>0.98084850189710371</v>
      </c>
      <c r="S29">
        <f ca="1"/>
        <v>1</v>
      </c>
      <c r="T29">
        <f ca="1"/>
        <v>2.1000000000000085</v>
      </c>
      <c r="U29">
        <f ca="1"/>
        <v>0</v>
      </c>
      <c r="V29">
        <f ca="1"/>
        <v>7.1253283038264364E-3</v>
      </c>
      <c r="X29" s="2">
        <f t="shared" ca="1" si="1"/>
        <v>45405</v>
      </c>
      <c r="Y29">
        <f t="shared" ca="1" si="2"/>
        <v>0</v>
      </c>
      <c r="AA29" s="63">
        <f t="shared" ca="1" si="4"/>
        <v>67.433153145652</v>
      </c>
      <c r="AB29" s="63">
        <f t="shared" ca="1" si="5"/>
        <v>67.433153145652</v>
      </c>
      <c r="AC29" s="3">
        <f t="shared" ca="1" si="6"/>
        <v>0</v>
      </c>
    </row>
    <row r="30" spans="1:29">
      <c r="A30" s="9" t="s">
        <v>236</v>
      </c>
      <c r="B30" s="11">
        <f>CurrentYield</f>
        <v>100</v>
      </c>
      <c r="H30" t="b">
        <f t="shared" ca="1" si="3"/>
        <v>1</v>
      </c>
      <c r="I30" t="b">
        <f t="shared" ca="1" si="0"/>
        <v>1</v>
      </c>
      <c r="J30" s="2">
        <f ca="1"/>
        <v>45406</v>
      </c>
      <c r="K30">
        <f ca="1"/>
        <v>65.554851339455809</v>
      </c>
      <c r="L30">
        <f ca="1"/>
        <v>8.4447266093665263E-2</v>
      </c>
      <c r="M30">
        <f ca="1"/>
        <v>0.67227421389774733</v>
      </c>
      <c r="N30" s="4">
        <f ca="1"/>
        <v>0.64665552626704492</v>
      </c>
      <c r="O30">
        <f ca="1"/>
        <v>0</v>
      </c>
      <c r="P30">
        <f ca="1"/>
        <v>2.3149305638677991</v>
      </c>
      <c r="Q30">
        <f ca="1"/>
        <v>1.9663502859108719</v>
      </c>
      <c r="R30">
        <f ca="1"/>
        <v>2.0528380299077718</v>
      </c>
      <c r="S30">
        <f ca="1"/>
        <v>1</v>
      </c>
      <c r="T30">
        <f ca="1"/>
        <v>4.4499999999999957</v>
      </c>
      <c r="U30">
        <f ca="1"/>
        <v>0</v>
      </c>
      <c r="V30">
        <f ca="1"/>
        <v>7.6037693774976692E-3</v>
      </c>
      <c r="X30" s="2">
        <f t="shared" ca="1" si="1"/>
        <v>45406</v>
      </c>
      <c r="Y30">
        <f t="shared" ca="1" si="2"/>
        <v>0</v>
      </c>
      <c r="AA30" s="63">
        <f t="shared" ca="1" si="4"/>
        <v>67.692136635457246</v>
      </c>
      <c r="AB30" s="63">
        <f t="shared" ca="1" si="5"/>
        <v>67.692136635457246</v>
      </c>
      <c r="AC30" s="3">
        <f t="shared" ca="1" si="6"/>
        <v>0</v>
      </c>
    </row>
    <row r="31" spans="1:29">
      <c r="A31" s="9" t="s">
        <v>230</v>
      </c>
      <c r="B31" s="13" t="str">
        <f>CurrentPopulation</f>
        <v>1</v>
      </c>
      <c r="H31" t="b">
        <f t="shared" ca="1" si="3"/>
        <v>1</v>
      </c>
      <c r="I31" t="b">
        <f t="shared" ca="1" si="0"/>
        <v>1</v>
      </c>
      <c r="J31" s="2">
        <f ca="1"/>
        <v>45407</v>
      </c>
      <c r="K31">
        <f ca="1"/>
        <v>66.313216580758208</v>
      </c>
      <c r="L31">
        <f ca="1"/>
        <v>8.972075576659444E-2</v>
      </c>
      <c r="M31">
        <f ca="1"/>
        <v>0.68358694527364605</v>
      </c>
      <c r="N31" s="4">
        <f ca="1"/>
        <v>0.65914652658661932</v>
      </c>
      <c r="O31">
        <f ca="1"/>
        <v>0</v>
      </c>
      <c r="P31">
        <f ca="1"/>
        <v>2.4046513196343935</v>
      </c>
      <c r="Q31">
        <f ca="1"/>
        <v>2.0425609664848134</v>
      </c>
      <c r="R31">
        <f ca="1"/>
        <v>0.49464747479128296</v>
      </c>
      <c r="S31">
        <f ca="1"/>
        <v>1</v>
      </c>
      <c r="T31">
        <f ca="1"/>
        <v>1.0599999999999952</v>
      </c>
      <c r="U31">
        <f ca="1"/>
        <v>0</v>
      </c>
      <c r="V31">
        <f ca="1"/>
        <v>8.1264569344763164E-3</v>
      </c>
      <c r="X31" s="2">
        <f t="shared" ca="1" si="1"/>
        <v>45407</v>
      </c>
      <c r="Y31">
        <f t="shared" ca="1" si="2"/>
        <v>0</v>
      </c>
      <c r="AA31" s="63">
        <f t="shared" ca="1" si="4"/>
        <v>66.897584811316079</v>
      </c>
      <c r="AB31" s="63">
        <f t="shared" ca="1" si="5"/>
        <v>66.897584811316079</v>
      </c>
      <c r="AC31" s="3">
        <f t="shared" ca="1" si="6"/>
        <v>0</v>
      </c>
    </row>
    <row r="32" spans="1:29">
      <c r="A32" s="9" t="s">
        <v>231</v>
      </c>
      <c r="B32" s="13" t="str">
        <f>CurrentUnits</f>
        <v>t/ha</v>
      </c>
      <c r="H32" t="b">
        <f t="shared" ca="1" si="3"/>
        <v>1</v>
      </c>
      <c r="I32" t="b">
        <f t="shared" ca="1" si="0"/>
        <v>1</v>
      </c>
      <c r="J32" s="2">
        <f ca="1"/>
        <v>45408</v>
      </c>
      <c r="K32">
        <f ca="1"/>
        <v>67.258085302335274</v>
      </c>
      <c r="L32">
        <f ca="1"/>
        <v>9.6969512871861507E-2</v>
      </c>
      <c r="M32">
        <f ca="1"/>
        <v>0.70139763559568813</v>
      </c>
      <c r="N32" s="4">
        <f ca="1"/>
        <v>0.68121489771842103</v>
      </c>
      <c r="O32">
        <f ca="1"/>
        <v>0</v>
      </c>
      <c r="P32">
        <f ca="1"/>
        <v>2.501620832506255</v>
      </c>
      <c r="Q32">
        <f ca="1"/>
        <v>2.1249288924763561</v>
      </c>
      <c r="R32">
        <f ca="1"/>
        <v>0.34077429886516492</v>
      </c>
      <c r="S32">
        <f ca="1"/>
        <v>1</v>
      </c>
      <c r="T32">
        <f ca="1"/>
        <v>0.71999999999999886</v>
      </c>
      <c r="U32">
        <f ca="1"/>
        <v>0</v>
      </c>
      <c r="V32">
        <f ca="1"/>
        <v>8.7078285039246823E-3</v>
      </c>
      <c r="X32" s="2">
        <f t="shared" ca="1" si="1"/>
        <v>45408</v>
      </c>
      <c r="Y32">
        <f t="shared" ca="1" si="2"/>
        <v>0</v>
      </c>
      <c r="AA32" s="63">
        <f t="shared" ca="1" si="4"/>
        <v>67.695829114072311</v>
      </c>
      <c r="AB32" s="63">
        <f t="shared" ca="1" si="5"/>
        <v>67.695829114072311</v>
      </c>
      <c r="AC32" s="3">
        <f t="shared" ca="1" si="6"/>
        <v>0</v>
      </c>
    </row>
    <row r="33" spans="1:29">
      <c r="A33" s="9" t="s">
        <v>119</v>
      </c>
      <c r="B33" s="10">
        <f>CurrentFieldLoss</f>
        <v>0</v>
      </c>
      <c r="H33" t="b">
        <f t="shared" ca="1" si="3"/>
        <v>1</v>
      </c>
      <c r="I33" t="b">
        <f t="shared" ca="1" si="0"/>
        <v>1</v>
      </c>
      <c r="J33" s="2">
        <f ca="1"/>
        <v>45409</v>
      </c>
      <c r="K33">
        <f ca="1"/>
        <v>67.748913478908236</v>
      </c>
      <c r="L33">
        <f ca="1"/>
        <v>0.10322018136814348</v>
      </c>
      <c r="M33">
        <f ca="1"/>
        <v>0.7098595793294038</v>
      </c>
      <c r="N33" s="4">
        <f ca="1"/>
        <v>0.69466652134085682</v>
      </c>
      <c r="O33">
        <f ca="1"/>
        <v>0</v>
      </c>
      <c r="P33">
        <f ca="1"/>
        <v>2.6048410138743985</v>
      </c>
      <c r="Q33">
        <f ca="1"/>
        <v>2.2126062666114588</v>
      </c>
      <c r="R33">
        <f ca="1"/>
        <v>0.81047774272916284</v>
      </c>
      <c r="S33">
        <f ca="1"/>
        <v>1</v>
      </c>
      <c r="T33">
        <f ca="1"/>
        <v>1.7000000000000028</v>
      </c>
      <c r="U33">
        <f ca="1"/>
        <v>0</v>
      </c>
      <c r="V33">
        <f ca="1"/>
        <v>9.3452308299822925E-3</v>
      </c>
      <c r="X33" s="2">
        <f t="shared" ca="1" si="1"/>
        <v>45409</v>
      </c>
      <c r="Y33">
        <f t="shared" ca="1" si="2"/>
        <v>0</v>
      </c>
      <c r="AA33" s="63">
        <f t="shared" ca="1" si="4"/>
        <v>68.662611403005542</v>
      </c>
      <c r="AB33" s="63">
        <f t="shared" ca="1" si="5"/>
        <v>68.662611403005542</v>
      </c>
      <c r="AC33" s="3">
        <f t="shared" ca="1" si="6"/>
        <v>0</v>
      </c>
    </row>
    <row r="34" spans="1:29">
      <c r="A34" s="9" t="s">
        <v>120</v>
      </c>
      <c r="B34" s="10">
        <f>CurrentDressingLoss</f>
        <v>0</v>
      </c>
      <c r="H34" t="b">
        <f t="shared" ca="1" si="3"/>
        <v>1</v>
      </c>
      <c r="I34" t="b">
        <f t="shared" ca="1" si="0"/>
        <v>1</v>
      </c>
      <c r="J34" s="2">
        <f ca="1"/>
        <v>45410</v>
      </c>
      <c r="K34">
        <f ca="1"/>
        <v>68.384611353993449</v>
      </c>
      <c r="L34">
        <f ca="1"/>
        <v>9.8082472077968497E-2</v>
      </c>
      <c r="M34">
        <f ca="1"/>
        <v>0.66194021058831254</v>
      </c>
      <c r="N34" s="4">
        <f ca="1"/>
        <v>0.64449793757997587</v>
      </c>
      <c r="O34">
        <f ca="1"/>
        <v>0</v>
      </c>
      <c r="P34">
        <f ca="1"/>
        <v>2.702923485952367</v>
      </c>
      <c r="Q34">
        <f ca="1"/>
        <v>2.2959195633572231</v>
      </c>
      <c r="R34">
        <f ca="1"/>
        <v>0.57265780100510699</v>
      </c>
      <c r="S34">
        <f ca="1"/>
        <v>1</v>
      </c>
      <c r="T34">
        <f ca="1"/>
        <v>1.1899999999999977</v>
      </c>
      <c r="U34">
        <f ca="1"/>
        <v>0</v>
      </c>
      <c r="V34">
        <f ca="1"/>
        <v>9.9684211327432035E-3</v>
      </c>
      <c r="X34" s="2">
        <f t="shared" ca="1" si="1"/>
        <v>45410</v>
      </c>
      <c r="Y34">
        <f t="shared" ca="1" si="2"/>
        <v>0</v>
      </c>
      <c r="AA34" s="63">
        <f t="shared" ca="1" si="4"/>
        <v>69.055351627076519</v>
      </c>
      <c r="AB34" s="63">
        <f t="shared" ca="1" si="5"/>
        <v>69.055351627076519</v>
      </c>
      <c r="AC34" s="3">
        <f t="shared" ca="1" si="6"/>
        <v>0</v>
      </c>
    </row>
    <row r="35" spans="1:29">
      <c r="A35" s="9" t="s">
        <v>121</v>
      </c>
      <c r="B35" s="10">
        <f>CurrentMoistureContent</f>
        <v>88</v>
      </c>
      <c r="H35" t="b">
        <f t="shared" ca="1" si="3"/>
        <v>1</v>
      </c>
      <c r="I35" t="b">
        <f t="shared" ca="1" si="0"/>
        <v>1</v>
      </c>
      <c r="J35" s="2">
        <f ca="1"/>
        <v>45411</v>
      </c>
      <c r="K35">
        <f ca="1"/>
        <v>68.251931710250204</v>
      </c>
      <c r="L35">
        <f ca="1"/>
        <v>9.7484756589716781E-2</v>
      </c>
      <c r="M35">
        <f ca="1"/>
        <v>0.63842962616979371</v>
      </c>
      <c r="N35" s="4">
        <f ca="1"/>
        <v>0.62316218917143995</v>
      </c>
      <c r="O35">
        <f ca="1"/>
        <v>0</v>
      </c>
      <c r="P35">
        <f ca="1"/>
        <v>2.8004082425420838</v>
      </c>
      <c r="Q35">
        <f ca="1"/>
        <v>2.3787251481052452</v>
      </c>
      <c r="R35">
        <f ca="1"/>
        <v>1.2967867024947553</v>
      </c>
      <c r="S35">
        <f ca="1"/>
        <v>1</v>
      </c>
      <c r="T35">
        <f ca="1"/>
        <v>2.7000000000000028</v>
      </c>
      <c r="U35">
        <f ca="1"/>
        <v>0</v>
      </c>
      <c r="V35">
        <f ca="1"/>
        <v>1.060452288967458E-2</v>
      </c>
      <c r="X35" s="2">
        <f t="shared" ca="1" si="1"/>
        <v>45411</v>
      </c>
      <c r="Y35">
        <f t="shared" ca="1" si="2"/>
        <v>0</v>
      </c>
      <c r="AA35" s="63">
        <f t="shared" ca="1" si="4"/>
        <v>69.646203169334683</v>
      </c>
      <c r="AB35" s="63">
        <f t="shared" ca="1" si="5"/>
        <v>69.646203169334683</v>
      </c>
      <c r="AC35" s="3">
        <f t="shared" ca="1" si="6"/>
        <v>0</v>
      </c>
    </row>
    <row r="36" spans="1:29">
      <c r="A36" s="9" t="s">
        <v>122</v>
      </c>
      <c r="B36" s="36">
        <f ca="1">CurrentEstablishDate</f>
        <v>45389</v>
      </c>
      <c r="H36" t="b">
        <f t="shared" ca="1" si="3"/>
        <v>1</v>
      </c>
      <c r="I36" t="b">
        <f t="shared" ca="1" si="0"/>
        <v>1</v>
      </c>
      <c r="J36" s="2">
        <f ca="1"/>
        <v>45412</v>
      </c>
      <c r="K36">
        <f ca="1"/>
        <v>68.811744168231883</v>
      </c>
      <c r="L36">
        <f ca="1"/>
        <v>0.10173767084690688</v>
      </c>
      <c r="M36">
        <f ca="1"/>
        <v>0.63513185562081809</v>
      </c>
      <c r="N36" s="4">
        <f ca="1"/>
        <v>0.62686445565352289</v>
      </c>
      <c r="O36">
        <f ca="1"/>
        <v>0</v>
      </c>
      <c r="P36">
        <f ca="1"/>
        <v>2.9021459133889906</v>
      </c>
      <c r="Q36">
        <f ca="1"/>
        <v>2.4651432468941237</v>
      </c>
      <c r="R36">
        <f ca="1"/>
        <v>0.60044618244575765</v>
      </c>
      <c r="S36">
        <f ca="1"/>
        <v>1</v>
      </c>
      <c r="T36">
        <f ca="1"/>
        <v>1.240000000000002</v>
      </c>
      <c r="U36">
        <f ca="1"/>
        <v>0</v>
      </c>
      <c r="V36">
        <f ca="1"/>
        <v>1.128593164717759E-2</v>
      </c>
      <c r="X36" s="2">
        <f t="shared" ca="1" si="1"/>
        <v>45412</v>
      </c>
      <c r="Y36">
        <f t="shared" ca="1" si="2"/>
        <v>0</v>
      </c>
      <c r="AA36" s="63">
        <f t="shared" ca="1" si="4"/>
        <v>69.513928021524535</v>
      </c>
      <c r="AB36" s="63">
        <f t="shared" ca="1" si="5"/>
        <v>69.513928021524535</v>
      </c>
      <c r="AC36" s="3">
        <f t="shared" ca="1" si="6"/>
        <v>0</v>
      </c>
    </row>
    <row r="37" spans="1:29">
      <c r="A37" s="9" t="s">
        <v>123</v>
      </c>
      <c r="B37" s="10" t="str">
        <f>CurrentEstablishStage</f>
        <v>Seed</v>
      </c>
      <c r="H37" t="b">
        <f t="shared" ca="1" si="3"/>
        <v>1</v>
      </c>
      <c r="I37" t="b">
        <f t="shared" ca="1" si="0"/>
        <v>1</v>
      </c>
      <c r="J37" s="2">
        <f ca="1"/>
        <v>45413</v>
      </c>
      <c r="K37">
        <f ca="1"/>
        <v>67.749940234176407</v>
      </c>
      <c r="L37">
        <f ca="1"/>
        <v>0.10425575552840716</v>
      </c>
      <c r="M37">
        <f ca="1"/>
        <v>0.62349806756677495</v>
      </c>
      <c r="N37" s="4">
        <f ca="1"/>
        <v>0.62157958863060581</v>
      </c>
      <c r="O37">
        <f ca="1"/>
        <v>0</v>
      </c>
      <c r="P37">
        <f ca="1"/>
        <v>3.0064016689173978</v>
      </c>
      <c r="Q37">
        <f ca="1"/>
        <v>2.5537002593120759</v>
      </c>
      <c r="R37">
        <f ca="1"/>
        <v>2.202625834724445</v>
      </c>
      <c r="S37">
        <f ca="1"/>
        <v>1</v>
      </c>
      <c r="T37">
        <f ca="1"/>
        <v>4.6199999999999974</v>
      </c>
      <c r="U37">
        <f ca="1"/>
        <v>0</v>
      </c>
      <c r="V37">
        <f ca="1"/>
        <v>1.2002589025265561E-2</v>
      </c>
      <c r="X37" s="2">
        <f t="shared" ca="1" si="1"/>
        <v>45413</v>
      </c>
      <c r="Y37">
        <f t="shared" ca="1" si="2"/>
        <v>0</v>
      </c>
      <c r="AA37" s="63">
        <f t="shared" ca="1" si="4"/>
        <v>70.056821824429264</v>
      </c>
      <c r="AB37" s="63">
        <f t="shared" ca="1" si="5"/>
        <v>70.056821824429264</v>
      </c>
      <c r="AC37" s="3">
        <f t="shared" ca="1" si="6"/>
        <v>0</v>
      </c>
    </row>
    <row r="38" spans="1:29">
      <c r="A38" s="9" t="s">
        <v>124</v>
      </c>
      <c r="B38" s="36">
        <f>CurrentHarvestDate</f>
        <v>45614</v>
      </c>
      <c r="H38" t="b">
        <f t="shared" ca="1" si="3"/>
        <v>1</v>
      </c>
      <c r="I38" t="b">
        <f t="shared" ca="1" si="0"/>
        <v>1</v>
      </c>
      <c r="J38" s="2">
        <f ca="1"/>
        <v>45414</v>
      </c>
      <c r="K38">
        <f ca="1"/>
        <v>68.522741596585675</v>
      </c>
      <c r="L38">
        <f ca="1"/>
        <v>0.10666297998838115</v>
      </c>
      <c r="M38">
        <f ca="1"/>
        <v>0.61084855452565279</v>
      </c>
      <c r="N38" s="4">
        <f ca="1"/>
        <v>0.61579767862802037</v>
      </c>
      <c r="O38">
        <f ca="1"/>
        <v>0</v>
      </c>
      <c r="P38">
        <f ca="1"/>
        <v>3.1130646489057789</v>
      </c>
      <c r="Q38">
        <f ca="1"/>
        <v>2.6443020183755652</v>
      </c>
      <c r="R38">
        <f ca="1"/>
        <v>0.34718189075603689</v>
      </c>
      <c r="S38">
        <f ca="1"/>
        <v>1</v>
      </c>
      <c r="T38">
        <f ca="1"/>
        <v>0.72000000000000597</v>
      </c>
      <c r="U38">
        <f ca="1"/>
        <v>0</v>
      </c>
      <c r="V38">
        <f ca="1"/>
        <v>1.2754820940806247E-2</v>
      </c>
      <c r="X38" s="2">
        <f t="shared" ca="1" si="1"/>
        <v>45414</v>
      </c>
      <c r="Y38">
        <f t="shared" ca="1" si="2"/>
        <v>0</v>
      </c>
      <c r="AA38" s="63">
        <f t="shared" ca="1" si="4"/>
        <v>68.97658646733008</v>
      </c>
      <c r="AB38" s="63">
        <f t="shared" ca="1" si="5"/>
        <v>68.976586467330094</v>
      </c>
      <c r="AC38" s="3">
        <f t="shared" ca="1" si="6"/>
        <v>0</v>
      </c>
    </row>
    <row r="39" spans="1:29">
      <c r="A39" s="9" t="s">
        <v>125</v>
      </c>
      <c r="B39" s="10" t="str">
        <f>CurrentHarvestStage</f>
        <v>EarlyReproductive</v>
      </c>
      <c r="H39" t="b">
        <f t="shared" ca="1" si="3"/>
        <v>1</v>
      </c>
      <c r="I39" t="b">
        <f t="shared" ca="1" si="0"/>
        <v>1</v>
      </c>
      <c r="J39" s="2">
        <f ca="1"/>
        <v>45415</v>
      </c>
      <c r="K39">
        <f ca="1"/>
        <v>69.417272148050756</v>
      </c>
      <c r="L39">
        <f ca="1"/>
        <v>0.10698615737077155</v>
      </c>
      <c r="M39">
        <f ca="1"/>
        <v>0.59080001799216753</v>
      </c>
      <c r="N39" s="4">
        <f ca="1"/>
        <v>0.60122853773888973</v>
      </c>
      <c r="O39">
        <f ca="1"/>
        <v>0</v>
      </c>
      <c r="P39">
        <f ca="1"/>
        <v>3.2200508062765505</v>
      </c>
      <c r="Q39">
        <f ca="1"/>
        <v>2.735178291045719</v>
      </c>
      <c r="R39">
        <f ca="1"/>
        <v>0.19051184689520625</v>
      </c>
      <c r="S39">
        <f ca="1"/>
        <v>1</v>
      </c>
      <c r="T39">
        <f ca="1"/>
        <v>0.39000000000000057</v>
      </c>
      <c r="U39">
        <f ca="1"/>
        <v>0</v>
      </c>
      <c r="V39">
        <f ca="1"/>
        <v>1.3528431950854422E-2</v>
      </c>
      <c r="X39" s="2">
        <f t="shared" ca="1" si="1"/>
        <v>45415</v>
      </c>
      <c r="Y39">
        <f t="shared" ca="1" si="2"/>
        <v>0</v>
      </c>
      <c r="AA39" s="63">
        <f t="shared" ca="1" si="4"/>
        <v>69.714770152316731</v>
      </c>
      <c r="AB39" s="63">
        <f t="shared" ca="1" si="5"/>
        <v>69.714770152316731</v>
      </c>
      <c r="AC39" s="3">
        <f t="shared" ca="1" si="6"/>
        <v>0</v>
      </c>
    </row>
    <row r="40" spans="1:29">
      <c r="A40" s="9" t="s">
        <v>163</v>
      </c>
      <c r="B40" s="10" t="str">
        <f>CurrentResidueRemoval</f>
        <v>None removed</v>
      </c>
      <c r="H40" t="b">
        <f t="shared" ca="1" si="3"/>
        <v>1</v>
      </c>
      <c r="I40" t="b">
        <f t="shared" ca="1" si="0"/>
        <v>1</v>
      </c>
      <c r="J40" s="2">
        <f ca="1"/>
        <v>45416</v>
      </c>
      <c r="K40">
        <f ca="1"/>
        <v>69.872578583561804</v>
      </c>
      <c r="L40">
        <f ca="1"/>
        <v>0.11175841556931498</v>
      </c>
      <c r="M40">
        <f ca="1"/>
        <v>0.58563042479083727</v>
      </c>
      <c r="N40" s="4">
        <f ca="1"/>
        <v>0.60588824896408955</v>
      </c>
      <c r="O40">
        <f ca="1"/>
        <v>0</v>
      </c>
      <c r="P40">
        <f ca="1"/>
        <v>3.3318092218458655</v>
      </c>
      <c r="Q40">
        <f ca="1"/>
        <v>2.830108219328535</v>
      </c>
      <c r="R40">
        <f ca="1"/>
        <v>0.62445382267457072</v>
      </c>
      <c r="S40">
        <f ca="1"/>
        <v>1</v>
      </c>
      <c r="T40">
        <f ca="1"/>
        <v>1.269999999999996</v>
      </c>
      <c r="U40">
        <f ca="1"/>
        <v>0</v>
      </c>
      <c r="V40">
        <f ca="1"/>
        <v>1.4356730576076587E-2</v>
      </c>
      <c r="X40" s="2">
        <f t="shared" ca="1" si="1"/>
        <v>45416</v>
      </c>
      <c r="Y40">
        <f t="shared" ca="1" si="2"/>
        <v>0</v>
      </c>
      <c r="AA40" s="63">
        <f t="shared" ca="1" si="4"/>
        <v>70.608790821805684</v>
      </c>
      <c r="AB40" s="63">
        <f t="shared" ca="1" si="5"/>
        <v>70.608790821805684</v>
      </c>
      <c r="AC40" s="3">
        <f t="shared" ca="1" si="6"/>
        <v>0</v>
      </c>
    </row>
    <row r="41" spans="1:29" ht="15" thickBot="1">
      <c r="A41" s="9" t="s">
        <v>166</v>
      </c>
      <c r="B41" s="10" t="str">
        <f>CurrentResidueIncorporation</f>
        <v>Full (Plough)</v>
      </c>
      <c r="H41" t="b">
        <f t="shared" ca="1" si="3"/>
        <v>1</v>
      </c>
      <c r="I41" t="b">
        <f t="shared" ca="1" si="0"/>
        <v>1</v>
      </c>
      <c r="J41" s="2">
        <f ca="1"/>
        <v>45417</v>
      </c>
      <c r="K41">
        <f ca="1"/>
        <v>70.132492071829517</v>
      </c>
      <c r="L41">
        <f ca="1"/>
        <v>0.1176830185383464</v>
      </c>
      <c r="M41">
        <f ca="1"/>
        <v>0.58262140669086548</v>
      </c>
      <c r="N41">
        <f ca="1"/>
        <v>0.6142265075024167</v>
      </c>
      <c r="O41">
        <f ca="1"/>
        <v>0</v>
      </c>
      <c r="P41">
        <f ca="1"/>
        <v>3.4494922403842119</v>
      </c>
      <c r="Q41">
        <f ca="1"/>
        <v>2.9300706288977865</v>
      </c>
      <c r="R41">
        <f ca="1"/>
        <v>0.81925140738722524</v>
      </c>
      <c r="S41">
        <f ca="1"/>
        <v>1</v>
      </c>
      <c r="T41">
        <f ca="1"/>
        <v>1.6600000000000037</v>
      </c>
      <c r="U41">
        <f ca="1"/>
        <v>0</v>
      </c>
      <c r="V41">
        <f ca="1"/>
        <v>1.5250951134814245E-2</v>
      </c>
      <c r="X41" s="2">
        <f t="shared" ca="1" si="1"/>
        <v>45417</v>
      </c>
      <c r="Y41">
        <f t="shared" ca="1" si="2"/>
        <v>0</v>
      </c>
      <c r="AA41" s="63">
        <f t="shared" ca="1" si="4"/>
        <v>71.069426497755089</v>
      </c>
      <c r="AB41" s="63">
        <f t="shared" ca="1" si="5"/>
        <v>71.069426497755089</v>
      </c>
      <c r="AC41" s="3">
        <f t="shared" ca="1" si="6"/>
        <v>0</v>
      </c>
    </row>
    <row r="42" spans="1:29">
      <c r="A42" s="5" t="s">
        <v>141</v>
      </c>
      <c r="B42" s="31" t="str">
        <f>FollowingCropFullName</f>
        <v>Oat Fodder General</v>
      </c>
      <c r="H42" t="b">
        <f t="shared" ca="1" si="3"/>
        <v>1</v>
      </c>
      <c r="I42" t="b">
        <f t="shared" ca="1" si="0"/>
        <v>1</v>
      </c>
      <c r="J42" s="2">
        <f ca="1"/>
        <v>45418</v>
      </c>
      <c r="K42">
        <f ca="1"/>
        <v>71.172794356267076</v>
      </c>
      <c r="L42">
        <f ca="1"/>
        <v>0.11746468778607566</v>
      </c>
      <c r="M42">
        <f ca="1"/>
        <v>0.56014745632795382</v>
      </c>
      <c r="N42">
        <f ca="1"/>
        <v>0.5976195158956833</v>
      </c>
      <c r="O42">
        <f ca="1"/>
        <v>0</v>
      </c>
      <c r="P42">
        <f ca="1"/>
        <v>3.5669569281702875</v>
      </c>
      <c r="Q42">
        <f ca="1"/>
        <v>3.0298475837739898</v>
      </c>
      <c r="R42">
        <f ca="1"/>
        <v>0</v>
      </c>
      <c r="S42">
        <f ca="1"/>
        <v>0.9992592592592594</v>
      </c>
      <c r="T42">
        <f ca="1"/>
        <v>0</v>
      </c>
      <c r="U42">
        <f ca="1"/>
        <v>0</v>
      </c>
      <c r="V42">
        <f ca="1"/>
        <v>1.6165744130427723E-2</v>
      </c>
      <c r="X42" s="2">
        <f t="shared" ca="1" si="1"/>
        <v>45418</v>
      </c>
      <c r="Y42">
        <f t="shared" ca="1" si="2"/>
        <v>0</v>
      </c>
      <c r="AA42" s="63">
        <f t="shared" ca="1" si="4"/>
        <v>71.290259044053158</v>
      </c>
      <c r="AB42" s="63">
        <f t="shared" ca="1" si="5"/>
        <v>71.290259044053158</v>
      </c>
      <c r="AC42" s="3">
        <f t="shared" ca="1" si="6"/>
        <v>0</v>
      </c>
    </row>
    <row r="43" spans="1:29">
      <c r="A43" s="6" t="s">
        <v>237</v>
      </c>
      <c r="B43" s="32">
        <f>FollowingYIeld</f>
        <v>10</v>
      </c>
      <c r="H43" t="b">
        <f t="shared" ca="1" si="3"/>
        <v>1</v>
      </c>
      <c r="I43" t="b">
        <f t="shared" ca="1" si="0"/>
        <v>1</v>
      </c>
      <c r="J43" s="2">
        <f ca="1"/>
        <v>45419</v>
      </c>
      <c r="K43">
        <f ca="1"/>
        <v>71.415260320457989</v>
      </c>
      <c r="L43">
        <f ca="1"/>
        <v>0.11778675572806341</v>
      </c>
      <c r="M43">
        <f ca="1"/>
        <v>0.5404775433467357</v>
      </c>
      <c r="N43">
        <f ca="1"/>
        <v>0.58433086322642369</v>
      </c>
      <c r="O43">
        <f ca="1"/>
        <v>0</v>
      </c>
      <c r="P43">
        <f ca="1"/>
        <v>3.6847436838983509</v>
      </c>
      <c r="Q43">
        <f ca="1"/>
        <v>3.1298981098750471</v>
      </c>
      <c r="R43">
        <f ca="1"/>
        <v>0.76455568665418439</v>
      </c>
      <c r="S43">
        <f ca="1"/>
        <v>1</v>
      </c>
      <c r="T43">
        <f ca="1"/>
        <v>1.5213469301005134</v>
      </c>
      <c r="U43">
        <f ca="1"/>
        <v>0</v>
      </c>
      <c r="V43">
        <f ca="1"/>
        <v>1.7105061790093922E-2</v>
      </c>
      <c r="X43" s="2">
        <f t="shared" ca="1" si="1"/>
        <v>45419</v>
      </c>
      <c r="Y43">
        <f t="shared" ca="1" si="2"/>
        <v>0</v>
      </c>
      <c r="AA43" s="63">
        <f t="shared" ca="1" si="4"/>
        <v>72.297602762840242</v>
      </c>
      <c r="AB43" s="63">
        <f t="shared" ca="1" si="5"/>
        <v>72.297602762840242</v>
      </c>
      <c r="AC43" s="3">
        <f t="shared" ca="1" si="6"/>
        <v>0</v>
      </c>
    </row>
    <row r="44" spans="1:29">
      <c r="A44" s="6" t="s">
        <v>232</v>
      </c>
      <c r="B44" s="32">
        <f>FollowingPopulation</f>
        <v>1</v>
      </c>
      <c r="H44" t="b">
        <f t="shared" ca="1" si="3"/>
        <v>1</v>
      </c>
      <c r="I44" t="b">
        <f t="shared" ca="1" si="0"/>
        <v>1</v>
      </c>
      <c r="J44" s="2">
        <f ca="1"/>
        <v>45420</v>
      </c>
      <c r="K44">
        <f ca="1"/>
        <v>72.074155294816833</v>
      </c>
      <c r="L44">
        <f ca="1"/>
        <v>0.11558180819379338</v>
      </c>
      <c r="M44">
        <f ca="1"/>
        <v>0.51553910826340399</v>
      </c>
      <c r="N44">
        <f ca="1"/>
        <v>0.56325077442290128</v>
      </c>
      <c r="O44">
        <f ca="1"/>
        <v>0</v>
      </c>
      <c r="P44">
        <f ca="1"/>
        <v>3.8003254920921443</v>
      </c>
      <c r="Q44">
        <f ca="1"/>
        <v>3.2280757075686175</v>
      </c>
      <c r="R44">
        <f ca="1"/>
        <v>0.30431310013366819</v>
      </c>
      <c r="S44">
        <f ca="1"/>
        <v>1</v>
      </c>
      <c r="T44">
        <f ca="1"/>
        <v>0.59999999999999432</v>
      </c>
      <c r="U44">
        <f ca="1"/>
        <v>0</v>
      </c>
      <c r="V44">
        <f ca="1"/>
        <v>1.8047955775277021E-2</v>
      </c>
      <c r="X44" s="2">
        <f t="shared" ca="1" si="1"/>
        <v>45420</v>
      </c>
      <c r="Y44">
        <f t="shared" ca="1" si="2"/>
        <v>0</v>
      </c>
      <c r="AA44" s="63">
        <f t="shared" ca="1" si="4"/>
        <v>72.494050203144297</v>
      </c>
      <c r="AB44" s="63">
        <f t="shared" ca="1" si="5"/>
        <v>72.494050203144297</v>
      </c>
      <c r="AC44" s="3">
        <f t="shared" ca="1" si="6"/>
        <v>0</v>
      </c>
    </row>
    <row r="45" spans="1:29">
      <c r="A45" s="6" t="s">
        <v>233</v>
      </c>
      <c r="B45" s="32" t="str">
        <f>FollowingUnits</f>
        <v>t/ha</v>
      </c>
      <c r="H45" t="b">
        <f t="shared" ca="1" si="3"/>
        <v>1</v>
      </c>
      <c r="I45" t="b">
        <f t="shared" ca="1" si="0"/>
        <v>1</v>
      </c>
      <c r="J45" s="2">
        <f ca="1"/>
        <v>45421</v>
      </c>
      <c r="K45">
        <f ca="1"/>
        <v>72.270509646727277</v>
      </c>
      <c r="L45">
        <f ca="1"/>
        <v>0.12108774179658166</v>
      </c>
      <c r="M45">
        <f ca="1"/>
        <v>0.51057280064017618</v>
      </c>
      <c r="N45">
        <f ca="1"/>
        <v>0.56972467267120031</v>
      </c>
      <c r="O45">
        <f ca="1"/>
        <v>0</v>
      </c>
      <c r="P45">
        <f ca="1"/>
        <v>3.921413233888726</v>
      </c>
      <c r="Q45">
        <f ca="1"/>
        <v>3.3309301600599222</v>
      </c>
      <c r="R45">
        <f ca="1"/>
        <v>0.76285537960434346</v>
      </c>
      <c r="S45">
        <f ca="1"/>
        <v>1</v>
      </c>
      <c r="T45">
        <f ca="1"/>
        <v>1.5</v>
      </c>
      <c r="U45">
        <f ca="1"/>
        <v>0</v>
      </c>
      <c r="V45">
        <f ca="1"/>
        <v>1.9057961966144621E-2</v>
      </c>
      <c r="X45" s="2">
        <f t="shared" ca="1" si="1"/>
        <v>45421</v>
      </c>
      <c r="Y45">
        <f t="shared" ca="1" si="2"/>
        <v>0</v>
      </c>
      <c r="AA45" s="63">
        <f t="shared" ca="1" si="4"/>
        <v>73.154452768128209</v>
      </c>
      <c r="AB45" s="63">
        <f t="shared" ca="1" si="5"/>
        <v>73.154452768128209</v>
      </c>
      <c r="AC45" s="3">
        <f t="shared" ca="1" si="6"/>
        <v>0</v>
      </c>
    </row>
    <row r="46" spans="1:29">
      <c r="A46" s="6" t="s">
        <v>126</v>
      </c>
      <c r="B46" s="32">
        <f>FollowingFieldLoss</f>
        <v>0</v>
      </c>
      <c r="H46" t="b">
        <f t="shared" ca="1" si="3"/>
        <v>1</v>
      </c>
      <c r="I46" t="b">
        <f t="shared" ca="1" si="0"/>
        <v>1</v>
      </c>
      <c r="J46" s="2">
        <f ca="1"/>
        <v>45422</v>
      </c>
      <c r="K46">
        <f ca="1"/>
        <v>72.928376358371153</v>
      </c>
      <c r="L46">
        <f ca="1"/>
        <v>0.12933301087555327</v>
      </c>
      <c r="M46">
        <f ca="1"/>
        <v>0.51078867058390287</v>
      </c>
      <c r="N46">
        <f ca="1"/>
        <v>0.58433086322642369</v>
      </c>
      <c r="O46">
        <f ca="1"/>
        <v>0</v>
      </c>
      <c r="P46">
        <f ca="1"/>
        <v>4.0507462447642792</v>
      </c>
      <c r="Q46">
        <f ca="1"/>
        <v>3.4407883160159902</v>
      </c>
      <c r="R46">
        <f ca="1"/>
        <v>0.30791981129090118</v>
      </c>
      <c r="S46">
        <f ca="1"/>
        <v>1</v>
      </c>
      <c r="T46">
        <f ca="1"/>
        <v>0.60000000000000142</v>
      </c>
      <c r="U46">
        <f ca="1"/>
        <v>0</v>
      </c>
      <c r="V46">
        <f ca="1"/>
        <v>2.0161499674722489E-2</v>
      </c>
      <c r="X46" s="2">
        <f t="shared" ca="1" si="1"/>
        <v>45422</v>
      </c>
      <c r="Y46">
        <f t="shared" ca="1" si="2"/>
        <v>0</v>
      </c>
      <c r="AA46" s="63">
        <f t="shared" ca="1" si="4"/>
        <v>73.36562918053761</v>
      </c>
      <c r="AB46" s="63">
        <f t="shared" ca="1" si="5"/>
        <v>73.36562918053761</v>
      </c>
      <c r="AC46" s="3">
        <f t="shared" ca="1" si="6"/>
        <v>0</v>
      </c>
    </row>
    <row r="47" spans="1:29">
      <c r="A47" s="6" t="s">
        <v>127</v>
      </c>
      <c r="B47" s="32">
        <f>FollowingDressingLoss</f>
        <v>0</v>
      </c>
      <c r="H47" t="b">
        <f t="shared" ca="1" si="3"/>
        <v>1</v>
      </c>
      <c r="I47" t="b">
        <f t="shared" ca="1" si="0"/>
        <v>1</v>
      </c>
      <c r="J47" s="2">
        <f ca="1"/>
        <v>45423</v>
      </c>
      <c r="K47">
        <f ca="1"/>
        <v>72.886431055749057</v>
      </c>
      <c r="L47">
        <f ca="1"/>
        <v>0.13860240238981358</v>
      </c>
      <c r="M47">
        <f ca="1"/>
        <v>0.51149588990070782</v>
      </c>
      <c r="N47">
        <f ca="1"/>
        <v>0.60071214924375771</v>
      </c>
      <c r="O47">
        <f ca="1"/>
        <v>0</v>
      </c>
      <c r="P47">
        <f ca="1"/>
        <v>4.1893486471540928</v>
      </c>
      <c r="Q47">
        <f ca="1"/>
        <v>3.5585200863857165</v>
      </c>
      <c r="R47">
        <f ca="1"/>
        <v>1.0155509393767721</v>
      </c>
      <c r="S47">
        <f ca="1"/>
        <v>1</v>
      </c>
      <c r="T47">
        <f ca="1"/>
        <v>1.980000000000004</v>
      </c>
      <c r="U47">
        <f ca="1"/>
        <v>0</v>
      </c>
      <c r="V47">
        <f ca="1"/>
        <v>2.1372122536390498E-2</v>
      </c>
      <c r="X47" s="2">
        <f t="shared" ca="1" si="1"/>
        <v>45423</v>
      </c>
      <c r="Y47">
        <f t="shared" ca="1" si="2"/>
        <v>0</v>
      </c>
      <c r="AA47" s="63">
        <f t="shared" ca="1" si="4"/>
        <v>74.040584397515616</v>
      </c>
      <c r="AB47" s="63">
        <f t="shared" ca="1" si="5"/>
        <v>74.04058439751563</v>
      </c>
      <c r="AC47" s="3">
        <f t="shared" ca="1" si="6"/>
        <v>0</v>
      </c>
    </row>
    <row r="48" spans="1:29">
      <c r="A48" s="6" t="s">
        <v>128</v>
      </c>
      <c r="B48" s="32">
        <f>FollowingMoistureLoss</f>
        <v>0</v>
      </c>
      <c r="H48" t="b">
        <f t="shared" ca="1" si="3"/>
        <v>1</v>
      </c>
      <c r="I48" t="b">
        <f t="shared" ca="1" si="0"/>
        <v>1</v>
      </c>
      <c r="J48" s="2">
        <f ca="1"/>
        <v>45424</v>
      </c>
      <c r="K48">
        <f ca="1"/>
        <v>73.001478013410349</v>
      </c>
      <c r="L48">
        <f ca="1"/>
        <v>0.14196696431424982</v>
      </c>
      <c r="M48">
        <f ca="1"/>
        <v>0.49777710430089428</v>
      </c>
      <c r="N48">
        <f ca="1"/>
        <v>0.59659080807291565</v>
      </c>
      <c r="O48">
        <f ca="1"/>
        <v>0</v>
      </c>
      <c r="P48">
        <f ca="1"/>
        <v>4.3313156114683427</v>
      </c>
      <c r="Q48">
        <f ca="1"/>
        <v>3.679109785803226</v>
      </c>
      <c r="R48">
        <f ca="1"/>
        <v>0.83735399039826741</v>
      </c>
      <c r="S48">
        <f ca="1"/>
        <v>1</v>
      </c>
      <c r="T48">
        <f ca="1"/>
        <v>1.6300000000000026</v>
      </c>
      <c r="U48">
        <f ca="1"/>
        <v>0</v>
      </c>
      <c r="V48">
        <f ca="1"/>
        <v>2.2641721650499689E-2</v>
      </c>
      <c r="X48" s="2">
        <f t="shared" ca="1" si="1"/>
        <v>45424</v>
      </c>
      <c r="Y48">
        <f t="shared" ca="1" si="2"/>
        <v>0</v>
      </c>
      <c r="AA48" s="63">
        <f t="shared" ca="1" si="4"/>
        <v>73.980798968122869</v>
      </c>
      <c r="AB48" s="63">
        <f t="shared" ca="1" si="5"/>
        <v>73.980798968122869</v>
      </c>
      <c r="AC48" s="3">
        <f t="shared" ca="1" si="6"/>
        <v>0</v>
      </c>
    </row>
    <row r="49" spans="1:29">
      <c r="A49" s="6" t="s">
        <v>129</v>
      </c>
      <c r="B49" s="34">
        <f>FollowingEstablishDate</f>
        <v>45629</v>
      </c>
      <c r="H49" t="b">
        <f t="shared" ca="1" si="3"/>
        <v>1</v>
      </c>
      <c r="I49" t="b">
        <f t="array" aca="1" ref="I49" ca="1">AND(IF(J49&gt;($J$7-1),TRUE,FALSE),IF(J49&lt;($J$8+1),TRUE,FALSE))</f>
        <v>1</v>
      </c>
      <c r="J49" s="2">
        <f ca="1"/>
        <v>45425</v>
      </c>
      <c r="K49">
        <f ca="1"/>
        <v>73.292006008876882</v>
      </c>
      <c r="L49">
        <f ca="1"/>
        <v>0.14112961308738292</v>
      </c>
      <c r="M49">
        <f ca="1"/>
        <v>0.47595188334029359</v>
      </c>
      <c r="N49">
        <f ca="1"/>
        <v>0.57977358378548893</v>
      </c>
      <c r="O49">
        <f ca="1"/>
        <v>0</v>
      </c>
      <c r="P49">
        <f ca="1"/>
        <v>4.4724452245557256</v>
      </c>
      <c r="Q49">
        <f ca="1"/>
        <v>3.798988221630347</v>
      </c>
      <c r="R49">
        <f ca="1"/>
        <v>0.62406785857188163</v>
      </c>
      <c r="S49">
        <f ca="1"/>
        <v>1</v>
      </c>
      <c r="T49">
        <f ca="1"/>
        <v>1.2100000000000009</v>
      </c>
      <c r="U49">
        <f ca="1"/>
        <v>0</v>
      </c>
      <c r="V49">
        <f ca="1"/>
        <v>2.3933067516537634E-2</v>
      </c>
      <c r="X49" s="2">
        <f t="shared" ca="1" si="1"/>
        <v>45425</v>
      </c>
      <c r="Y49">
        <f t="shared" ca="1" si="2"/>
        <v>0</v>
      </c>
      <c r="AA49" s="63">
        <f t="shared" ca="1" si="4"/>
        <v>74.057203480536131</v>
      </c>
      <c r="AB49" s="63">
        <f t="shared" ca="1" si="5"/>
        <v>74.057203480536145</v>
      </c>
      <c r="AC49" s="3">
        <f t="shared" ca="1" si="6"/>
        <v>0</v>
      </c>
    </row>
    <row r="50" spans="1:29">
      <c r="A50" s="6" t="s">
        <v>130</v>
      </c>
      <c r="B50" s="32" t="str">
        <f>FollowingEstablishStage</f>
        <v>Seed</v>
      </c>
      <c r="H50" t="b">
        <f t="shared" ca="1" si="3"/>
        <v>1</v>
      </c>
      <c r="I50" t="b">
        <f t="shared" ca="1" si="0"/>
        <v>1</v>
      </c>
      <c r="J50" s="2">
        <f ca="1"/>
        <v>45426</v>
      </c>
      <c r="K50">
        <f ca="1"/>
        <v>72.989641519195899</v>
      </c>
      <c r="L50">
        <f ca="1"/>
        <v>0.14426288916687557</v>
      </c>
      <c r="M50">
        <f ca="1"/>
        <v>0.46291713477517504</v>
      </c>
      <c r="N50">
        <f ca="1"/>
        <v>0.57574105361990635</v>
      </c>
      <c r="O50">
        <f ca="1"/>
        <v>0</v>
      </c>
      <c r="P50">
        <f ca="1"/>
        <v>4.6167081137226011</v>
      </c>
      <c r="Q50">
        <f ca="1"/>
        <v>3.92152812748638</v>
      </c>
      <c r="R50">
        <f ca="1"/>
        <v>1.1967597889091852</v>
      </c>
      <c r="S50">
        <f ca="1"/>
        <v>1</v>
      </c>
      <c r="T50">
        <f ca="1"/>
        <v>2.3299999999999983</v>
      </c>
      <c r="U50">
        <f ca="1"/>
        <v>0</v>
      </c>
      <c r="V50">
        <f ca="1"/>
        <v>2.5282753057522318E-2</v>
      </c>
      <c r="X50" s="2">
        <f t="shared" ca="1" si="1"/>
        <v>45426</v>
      </c>
      <c r="Y50">
        <f t="shared" ca="1" si="2"/>
        <v>0</v>
      </c>
      <c r="AA50" s="63">
        <f t="shared" ca="1" si="4"/>
        <v>74.330664197271972</v>
      </c>
      <c r="AB50" s="63">
        <f t="shared" ca="1" si="5"/>
        <v>74.330664197271972</v>
      </c>
      <c r="AC50" s="3">
        <f t="shared" ca="1" si="6"/>
        <v>0</v>
      </c>
    </row>
    <row r="51" spans="1:29">
      <c r="A51" s="6" t="s">
        <v>131</v>
      </c>
      <c r="B51" s="34">
        <f>FollowingHarvestDate</f>
        <v>45749</v>
      </c>
      <c r="H51" t="b">
        <f t="shared" ca="1" si="3"/>
        <v>1</v>
      </c>
      <c r="I51" t="b">
        <f t="shared" ca="1" si="0"/>
        <v>1</v>
      </c>
      <c r="J51" s="2">
        <f ca="1"/>
        <v>45427</v>
      </c>
      <c r="K51">
        <f ca="1"/>
        <v>72.673020223290195</v>
      </c>
      <c r="L51">
        <f ca="1"/>
        <v>0.1490216413406964</v>
      </c>
      <c r="M51">
        <f ca="1"/>
        <v>0.45283857102868552</v>
      </c>
      <c r="N51">
        <f ca="1"/>
        <v>0.57624417408314321</v>
      </c>
      <c r="O51">
        <f ca="1"/>
        <v>0</v>
      </c>
      <c r="P51">
        <f ca="1"/>
        <v>4.7657297550632975</v>
      </c>
      <c r="Q51">
        <f ca="1"/>
        <v>4.0481102166560836</v>
      </c>
      <c r="R51">
        <f ca="1"/>
        <v>1.196682399676847</v>
      </c>
      <c r="S51">
        <f ca="1"/>
        <v>1</v>
      </c>
      <c r="T51">
        <f ca="1"/>
        <v>2.3400000000000034</v>
      </c>
      <c r="U51">
        <f ca="1"/>
        <v>0</v>
      </c>
      <c r="V51">
        <f ca="1"/>
        <v>2.6707970716833708E-2</v>
      </c>
      <c r="X51" s="2">
        <f t="shared" ca="1" si="1"/>
        <v>45427</v>
      </c>
      <c r="Y51">
        <f t="shared" ca="1" si="2"/>
        <v>0</v>
      </c>
      <c r="AA51" s="63">
        <f t="shared" ca="1" si="4"/>
        <v>74.018724264307735</v>
      </c>
      <c r="AB51" s="63">
        <f t="shared" ca="1" si="5"/>
        <v>74.018724264307735</v>
      </c>
      <c r="AC51" s="3">
        <f t="shared" ca="1" si="6"/>
        <v>0</v>
      </c>
    </row>
    <row r="52" spans="1:29">
      <c r="A52" s="6" t="s">
        <v>132</v>
      </c>
      <c r="B52" s="32" t="str">
        <f>FollowingHarvestStage</f>
        <v>EarlyReproductive</v>
      </c>
      <c r="H52" t="b">
        <f t="shared" ca="1" si="3"/>
        <v>1</v>
      </c>
      <c r="I52" t="b">
        <f t="shared" ca="1" si="0"/>
        <v>1</v>
      </c>
      <c r="J52" s="2">
        <f ca="1"/>
        <v>45428</v>
      </c>
      <c r="K52">
        <f ca="1"/>
        <v>72.402782431886877</v>
      </c>
      <c r="L52">
        <f ca="1"/>
        <v>0.14633919389896199</v>
      </c>
      <c r="M52">
        <f ca="1"/>
        <v>0.43048389981364821</v>
      </c>
      <c r="N52">
        <f ca="1"/>
        <v>0.55632981687783534</v>
      </c>
      <c r="O52">
        <f ca="1"/>
        <v>0</v>
      </c>
      <c r="P52">
        <f ca="1"/>
        <v>4.9120689489622595</v>
      </c>
      <c r="Q52">
        <f ca="1"/>
        <v>4.1724137790413023</v>
      </c>
      <c r="R52">
        <f ca="1"/>
        <v>1.1107123141958348</v>
      </c>
      <c r="S52">
        <f ca="1"/>
        <v>1</v>
      </c>
      <c r="T52">
        <f ca="1"/>
        <v>2.1799999999999997</v>
      </c>
      <c r="U52">
        <f ca="1"/>
        <v>0</v>
      </c>
      <c r="V52">
        <f ca="1"/>
        <v>2.8137722031985817E-2</v>
      </c>
      <c r="X52" s="2">
        <f t="shared" ca="1" si="1"/>
        <v>45428</v>
      </c>
      <c r="Y52">
        <f t="shared" ca="1" si="2"/>
        <v>0</v>
      </c>
      <c r="AA52" s="63">
        <f t="shared" ca="1" si="4"/>
        <v>73.659833939981681</v>
      </c>
      <c r="AB52" s="63">
        <f t="shared" ca="1" si="5"/>
        <v>73.659833939981681</v>
      </c>
      <c r="AC52" s="3">
        <f t="shared" ca="1" si="6"/>
        <v>0</v>
      </c>
    </row>
    <row r="53" spans="1:29" ht="15" thickBot="1">
      <c r="A53" s="7" t="s">
        <v>164</v>
      </c>
      <c r="B53" s="33" t="str">
        <f>FollowingResidueRemoval</f>
        <v>None removed</v>
      </c>
      <c r="H53" t="b">
        <f t="shared" ca="1" si="3"/>
        <v>1</v>
      </c>
      <c r="I53" t="b">
        <f t="shared" ca="1" si="0"/>
        <v>1</v>
      </c>
      <c r="J53" s="2">
        <f ca="1"/>
        <v>45429</v>
      </c>
      <c r="K53">
        <f ca="1"/>
        <v>72.184571026670056</v>
      </c>
      <c r="L53">
        <f ca="1"/>
        <v>0.14808615880770137</v>
      </c>
      <c r="M53">
        <f ca="1"/>
        <v>0.41666276774278899</v>
      </c>
      <c r="N53">
        <f ca="1"/>
        <v>0.54946160547539402</v>
      </c>
      <c r="O53">
        <f ca="1"/>
        <v>0</v>
      </c>
      <c r="P53">
        <f ca="1"/>
        <v>5.0601551077699609</v>
      </c>
      <c r="Q53">
        <f ca="1"/>
        <v>4.2982012498432107</v>
      </c>
      <c r="R53">
        <f ca="1"/>
        <v>1.0362496196273077</v>
      </c>
      <c r="S53">
        <f ca="1"/>
        <v>1</v>
      </c>
      <c r="T53">
        <f ca="1"/>
        <v>2.0399999999999991</v>
      </c>
      <c r="U53">
        <f ca="1"/>
        <v>0</v>
      </c>
      <c r="V53">
        <f ca="1"/>
        <v>2.9614511044700691E-2</v>
      </c>
      <c r="X53" s="2">
        <f t="shared" ca="1" si="1"/>
        <v>45429</v>
      </c>
      <c r="Y53">
        <f t="shared" ca="1" si="2"/>
        <v>0</v>
      </c>
      <c r="AA53" s="63">
        <f t="shared" ca="1" si="4"/>
        <v>73.36890680510507</v>
      </c>
      <c r="AB53" s="63">
        <f t="shared" ca="1" si="5"/>
        <v>73.36890680510507</v>
      </c>
      <c r="AC53" s="3">
        <f t="shared" ca="1" si="6"/>
        <v>0</v>
      </c>
    </row>
    <row r="54" spans="1:29">
      <c r="A54" s="6" t="s">
        <v>167</v>
      </c>
      <c r="B54" t="str">
        <f>FollowingResidueIncorporation</f>
        <v>Full (Plough)</v>
      </c>
      <c r="H54" t="b">
        <f t="shared" ca="1" si="3"/>
        <v>1</v>
      </c>
      <c r="I54" t="b">
        <f t="shared" ca="1" si="0"/>
        <v>1</v>
      </c>
      <c r="J54" s="2">
        <f ca="1"/>
        <v>45430</v>
      </c>
      <c r="K54">
        <f ca="1"/>
        <v>73.016591462233919</v>
      </c>
      <c r="L54">
        <f ca="1"/>
        <v>0.16190459214679898</v>
      </c>
      <c r="M54">
        <f ca="1"/>
        <v>0.4206955246138655</v>
      </c>
      <c r="N54">
        <f ca="1"/>
        <v>0.57322950309679876</v>
      </c>
      <c r="O54">
        <f ca="1"/>
        <v>0</v>
      </c>
      <c r="P54">
        <f ca="1"/>
        <v>5.2220596999167599</v>
      </c>
      <c r="Q54">
        <f ca="1"/>
        <v>4.4357263860296809</v>
      </c>
      <c r="R54">
        <f ca="1"/>
        <v>0</v>
      </c>
      <c r="S54">
        <f ca="1"/>
        <v>0.99314814814814811</v>
      </c>
      <c r="T54">
        <f ca="1"/>
        <v>0</v>
      </c>
      <c r="U54">
        <f ca="1"/>
        <v>0</v>
      </c>
      <c r="V54">
        <f ca="1"/>
        <v>3.1263038513740578E-2</v>
      </c>
      <c r="X54" s="2">
        <f t="shared" ca="1" si="1"/>
        <v>45430</v>
      </c>
      <c r="Y54">
        <f t="shared" ca="1" si="2"/>
        <v>0</v>
      </c>
      <c r="AA54" s="63">
        <f t="shared" ca="1" si="4"/>
        <v>73.178496054380716</v>
      </c>
      <c r="AB54" s="63">
        <f t="shared" ca="1" si="5"/>
        <v>73.178496054380716</v>
      </c>
      <c r="AC54" s="3">
        <f t="shared" ca="1" si="6"/>
        <v>0</v>
      </c>
    </row>
    <row r="55" spans="1:29">
      <c r="A55" s="12"/>
      <c r="B55" s="13"/>
      <c r="H55" t="b">
        <f t="shared" ca="1" si="3"/>
        <v>1</v>
      </c>
      <c r="I55" t="b">
        <f t="shared" ca="1" si="0"/>
        <v>1</v>
      </c>
      <c r="J55" s="2">
        <f ca="1"/>
        <v>45431</v>
      </c>
      <c r="K55">
        <f ca="1"/>
        <v>72.105442734195066</v>
      </c>
      <c r="L55">
        <f ca="1"/>
        <v>0.16597693809710456</v>
      </c>
      <c r="M55">
        <f ca="1"/>
        <v>0.40912741583947465</v>
      </c>
      <c r="N55">
        <f ca="1"/>
        <v>0.57072470319022106</v>
      </c>
      <c r="O55">
        <f ca="1"/>
        <v>0</v>
      </c>
      <c r="P55">
        <f ca="1"/>
        <v>5.3880366380138645</v>
      </c>
      <c r="Q55">
        <f ca="1"/>
        <v>4.5767106577723951</v>
      </c>
      <c r="R55">
        <f ca="1"/>
        <v>1.7250239089714581</v>
      </c>
      <c r="S55">
        <f ca="1"/>
        <v>1</v>
      </c>
      <c r="T55">
        <f ca="1"/>
        <v>3.3996736895673649</v>
      </c>
      <c r="U55">
        <f ca="1"/>
        <v>0</v>
      </c>
      <c r="V55">
        <f ca="1"/>
        <v>3.2989195412943664E-2</v>
      </c>
      <c r="X55" s="2">
        <f t="shared" ca="1" si="1"/>
        <v>45431</v>
      </c>
      <c r="Y55">
        <f t="shared" ca="1" si="2"/>
        <v>0</v>
      </c>
      <c r="AA55" s="63">
        <f t="shared" ca="1" si="4"/>
        <v>73.99644358126362</v>
      </c>
      <c r="AB55" s="63">
        <f t="shared" ca="1" si="5"/>
        <v>73.99644358126362</v>
      </c>
      <c r="AC55" s="3">
        <f t="shared" ca="1" si="6"/>
        <v>0</v>
      </c>
    </row>
    <row r="56" spans="1:29" ht="15" thickBot="1">
      <c r="A56" s="14"/>
      <c r="B56" s="15"/>
      <c r="H56" t="b">
        <f t="shared" ca="1" si="3"/>
        <v>1</v>
      </c>
      <c r="I56" t="b">
        <f t="shared" ca="1" si="0"/>
        <v>1</v>
      </c>
      <c r="J56" s="2">
        <f ca="1"/>
        <v>45432</v>
      </c>
      <c r="K56">
        <f ca="1"/>
        <v>71.089725913355011</v>
      </c>
      <c r="L56">
        <f ca="1"/>
        <v>0.17722199390638771</v>
      </c>
      <c r="M56">
        <f ca="1"/>
        <v>0.40711399048623775</v>
      </c>
      <c r="N56">
        <f ca="1"/>
        <v>0.58534656777073124</v>
      </c>
      <c r="O56">
        <f ca="1"/>
        <v>0</v>
      </c>
      <c r="P56">
        <f ca="1"/>
        <v>5.5652586319202522</v>
      </c>
      <c r="Q56">
        <f ca="1"/>
        <v>4.7272467143724155</v>
      </c>
      <c r="R56">
        <f ca="1"/>
        <v>1.8309553851906342</v>
      </c>
      <c r="S56">
        <f ca="1"/>
        <v>1</v>
      </c>
      <c r="T56">
        <f ca="1"/>
        <v>3.6600000000000037</v>
      </c>
      <c r="U56">
        <f ca="1"/>
        <v>0</v>
      </c>
      <c r="V56">
        <f ca="1"/>
        <v>3.4871979122080198E-2</v>
      </c>
      <c r="X56" s="2">
        <f t="shared" ca="1" si="1"/>
        <v>45432</v>
      </c>
      <c r="Y56">
        <f t="shared" ca="1" si="2"/>
        <v>0</v>
      </c>
      <c r="AA56" s="63">
        <f t="shared" ca="1" si="4"/>
        <v>73.097903292452031</v>
      </c>
      <c r="AB56" s="63">
        <f t="shared" ca="1" si="5"/>
        <v>73.097903292452031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45433</v>
      </c>
      <c r="K57">
        <f ca="1"/>
        <v>70.214325654497983</v>
      </c>
      <c r="L57">
        <f ca="1"/>
        <v>0.17149577188514442</v>
      </c>
      <c r="M57">
        <f ca="1"/>
        <v>0.38265568240721493</v>
      </c>
      <c r="N57">
        <f ca="1"/>
        <v>0.55879552845797076</v>
      </c>
      <c r="O57">
        <f ca="1"/>
        <v>0</v>
      </c>
      <c r="P57">
        <f ca="1"/>
        <v>5.7367544038053966</v>
      </c>
      <c r="Q57">
        <f ca="1"/>
        <v>4.87291879859918</v>
      </c>
      <c r="R57">
        <f ca="1"/>
        <v>1.6453556978370723</v>
      </c>
      <c r="S57">
        <f ca="1"/>
        <v>1</v>
      </c>
      <c r="T57">
        <f ca="1"/>
        <v>3.3300000000000054</v>
      </c>
      <c r="U57">
        <f ca="1"/>
        <v>0</v>
      </c>
      <c r="V57">
        <f ca="1"/>
        <v>3.6732208493494858E-2</v>
      </c>
      <c r="X57" s="2">
        <f t="shared" ca="1" si="1"/>
        <v>45433</v>
      </c>
      <c r="Y57">
        <f t="shared" ca="1" si="2"/>
        <v>0</v>
      </c>
      <c r="AA57" s="63">
        <f t="shared" ca="1" si="4"/>
        <v>72.031177124220207</v>
      </c>
      <c r="AB57" s="63">
        <f t="shared" ca="1" si="5"/>
        <v>72.031177124220207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45434</v>
      </c>
      <c r="K58">
        <f ca="1"/>
        <v>67.917405629576777</v>
      </c>
      <c r="L58">
        <f ca="1"/>
        <v>0.17134490685900428</v>
      </c>
      <c r="M58">
        <f ca="1"/>
        <v>0.36708466164958153</v>
      </c>
      <c r="N58">
        <f ca="1"/>
        <v>0.54702144113192874</v>
      </c>
      <c r="O58">
        <f ca="1"/>
        <v>0</v>
      </c>
      <c r="P58">
        <f ca="1"/>
        <v>5.9080993106644009</v>
      </c>
      <c r="Q58">
        <f ca="1"/>
        <v>5.018462734927291</v>
      </c>
      <c r="R58">
        <f ca="1"/>
        <v>3.0396812208437214</v>
      </c>
      <c r="S58">
        <f ca="1"/>
        <v>1</v>
      </c>
      <c r="T58">
        <f ca="1"/>
        <v>6.3599999999999923</v>
      </c>
      <c r="U58">
        <f ca="1"/>
        <v>0</v>
      </c>
      <c r="V58">
        <f ca="1"/>
        <v>3.8627682857562018E-2</v>
      </c>
      <c r="X58" s="2">
        <f t="shared" ca="1" si="1"/>
        <v>45434</v>
      </c>
      <c r="Y58">
        <f t="shared" ca="1" si="2"/>
        <v>0</v>
      </c>
      <c r="AA58" s="63">
        <f t="shared" ca="1" si="4"/>
        <v>71.1284317572795</v>
      </c>
      <c r="AB58" s="63">
        <f t="shared" ca="1" si="5"/>
        <v>71.1284317572795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45435</v>
      </c>
      <c r="K59">
        <f ca="1"/>
        <v>66.841072638444899</v>
      </c>
      <c r="L59">
        <f ca="1"/>
        <v>0.17475853388985563</v>
      </c>
      <c r="M59">
        <f ca="1"/>
        <v>0.3562997395412566</v>
      </c>
      <c r="N59">
        <f ca="1"/>
        <v>0.54361649058695527</v>
      </c>
      <c r="O59">
        <f ca="1"/>
        <v>0</v>
      </c>
      <c r="P59">
        <f ca="1"/>
        <v>6.0828578445542565</v>
      </c>
      <c r="Q59">
        <f ca="1"/>
        <v>5.1669062772275547</v>
      </c>
      <c r="R59">
        <f ca="1"/>
        <v>1.8014906873702341</v>
      </c>
      <c r="S59">
        <f ca="1"/>
        <v>1</v>
      </c>
      <c r="T59">
        <f ca="1"/>
        <v>3.8299999999999983</v>
      </c>
      <c r="U59">
        <f ca="1"/>
        <v>0</v>
      </c>
      <c r="V59">
        <f ca="1"/>
        <v>4.0598162835183034E-2</v>
      </c>
      <c r="X59" s="2">
        <f t="shared" ca="1" si="1"/>
        <v>45435</v>
      </c>
      <c r="Y59">
        <f t="shared" ca="1" si="2"/>
        <v>0</v>
      </c>
      <c r="AA59" s="63">
        <f t="shared" ca="1" si="4"/>
        <v>68.81732185970499</v>
      </c>
      <c r="AB59" s="63">
        <f t="shared" ca="1" si="5"/>
        <v>68.81732185970499</v>
      </c>
      <c r="AC59" s="3">
        <f t="shared" ca="1" si="6"/>
        <v>0</v>
      </c>
    </row>
    <row r="60" spans="1:29">
      <c r="H60" t="b">
        <f t="shared" ca="1" si="3"/>
        <v>1</v>
      </c>
      <c r="I60" t="b">
        <f t="shared" ca="1" si="0"/>
        <v>1</v>
      </c>
      <c r="J60" s="2">
        <f ca="1"/>
        <v>45436</v>
      </c>
      <c r="K60">
        <f ca="1"/>
        <v>65.505617085750202</v>
      </c>
      <c r="L60">
        <f ca="1"/>
        <v>0.18640340028228408</v>
      </c>
      <c r="M60">
        <f ca="1"/>
        <v>0.35414813105381882</v>
      </c>
      <c r="N60">
        <f ca="1"/>
        <v>0.55731529397553448</v>
      </c>
      <c r="O60">
        <f ca="1"/>
        <v>0</v>
      </c>
      <c r="P60">
        <f ca="1"/>
        <v>6.2692612448365406</v>
      </c>
      <c r="Q60">
        <f ca="1"/>
        <v>5.3252412118302663</v>
      </c>
      <c r="R60">
        <f ca="1"/>
        <v>2.0605155774417643</v>
      </c>
      <c r="S60">
        <f ca="1"/>
        <v>1</v>
      </c>
      <c r="T60">
        <f ca="1"/>
        <v>4.4699999999999989</v>
      </c>
      <c r="U60">
        <f ca="1"/>
        <v>0</v>
      </c>
      <c r="V60">
        <f ca="1"/>
        <v>4.274056721622653E-2</v>
      </c>
      <c r="X60" s="2">
        <f t="shared" ca="1" si="1"/>
        <v>45436</v>
      </c>
      <c r="Y60">
        <f t="shared" ca="1" si="2"/>
        <v>0</v>
      </c>
      <c r="AA60" s="63">
        <f t="shared" ca="1" si="4"/>
        <v>67.752536063474253</v>
      </c>
      <c r="AB60" s="63">
        <f t="shared" ca="1" si="5"/>
        <v>67.752536063474253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45437</v>
      </c>
      <c r="K61">
        <f ca="1"/>
        <v>63.785037095411198</v>
      </c>
      <c r="L61">
        <f ca="1"/>
        <v>0.20169169555727429</v>
      </c>
      <c r="M61">
        <f ca="1"/>
        <v>0.35462334937687956</v>
      </c>
      <c r="N61">
        <f ca="1"/>
        <v>0.57725122557395314</v>
      </c>
      <c r="O61">
        <f ca="1"/>
        <v>0</v>
      </c>
      <c r="P61">
        <f ca="1"/>
        <v>6.4709529403938149</v>
      </c>
      <c r="Q61">
        <f ca="1"/>
        <v>5.4965623431916582</v>
      </c>
      <c r="R61">
        <f ca="1"/>
        <v>2.4507628697325741</v>
      </c>
      <c r="S61">
        <f ca="1"/>
        <v>1</v>
      </c>
      <c r="T61">
        <f ca="1"/>
        <v>5.4599999999999937</v>
      </c>
      <c r="U61">
        <f ca="1"/>
        <v>0</v>
      </c>
      <c r="V61">
        <f ca="1"/>
        <v>4.5104908671332516E-2</v>
      </c>
      <c r="X61" s="2">
        <f t="shared" ca="1" si="1"/>
        <v>45437</v>
      </c>
      <c r="Y61">
        <f t="shared" ca="1" si="2"/>
        <v>0</v>
      </c>
      <c r="AA61" s="63">
        <f t="shared" ca="1" si="4"/>
        <v>66.437491660701042</v>
      </c>
      <c r="AB61" s="63">
        <f t="shared" ca="1" si="5"/>
        <v>66.437491660701042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45438</v>
      </c>
      <c r="K62">
        <f ca="1"/>
        <v>63.211029520250392</v>
      </c>
      <c r="L62">
        <f ca="1"/>
        <v>0.19253214600100499</v>
      </c>
      <c r="M62">
        <f ca="1"/>
        <v>0.33082630387361434</v>
      </c>
      <c r="N62">
        <f ca="1"/>
        <v>0.54653421411614378</v>
      </c>
      <c r="O62">
        <f ca="1"/>
        <v>0</v>
      </c>
      <c r="P62">
        <f ca="1"/>
        <v>6.6634850863948198</v>
      </c>
      <c r="Q62">
        <f ca="1"/>
        <v>5.6601031621886504</v>
      </c>
      <c r="R62">
        <f ca="1"/>
        <v>1.2588359471495782</v>
      </c>
      <c r="S62">
        <f ca="1"/>
        <v>1</v>
      </c>
      <c r="T62">
        <f ca="1"/>
        <v>2.8299999999999983</v>
      </c>
      <c r="U62">
        <f ca="1"/>
        <v>0</v>
      </c>
      <c r="V62">
        <f ca="1"/>
        <v>4.7405696116920269E-2</v>
      </c>
      <c r="X62" s="2">
        <f t="shared" ca="1" si="1"/>
        <v>45438</v>
      </c>
      <c r="Y62">
        <f t="shared" ca="1" si="2"/>
        <v>0</v>
      </c>
      <c r="AA62" s="63">
        <f t="shared" ca="1" si="4"/>
        <v>64.662397613400969</v>
      </c>
      <c r="AB62" s="63">
        <f t="shared" ca="1" si="5"/>
        <v>64.662397613400984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45439</v>
      </c>
      <c r="K63">
        <f ca="1"/>
        <v>62.819885871689792</v>
      </c>
      <c r="L63">
        <f ca="1"/>
        <v>0.17939169128883758</v>
      </c>
      <c r="M63">
        <f ca="1"/>
        <v>0.30657142291027739</v>
      </c>
      <c r="N63">
        <f ca="1"/>
        <v>0.51169008186971221</v>
      </c>
      <c r="O63">
        <f ca="1"/>
        <v>0</v>
      </c>
      <c r="P63">
        <f ca="1"/>
        <v>6.8428767776836574</v>
      </c>
      <c r="Q63">
        <f ca="1"/>
        <v>5.812482204982258</v>
      </c>
      <c r="R63">
        <f ca="1"/>
        <v>1.030013462051746</v>
      </c>
      <c r="S63">
        <f ca="1"/>
        <v>1</v>
      </c>
      <c r="T63">
        <f ca="1"/>
        <v>2.3300000000000054</v>
      </c>
      <c r="U63">
        <f ca="1"/>
        <v>0</v>
      </c>
      <c r="V63">
        <f ca="1"/>
        <v>4.958711025657709E-2</v>
      </c>
      <c r="X63" s="2">
        <f t="shared" ca="1" si="1"/>
        <v>45439</v>
      </c>
      <c r="Y63">
        <f t="shared" ca="1" si="2"/>
        <v>0</v>
      </c>
      <c r="AA63" s="63">
        <f t="shared" ca="1" si="4"/>
        <v>64.029291025030389</v>
      </c>
      <c r="AB63" s="63">
        <f t="shared" ca="1" si="5"/>
        <v>64.029291025030375</v>
      </c>
      <c r="AC63" s="3">
        <f t="shared" ca="1" si="6"/>
        <v>0</v>
      </c>
    </row>
    <row r="64" spans="1:29">
      <c r="A64" s="1"/>
      <c r="B64" s="1"/>
      <c r="H64" t="b">
        <f t="shared" ca="1" si="3"/>
        <v>1</v>
      </c>
      <c r="I64" t="b">
        <f t="shared" ca="1" si="0"/>
        <v>1</v>
      </c>
      <c r="J64" s="2">
        <f ca="1"/>
        <v>45440</v>
      </c>
      <c r="K64">
        <f ca="1"/>
        <v>61.898319153804998</v>
      </c>
      <c r="L64">
        <f ca="1"/>
        <v>0.17438028282968343</v>
      </c>
      <c r="M64">
        <f ca="1"/>
        <v>0.2914857707820957</v>
      </c>
      <c r="N64">
        <f ca="1"/>
        <v>0.49457208490593491</v>
      </c>
      <c r="O64">
        <f ca="1"/>
        <v>0</v>
      </c>
      <c r="P64">
        <f ca="1"/>
        <v>7.0172570605133409</v>
      </c>
      <c r="Q64">
        <f ca="1"/>
        <v>5.960604452945697</v>
      </c>
      <c r="R64">
        <f ca="1"/>
        <v>1.5332442907431416</v>
      </c>
      <c r="S64">
        <f ca="1"/>
        <v>1</v>
      </c>
      <c r="T64">
        <f ca="1"/>
        <v>3.5200000000000031</v>
      </c>
      <c r="U64">
        <f ca="1"/>
        <v>0</v>
      </c>
      <c r="V64">
        <f ca="1"/>
        <v>5.1741651135361798E-2</v>
      </c>
      <c r="X64" s="2">
        <f t="shared" ca="1" si="1"/>
        <v>45440</v>
      </c>
      <c r="Y64">
        <f t="shared" ca="1" si="2"/>
        <v>0</v>
      </c>
      <c r="AA64" s="63">
        <f t="shared" ca="1" si="4"/>
        <v>63.60594372737782</v>
      </c>
      <c r="AB64" s="63">
        <f t="shared" ca="1" si="5"/>
        <v>63.60594372737782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45441</v>
      </c>
      <c r="K65">
        <f ca="1"/>
        <v>60.769727435975817</v>
      </c>
      <c r="L65">
        <f ca="1"/>
        <v>0.18679714558598803</v>
      </c>
      <c r="M65">
        <f ca="1"/>
        <v>0.29027180784938267</v>
      </c>
      <c r="N65">
        <f ca="1"/>
        <v>0.50842362828668819</v>
      </c>
      <c r="O65">
        <f ca="1"/>
        <v>0</v>
      </c>
      <c r="P65">
        <f ca="1"/>
        <v>7.2040542060993289</v>
      </c>
      <c r="Q65">
        <f ca="1"/>
        <v>6.1192738430187354</v>
      </c>
      <c r="R65">
        <f ca="1"/>
        <v>1.7404900083792598</v>
      </c>
      <c r="S65">
        <f ca="1"/>
        <v>1</v>
      </c>
      <c r="T65">
        <f ca="1"/>
        <v>4.0699999999999932</v>
      </c>
      <c r="U65">
        <f ca="1"/>
        <v>0</v>
      </c>
      <c r="V65">
        <f ca="1"/>
        <v>5.4086054623650417E-2</v>
      </c>
      <c r="X65" s="2">
        <f t="shared" ca="1" si="1"/>
        <v>45441</v>
      </c>
      <c r="Y65">
        <f t="shared" ca="1" si="2"/>
        <v>0</v>
      </c>
      <c r="AA65" s="63">
        <f t="shared" ca="1" si="4"/>
        <v>62.69701458994107</v>
      </c>
      <c r="AB65" s="63">
        <f t="shared" ca="1" si="5"/>
        <v>62.69701458994107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45442</v>
      </c>
      <c r="K66">
        <f ca="1"/>
        <v>59.580830687239391</v>
      </c>
      <c r="L66">
        <f ca="1"/>
        <v>0.18363077149653151</v>
      </c>
      <c r="M66">
        <f ca="1"/>
        <v>0.27741952058552499</v>
      </c>
      <c r="N66">
        <f ca="1"/>
        <v>0.49502995408717609</v>
      </c>
      <c r="O66">
        <f ca="1"/>
        <v>0</v>
      </c>
      <c r="P66">
        <f ca="1"/>
        <v>7.3876849775958604</v>
      </c>
      <c r="Q66">
        <f ca="1"/>
        <v>6.2752536489231252</v>
      </c>
      <c r="R66">
        <f ca="1"/>
        <v>1.7777154519125953</v>
      </c>
      <c r="S66">
        <f ca="1"/>
        <v>1</v>
      </c>
      <c r="T66">
        <f ca="1"/>
        <v>4.240000000000002</v>
      </c>
      <c r="U66">
        <f ca="1"/>
        <v>0</v>
      </c>
      <c r="V66">
        <f ca="1"/>
        <v>5.6426650378636811E-2</v>
      </c>
      <c r="X66" s="2">
        <f t="shared" ca="1" si="1"/>
        <v>45442</v>
      </c>
      <c r="Y66">
        <f t="shared" ca="1" si="2"/>
        <v>0</v>
      </c>
      <c r="AA66" s="63">
        <f t="shared" ca="1" si="4"/>
        <v>61.542176910648521</v>
      </c>
      <c r="AB66" s="63">
        <f t="shared" ca="1" si="5"/>
        <v>61.542176910648521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45443</v>
      </c>
      <c r="K67">
        <f ca="1"/>
        <v>58.964277179864766</v>
      </c>
      <c r="L67">
        <f ca="1"/>
        <v>0.18904078568913896</v>
      </c>
      <c r="M67">
        <f ca="1"/>
        <v>0.27109147662481092</v>
      </c>
      <c r="N67">
        <f ca="1"/>
        <v>0.49640515253496204</v>
      </c>
      <c r="O67">
        <f ca="1"/>
        <v>0</v>
      </c>
      <c r="P67">
        <f ca="1"/>
        <v>7.5767257632849994</v>
      </c>
      <c r="Q67">
        <f ca="1"/>
        <v>6.4358288336783787</v>
      </c>
      <c r="R67">
        <f ca="1"/>
        <v>1.1950093508452602</v>
      </c>
      <c r="S67">
        <f ca="1"/>
        <v>1</v>
      </c>
      <c r="T67">
        <f ca="1"/>
        <v>2.8800000000000026</v>
      </c>
      <c r="U67">
        <f ca="1"/>
        <v>0</v>
      </c>
      <c r="V67">
        <f ca="1"/>
        <v>5.8872557624017018E-2</v>
      </c>
      <c r="X67" s="2">
        <f t="shared" ca="1" si="1"/>
        <v>45443</v>
      </c>
      <c r="Y67">
        <f t="shared" ca="1" si="2"/>
        <v>0</v>
      </c>
      <c r="AA67" s="63">
        <f t="shared" ca="1" si="4"/>
        <v>60.348327316399164</v>
      </c>
      <c r="AB67" s="63">
        <f t="shared" ca="1" si="5"/>
        <v>60.348327316399164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45444</v>
      </c>
      <c r="K68">
        <f ca="1"/>
        <v>57.971410409778557</v>
      </c>
      <c r="L68">
        <f ca="1"/>
        <v>0.18910974472733422</v>
      </c>
      <c r="M68">
        <f ca="1"/>
        <v>0.2614225782046482</v>
      </c>
      <c r="N68">
        <f ca="1"/>
        <v>0.48909832220086835</v>
      </c>
      <c r="O68">
        <f ca="1"/>
        <v>0</v>
      </c>
      <c r="P68">
        <f ca="1"/>
        <v>7.7658355080123336</v>
      </c>
      <c r="Q68">
        <f ca="1"/>
        <v>6.5964625936784307</v>
      </c>
      <c r="R68">
        <f ca="1"/>
        <v>1.5542779257643971</v>
      </c>
      <c r="S68">
        <f ca="1"/>
        <v>1</v>
      </c>
      <c r="T68">
        <f ca="1"/>
        <v>3.8100000000000023</v>
      </c>
      <c r="U68">
        <f ca="1"/>
        <v>0</v>
      </c>
      <c r="V68">
        <f ca="1"/>
        <v>6.1355389203838283E-2</v>
      </c>
      <c r="X68" s="2">
        <f t="shared" ca="1" si="1"/>
        <v>45444</v>
      </c>
      <c r="Y68">
        <f t="shared" ca="1" si="2"/>
        <v>0</v>
      </c>
      <c r="AA68" s="63">
        <f t="shared" ca="1" si="4"/>
        <v>59.714798080270278</v>
      </c>
      <c r="AB68" s="63">
        <f t="shared" ca="1" si="5"/>
        <v>59.714798080270285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45445</v>
      </c>
      <c r="K69">
        <f ca="1"/>
        <v>57.97396425585714</v>
      </c>
      <c r="L69">
        <f ca="1"/>
        <v>0.17767910151287758</v>
      </c>
      <c r="M69">
        <f ca="1"/>
        <v>0.24565020159413464</v>
      </c>
      <c r="N69">
        <f ca="1"/>
        <v>0.46493715974535693</v>
      </c>
      <c r="O69">
        <f ca="1"/>
        <v>0</v>
      </c>
      <c r="P69">
        <f ca="1"/>
        <v>7.9435146095252112</v>
      </c>
      <c r="Q69">
        <f ca="1"/>
        <v>6.7473869270098321</v>
      </c>
      <c r="R69">
        <f ca="1"/>
        <v>0.53035441374802816</v>
      </c>
      <c r="S69">
        <f ca="1"/>
        <v>1</v>
      </c>
      <c r="T69">
        <f ca="1"/>
        <v>1.3000000000000043</v>
      </c>
      <c r="U69">
        <f ca="1"/>
        <v>0</v>
      </c>
      <c r="V69">
        <f ca="1"/>
        <v>6.3720205546995076E-2</v>
      </c>
      <c r="X69" s="2">
        <f t="shared" ca="1" si="1"/>
        <v>45445</v>
      </c>
      <c r="Y69">
        <f t="shared" ca="1" si="2"/>
        <v>0</v>
      </c>
      <c r="AA69" s="63">
        <f t="shared" ca="1" si="4"/>
        <v>58.681997771118041</v>
      </c>
      <c r="AB69" s="63">
        <f t="shared" ca="1" si="5"/>
        <v>58.681997771118048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45446</v>
      </c>
      <c r="K70">
        <f ca="1"/>
        <v>57.275051394682933</v>
      </c>
      <c r="L70">
        <f ca="1"/>
        <v>0.18496635335753986</v>
      </c>
      <c r="M70">
        <f ca="1"/>
        <v>0.24151877711900127</v>
      </c>
      <c r="N70">
        <f ca="1"/>
        <v>0.46979655527058128</v>
      </c>
      <c r="O70">
        <f ca="1"/>
        <v>0</v>
      </c>
      <c r="P70">
        <f ca="1"/>
        <v>8.128480962882751</v>
      </c>
      <c r="Q70">
        <f ca="1"/>
        <v>6.9045012039930711</v>
      </c>
      <c r="R70">
        <f ca="1"/>
        <v>1.2252618402062567</v>
      </c>
      <c r="S70">
        <f ca="1"/>
        <v>1</v>
      </c>
      <c r="T70">
        <f ca="1"/>
        <v>3.0400000000000063</v>
      </c>
      <c r="U70">
        <f ca="1"/>
        <v>0</v>
      </c>
      <c r="V70">
        <f ca="1"/>
        <v>6.6214217807569323E-2</v>
      </c>
      <c r="X70" s="2">
        <f t="shared" ca="1" si="1"/>
        <v>45446</v>
      </c>
      <c r="Y70">
        <f t="shared" ca="1" si="2"/>
        <v>0</v>
      </c>
      <c r="AA70" s="63">
        <f t="shared" ca="1" si="4"/>
        <v>58.685279588246722</v>
      </c>
      <c r="AB70" s="63">
        <f t="shared" ca="1" si="5"/>
        <v>58.685279588246729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ca="1" si="0"/>
        <v>1</v>
      </c>
      <c r="J71" s="2">
        <f ca="1"/>
        <v>45447</v>
      </c>
      <c r="K71">
        <f ca="1"/>
        <v>56.977210565156795</v>
      </c>
      <c r="L71">
        <f ca="1"/>
        <v>0.19318285259371848</v>
      </c>
      <c r="M71">
        <f ca="1"/>
        <v>0.23770100514050796</v>
      </c>
      <c r="N71">
        <f ca="1"/>
        <v>0.47558052959577302</v>
      </c>
      <c r="O71">
        <f ca="1"/>
        <v>0</v>
      </c>
      <c r="P71">
        <f ca="1"/>
        <v>8.3216638154764695</v>
      </c>
      <c r="Q71">
        <f ca="1"/>
        <v>7.0685947467367702</v>
      </c>
      <c r="R71">
        <f ca="1"/>
        <v>0.81793951166869516</v>
      </c>
      <c r="S71">
        <f ca="1"/>
        <v>1</v>
      </c>
      <c r="T71">
        <f ca="1"/>
        <v>2.0399999999999991</v>
      </c>
      <c r="U71">
        <f ca="1"/>
        <v>0</v>
      </c>
      <c r="V71">
        <f ca="1"/>
        <v>6.8853233255252722E-2</v>
      </c>
      <c r="X71" s="2">
        <f t="shared" ca="1" si="1"/>
        <v>45447</v>
      </c>
      <c r="Y71">
        <f t="shared" ca="1" si="2"/>
        <v>0</v>
      </c>
      <c r="AA71" s="63">
        <f t="shared" ca="1" si="4"/>
        <v>57.988332929419215</v>
      </c>
      <c r="AB71" s="63">
        <f t="shared" ca="1" si="5"/>
        <v>57.988332929419215</v>
      </c>
      <c r="AC71" s="3">
        <f t="shared" ca="1" si="6"/>
        <v>0</v>
      </c>
    </row>
    <row r="72" spans="8:29">
      <c r="H72" t="b">
        <f t="shared" ca="1" si="3"/>
        <v>1</v>
      </c>
      <c r="I72" t="b">
        <f t="shared" ca="1" si="0"/>
        <v>1</v>
      </c>
      <c r="J72" s="2">
        <f ca="1"/>
        <v>45448</v>
      </c>
      <c r="K72">
        <f ca="1"/>
        <v>56.624520184827539</v>
      </c>
      <c r="L72">
        <f ca="1"/>
        <v>0.19573768339959052</v>
      </c>
      <c r="M72">
        <f ca="1"/>
        <v>0.23083453783182151</v>
      </c>
      <c r="N72">
        <f ca="1"/>
        <v>0.47290547204788924</v>
      </c>
      <c r="O72">
        <f ca="1"/>
        <v>0</v>
      </c>
      <c r="P72">
        <f ca="1"/>
        <v>8.51740149887606</v>
      </c>
      <c r="Q72">
        <f ca="1"/>
        <v>7.2348584160337204</v>
      </c>
      <c r="R72">
        <f ca="1"/>
        <v>0.86069270680937737</v>
      </c>
      <c r="S72">
        <f ca="1"/>
        <v>1</v>
      </c>
      <c r="T72">
        <f ca="1"/>
        <v>2.1599999999999966</v>
      </c>
      <c r="U72">
        <f ca="1"/>
        <v>0</v>
      </c>
      <c r="V72">
        <f ca="1"/>
        <v>7.1561886536650743E-2</v>
      </c>
      <c r="X72" s="2">
        <f t="shared" ca="1" si="1"/>
        <v>45448</v>
      </c>
      <c r="Y72">
        <f t="shared" ca="1" si="2"/>
        <v>0</v>
      </c>
      <c r="AA72" s="63">
        <f t="shared" ca="1" si="4"/>
        <v>57.680950575036512</v>
      </c>
      <c r="AB72" s="63">
        <f t="shared" ca="1" si="5"/>
        <v>57.680950575036505</v>
      </c>
      <c r="AC72" s="3">
        <f t="shared" ca="1" si="6"/>
        <v>0</v>
      </c>
    </row>
    <row r="73" spans="8:29">
      <c r="H73" t="b">
        <f t="shared" ca="1" si="3"/>
        <v>1</v>
      </c>
      <c r="I73" t="b">
        <f t="shared" ca="1" si="0"/>
        <v>1</v>
      </c>
      <c r="J73" s="2">
        <f ca="1"/>
        <v>45449</v>
      </c>
      <c r="K73">
        <f ca="1"/>
        <v>56.434336139286046</v>
      </c>
      <c r="L73">
        <f ca="1"/>
        <v>0.20377531105357782</v>
      </c>
      <c r="M73">
        <f ca="1"/>
        <v>0.22678136597744825</v>
      </c>
      <c r="N73">
        <f ca="1"/>
        <v>0.47781699315122245</v>
      </c>
      <c r="O73">
        <f ca="1"/>
        <v>0</v>
      </c>
      <c r="P73">
        <f ca="1"/>
        <v>8.7211768099296378</v>
      </c>
      <c r="Q73">
        <f ca="1"/>
        <v>7.4079494138398481</v>
      </c>
      <c r="R73">
        <f ca="1"/>
        <v>0.69100709361658919</v>
      </c>
      <c r="S73">
        <f ca="1"/>
        <v>1</v>
      </c>
      <c r="T73">
        <f ca="1"/>
        <v>1.7399999999999949</v>
      </c>
      <c r="U73">
        <f ca="1"/>
        <v>0</v>
      </c>
      <c r="V73">
        <f ca="1"/>
        <v>7.4417908296097221E-2</v>
      </c>
      <c r="X73" s="2">
        <f t="shared" ca="1" si="1"/>
        <v>45449</v>
      </c>
      <c r="Y73">
        <f t="shared" ca="1" si="2"/>
        <v>0</v>
      </c>
      <c r="AA73" s="63">
        <f t="shared" ca="1" si="4"/>
        <v>57.329118543956213</v>
      </c>
      <c r="AB73" s="63">
        <f t="shared" ca="1" si="5"/>
        <v>57.329118543956213</v>
      </c>
      <c r="AC73" s="3">
        <f t="shared" ca="1" si="6"/>
        <v>0</v>
      </c>
    </row>
    <row r="74" spans="8:29">
      <c r="H74" t="b">
        <f t="shared" ca="1" si="3"/>
        <v>1</v>
      </c>
      <c r="I74" t="b">
        <f t="shared" ca="1" si="0"/>
        <v>1</v>
      </c>
      <c r="J74" s="2">
        <f ca="1"/>
        <v>45450</v>
      </c>
      <c r="K74">
        <f ca="1"/>
        <v>56.369324986796066</v>
      </c>
      <c r="L74">
        <f ca="1"/>
        <v>0.21813929767461993</v>
      </c>
      <c r="M74">
        <f ca="1"/>
        <v>0.22548517255343725</v>
      </c>
      <c r="N74">
        <f ca="1"/>
        <v>0.4909186719437012</v>
      </c>
      <c r="O74">
        <f ca="1"/>
        <v>0</v>
      </c>
      <c r="P74">
        <f ca="1"/>
        <v>8.9393161076042578</v>
      </c>
      <c r="Q74">
        <f ca="1"/>
        <v>7.5932414813626918</v>
      </c>
      <c r="R74">
        <f ca="1"/>
        <v>0.56327569931250077</v>
      </c>
      <c r="S74">
        <f ca="1"/>
        <v>1</v>
      </c>
      <c r="T74">
        <f ca="1"/>
        <v>1.4199999999999946</v>
      </c>
      <c r="U74">
        <f ca="1"/>
        <v>0</v>
      </c>
      <c r="V74">
        <f ca="1"/>
        <v>7.751493325613297E-2</v>
      </c>
      <c r="X74" s="2">
        <f t="shared" ca="1" si="1"/>
        <v>45450</v>
      </c>
      <c r="Y74">
        <f t="shared" ca="1" si="2"/>
        <v>0</v>
      </c>
      <c r="AA74" s="63">
        <f t="shared" ca="1" si="4"/>
        <v>57.150739983783183</v>
      </c>
      <c r="AB74" s="63">
        <f t="shared" ca="1" si="5"/>
        <v>57.150739983783183</v>
      </c>
      <c r="AC74" s="3">
        <f t="shared" ca="1" si="6"/>
        <v>0</v>
      </c>
    </row>
    <row r="75" spans="8:29">
      <c r="H75" t="b">
        <f t="shared" ca="1" si="3"/>
        <v>1</v>
      </c>
      <c r="I75" t="b">
        <f t="shared" ref="I75:I138" ca="1" si="7">AND(IF(J75&gt;($J$7-1),TRUE,FALSE),IF(J75&lt;($J$8+1),TRUE,FALSE))</f>
        <v>1</v>
      </c>
      <c r="J75" s="2">
        <f ca="1"/>
        <v>45451</v>
      </c>
      <c r="K75">
        <f ca="1"/>
        <v>55.38222531136023</v>
      </c>
      <c r="L75">
        <f ca="1"/>
        <v>0.23671528224041616</v>
      </c>
      <c r="M75">
        <f ca="1"/>
        <v>0.22558513724961315</v>
      </c>
      <c r="N75">
        <f ca="1"/>
        <v>0.50888946595844153</v>
      </c>
      <c r="O75">
        <f ca="1"/>
        <v>0</v>
      </c>
      <c r="P75">
        <f ca="1"/>
        <v>9.1760313898446739</v>
      </c>
      <c r="Q75">
        <f ca="1"/>
        <v>7.7943123774742409</v>
      </c>
      <c r="R75">
        <f ca="1"/>
        <v>1.48485899640347</v>
      </c>
      <c r="S75">
        <f ca="1"/>
        <v>1</v>
      </c>
      <c r="T75">
        <f ca="1"/>
        <v>3.8100000000000023</v>
      </c>
      <c r="U75">
        <f ca="1"/>
        <v>0</v>
      </c>
      <c r="V75">
        <f ca="1"/>
        <v>8.0920662583854913E-2</v>
      </c>
      <c r="X75" s="2">
        <f t="shared" ref="X75:X138" ca="1" si="8">IFERROR(J75,$X$9)</f>
        <v>45451</v>
      </c>
      <c r="Y75">
        <f t="shared" ref="Y75:Y138" ca="1" si="9">IFERROR(O75,0)</f>
        <v>0</v>
      </c>
      <c r="AA75" s="63">
        <f t="shared" ca="1" si="4"/>
        <v>57.103799590004122</v>
      </c>
      <c r="AB75" s="63">
        <f t="shared" ca="1" si="5"/>
        <v>57.103799590004115</v>
      </c>
      <c r="AC75" s="3">
        <f t="shared" ca="1" si="6"/>
        <v>0</v>
      </c>
    </row>
    <row r="76" spans="8:29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45452</v>
      </c>
      <c r="K76">
        <f ca="1"/>
        <v>53.644938743826351</v>
      </c>
      <c r="L76">
        <f ca="1"/>
        <v>0.2434821158667333</v>
      </c>
      <c r="M76">
        <f ca="1"/>
        <v>0.2198569770592016</v>
      </c>
      <c r="N76">
        <f ca="1"/>
        <v>0.50982193972610346</v>
      </c>
      <c r="O76">
        <f ca="1"/>
        <v>0</v>
      </c>
      <c r="P76">
        <f ca="1"/>
        <v>9.4195135057114072</v>
      </c>
      <c r="Q76">
        <f ca="1"/>
        <v>8.0011311631525484</v>
      </c>
      <c r="R76">
        <f ca="1"/>
        <v>2.2234833684524502</v>
      </c>
      <c r="S76">
        <f ca="1"/>
        <v>1</v>
      </c>
      <c r="T76">
        <f ca="1"/>
        <v>5.8900000000000077</v>
      </c>
      <c r="U76">
        <f ca="1"/>
        <v>0</v>
      </c>
      <c r="V76">
        <f ca="1"/>
        <v>8.4470927878004476E-2</v>
      </c>
      <c r="X76" s="2">
        <f t="shared" ca="1" si="8"/>
        <v>45452</v>
      </c>
      <c r="Y76">
        <f t="shared" ca="1" si="9"/>
        <v>0</v>
      </c>
      <c r="AA76" s="63">
        <f t="shared" ca="1" si="4"/>
        <v>56.111904228145534</v>
      </c>
      <c r="AB76" s="63">
        <f t="shared" ca="1" si="5"/>
        <v>56.111904228145534</v>
      </c>
      <c r="AC76" s="3">
        <f t="shared" ca="1" si="6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45453</v>
      </c>
      <c r="K77">
        <f ca="1"/>
        <v>52.805073231161295</v>
      </c>
      <c r="L77">
        <f ca="1"/>
        <v>0.25188262336940248</v>
      </c>
      <c r="M77">
        <f ca="1"/>
        <v>0.2148244064313829</v>
      </c>
      <c r="N77">
        <f ca="1"/>
        <v>0.51262575076478334</v>
      </c>
      <c r="O77">
        <f ca="1"/>
        <v>0</v>
      </c>
      <c r="P77">
        <f ca="1"/>
        <v>9.6713961290808097</v>
      </c>
      <c r="Q77">
        <f ca="1"/>
        <v>8.2150855150493385</v>
      </c>
      <c r="R77">
        <f ca="1"/>
        <v>1.3154330464918176</v>
      </c>
      <c r="S77">
        <f ca="1"/>
        <v>1</v>
      </c>
      <c r="T77">
        <f ca="1"/>
        <v>3.5399999999999991</v>
      </c>
      <c r="U77">
        <f ca="1"/>
        <v>0</v>
      </c>
      <c r="V77">
        <f ca="1"/>
        <v>8.8192196076200921E-2</v>
      </c>
      <c r="X77" s="2">
        <f t="shared" ca="1" si="8"/>
        <v>45453</v>
      </c>
      <c r="Y77">
        <f t="shared" ca="1" si="9"/>
        <v>0</v>
      </c>
      <c r="AA77" s="63">
        <f t="shared" ref="AA77:AA140" ca="1" si="11">K76+M77+N77+O77</f>
        <v>54.372388901022518</v>
      </c>
      <c r="AB77" s="63">
        <f t="shared" ref="AB77:AB140" ca="1" si="12">K77+L77+R77</f>
        <v>54.372388901022518</v>
      </c>
      <c r="AC77" s="3">
        <f t="shared" ref="AC77:AC140" ca="1" si="13">AB77-AA77</f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45454</v>
      </c>
      <c r="K78">
        <f ca="1"/>
        <v>52.220356753866291</v>
      </c>
      <c r="L78">
        <f ca="1"/>
        <v>0.25176702132874063</v>
      </c>
      <c r="M78">
        <f ca="1"/>
        <v>0.2064409844907118</v>
      </c>
      <c r="N78">
        <f ca="1"/>
        <v>0.50424305970547356</v>
      </c>
      <c r="O78">
        <f ca="1"/>
        <v>0</v>
      </c>
      <c r="P78">
        <f ca="1"/>
        <v>9.9231631504095503</v>
      </c>
      <c r="Q78">
        <f ca="1"/>
        <v>8.4289416721625532</v>
      </c>
      <c r="R78">
        <f ca="1"/>
        <v>1.0436335001624524</v>
      </c>
      <c r="S78">
        <f ca="1"/>
        <v>1</v>
      </c>
      <c r="T78">
        <f ca="1"/>
        <v>2.8399999999999963</v>
      </c>
      <c r="U78">
        <f ca="1"/>
        <v>0</v>
      </c>
      <c r="V78">
        <f ca="1"/>
        <v>9.1959176651384048E-2</v>
      </c>
      <c r="X78" s="2">
        <f t="shared" ca="1" si="8"/>
        <v>45454</v>
      </c>
      <c r="Y78">
        <f t="shared" ca="1" si="9"/>
        <v>0</v>
      </c>
      <c r="AA78" s="63">
        <f t="shared" ca="1" si="11"/>
        <v>53.51575727535748</v>
      </c>
      <c r="AB78" s="63">
        <f t="shared" ca="1" si="12"/>
        <v>53.51575727535748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45455</v>
      </c>
      <c r="K79">
        <f ca="1"/>
        <v>51.885500068307884</v>
      </c>
      <c r="L79">
        <f ca="1"/>
        <v>0.25093159288848099</v>
      </c>
      <c r="M79">
        <f ca="1"/>
        <v>0.19829281440204483</v>
      </c>
      <c r="N79">
        <f ca="1"/>
        <v>0.49548808839632563</v>
      </c>
      <c r="O79">
        <f ca="1"/>
        <v>0</v>
      </c>
      <c r="P79">
        <f ca="1"/>
        <v>10.174094743298031</v>
      </c>
      <c r="Q79">
        <f ca="1"/>
        <v>8.6420881989404137</v>
      </c>
      <c r="R79">
        <f ca="1"/>
        <v>0.77770599546830455</v>
      </c>
      <c r="S79">
        <f ca="1"/>
        <v>1</v>
      </c>
      <c r="T79">
        <f ca="1"/>
        <v>2.1300000000000026</v>
      </c>
      <c r="U79">
        <f ca="1"/>
        <v>0</v>
      </c>
      <c r="V79">
        <f ca="1"/>
        <v>9.5758962047095095E-2</v>
      </c>
      <c r="X79" s="2">
        <f t="shared" ca="1" si="8"/>
        <v>45455</v>
      </c>
      <c r="Y79">
        <f t="shared" ca="1" si="9"/>
        <v>0</v>
      </c>
      <c r="AA79" s="63">
        <f t="shared" ca="1" si="11"/>
        <v>52.914137656664664</v>
      </c>
      <c r="AB79" s="63">
        <f t="shared" ca="1" si="12"/>
        <v>52.914137656664671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45456</v>
      </c>
      <c r="K80">
        <f ca="1"/>
        <v>51.594230973847161</v>
      </c>
      <c r="L80">
        <f ca="1"/>
        <v>0.23507198754108849</v>
      </c>
      <c r="M80">
        <f ca="1"/>
        <v>0.18562454576017373</v>
      </c>
      <c r="N80">
        <f ca="1"/>
        <v>0.46979655527058128</v>
      </c>
      <c r="O80">
        <f ca="1"/>
        <v>0</v>
      </c>
      <c r="P80">
        <f ca="1"/>
        <v>10.40916673083912</v>
      </c>
      <c r="Q80">
        <f ca="1"/>
        <v>8.8417632462726115</v>
      </c>
      <c r="R80">
        <f ca="1"/>
        <v>0.71161820795039599</v>
      </c>
      <c r="S80">
        <f ca="1"/>
        <v>1</v>
      </c>
      <c r="T80">
        <f ca="1"/>
        <v>1.9600000000000009</v>
      </c>
      <c r="U80">
        <f ca="1"/>
        <v>0</v>
      </c>
      <c r="V80">
        <f ca="1"/>
        <v>9.9357985999534076E-2</v>
      </c>
      <c r="X80" s="2">
        <f t="shared" ca="1" si="8"/>
        <v>45456</v>
      </c>
      <c r="Y80">
        <f t="shared" ca="1" si="9"/>
        <v>0</v>
      </c>
      <c r="AA80" s="63">
        <f t="shared" ca="1" si="11"/>
        <v>52.540921169338638</v>
      </c>
      <c r="AB80" s="63">
        <f t="shared" ca="1" si="12"/>
        <v>52.540921169338645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45457</v>
      </c>
      <c r="K81">
        <f ca="1"/>
        <v>50.207262657003582</v>
      </c>
      <c r="L81">
        <f ca="1"/>
        <v>0.24266851462249406</v>
      </c>
      <c r="M81">
        <f ca="1"/>
        <v>0.18158941381964766</v>
      </c>
      <c r="N81">
        <f ca="1"/>
        <v>0.47246055120326713</v>
      </c>
      <c r="O81">
        <f ca="1"/>
        <v>0</v>
      </c>
      <c r="P81">
        <f ca="1"/>
        <v>10.651835245461614</v>
      </c>
      <c r="Q81">
        <f ca="1"/>
        <v>9.0478909420909464</v>
      </c>
      <c r="R81">
        <f ca="1"/>
        <v>1.798349767244005</v>
      </c>
      <c r="S81">
        <f ca="1"/>
        <v>1</v>
      </c>
      <c r="T81">
        <f ca="1"/>
        <v>5.0899999999999963</v>
      </c>
      <c r="U81">
        <f ca="1"/>
        <v>0</v>
      </c>
      <c r="V81">
        <f ca="1"/>
        <v>0.10311167289569151</v>
      </c>
      <c r="X81" s="2">
        <f t="shared" ca="1" si="8"/>
        <v>45457</v>
      </c>
      <c r="Y81">
        <f t="shared" ca="1" si="9"/>
        <v>0</v>
      </c>
      <c r="AA81" s="63">
        <f t="shared" ca="1" si="11"/>
        <v>52.248280938870082</v>
      </c>
      <c r="AB81" s="63">
        <f t="shared" ca="1" si="12"/>
        <v>52.248280938870082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45458</v>
      </c>
      <c r="K82">
        <f ca="1"/>
        <v>49.591186976521172</v>
      </c>
      <c r="L82">
        <f ca="1"/>
        <v>0.22518487114262342</v>
      </c>
      <c r="M82">
        <f ca="1"/>
        <v>0.17011276839880551</v>
      </c>
      <c r="N82">
        <f ca="1"/>
        <v>0.4475342285135509</v>
      </c>
      <c r="O82">
        <f ca="1"/>
        <v>0</v>
      </c>
      <c r="P82">
        <f ca="1"/>
        <v>10.877020116604237</v>
      </c>
      <c r="Q82">
        <f ca="1"/>
        <v>9.2391676666136373</v>
      </c>
      <c r="R82">
        <f ca="1"/>
        <v>1.0085378062521402</v>
      </c>
      <c r="S82">
        <f ca="1"/>
        <v>1</v>
      </c>
      <c r="T82">
        <f ca="1"/>
        <v>2.8900000000000006</v>
      </c>
      <c r="U82">
        <f ca="1"/>
        <v>0</v>
      </c>
      <c r="V82">
        <f ca="1"/>
        <v>0.10662837073419798</v>
      </c>
      <c r="X82" s="2">
        <f t="shared" ca="1" si="8"/>
        <v>45458</v>
      </c>
      <c r="Y82">
        <f t="shared" ca="1" si="9"/>
        <v>0</v>
      </c>
      <c r="AA82" s="63">
        <f t="shared" ca="1" si="11"/>
        <v>50.824909653915945</v>
      </c>
      <c r="AB82" s="63">
        <f t="shared" ca="1" si="12"/>
        <v>50.824909653915938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45459</v>
      </c>
      <c r="K83">
        <f ca="1"/>
        <v>48.811331078179371</v>
      </c>
      <c r="L83">
        <f ca="1"/>
        <v>0.2326350096669394</v>
      </c>
      <c r="M83">
        <f ca="1"/>
        <v>0.16665102646058827</v>
      </c>
      <c r="N83">
        <f ca="1"/>
        <v>0.45054950514067449</v>
      </c>
      <c r="O83">
        <f ca="1"/>
        <v>0</v>
      </c>
      <c r="P83">
        <f ca="1"/>
        <v>11.109655126271177</v>
      </c>
      <c r="Q83">
        <f ca="1"/>
        <v>9.4367726941299583</v>
      </c>
      <c r="R83">
        <f ca="1"/>
        <v>1.1644214202761236</v>
      </c>
      <c r="S83">
        <f ca="1"/>
        <v>1</v>
      </c>
      <c r="T83">
        <f ca="1"/>
        <v>3.3900000000000006</v>
      </c>
      <c r="U83">
        <f ca="1"/>
        <v>0</v>
      </c>
      <c r="V83">
        <f ca="1"/>
        <v>0.11029384046451601</v>
      </c>
      <c r="X83" s="2">
        <f t="shared" ca="1" si="8"/>
        <v>45459</v>
      </c>
      <c r="Y83">
        <f t="shared" ca="1" si="9"/>
        <v>0</v>
      </c>
      <c r="AA83" s="63">
        <f t="shared" ca="1" si="11"/>
        <v>50.208387508122428</v>
      </c>
      <c r="AB83" s="63">
        <f t="shared" ca="1" si="12"/>
        <v>50.208387508122435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45460</v>
      </c>
      <c r="K84">
        <f ca="1"/>
        <v>47.971910078097345</v>
      </c>
      <c r="L84">
        <f ca="1"/>
        <v>0.25962194562135998</v>
      </c>
      <c r="M84">
        <f ca="1"/>
        <v>0.16844483239873043</v>
      </c>
      <c r="N84">
        <f ca="1"/>
        <v>0.47379610394487243</v>
      </c>
      <c r="O84">
        <f ca="1"/>
        <v>0</v>
      </c>
      <c r="P84">
        <f ca="1"/>
        <v>11.369277071892537</v>
      </c>
      <c r="Q84">
        <f ca="1"/>
        <v>9.6573009877079468</v>
      </c>
      <c r="R84">
        <f ca="1"/>
        <v>1.2220399908042716</v>
      </c>
      <c r="S84">
        <f ca="1"/>
        <v>1</v>
      </c>
      <c r="T84">
        <f ca="1"/>
        <v>3.6199999999999974</v>
      </c>
      <c r="U84">
        <f ca="1"/>
        <v>0</v>
      </c>
      <c r="V84">
        <f ca="1"/>
        <v>0.1144217369514853</v>
      </c>
      <c r="X84" s="2">
        <f t="shared" ca="1" si="8"/>
        <v>45460</v>
      </c>
      <c r="Y84">
        <f t="shared" ca="1" si="9"/>
        <v>0</v>
      </c>
      <c r="AA84" s="63">
        <f t="shared" ca="1" si="11"/>
        <v>49.453572014522969</v>
      </c>
      <c r="AB84" s="63">
        <f t="shared" ca="1" si="12"/>
        <v>49.453572014522976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45461</v>
      </c>
      <c r="K85">
        <f ca="1"/>
        <v>47.360137557192822</v>
      </c>
      <c r="L85">
        <f ca="1"/>
        <v>0.25044996653792495</v>
      </c>
      <c r="M85">
        <f ca="1"/>
        <v>0.16014413742782807</v>
      </c>
      <c r="N85">
        <f ca="1"/>
        <v>0.45836193188882407</v>
      </c>
      <c r="O85">
        <f ca="1"/>
        <v>0</v>
      </c>
      <c r="P85">
        <f ca="1"/>
        <v>11.619727038430462</v>
      </c>
      <c r="Q85">
        <f ca="1"/>
        <v>9.8700384110220138</v>
      </c>
      <c r="R85">
        <f ca="1"/>
        <v>0.97982862368325496</v>
      </c>
      <c r="S85">
        <f ca="1"/>
        <v>1</v>
      </c>
      <c r="T85">
        <f ca="1"/>
        <v>2.9399999999999977</v>
      </c>
      <c r="U85">
        <f ca="1"/>
        <v>0</v>
      </c>
      <c r="V85">
        <f ca="1"/>
        <v>0.11843926863522952</v>
      </c>
      <c r="X85" s="2">
        <f t="shared" ca="1" si="8"/>
        <v>45461</v>
      </c>
      <c r="Y85">
        <f t="shared" ca="1" si="9"/>
        <v>0</v>
      </c>
      <c r="AA85" s="63">
        <f t="shared" ca="1" si="11"/>
        <v>48.590416147413997</v>
      </c>
      <c r="AB85" s="63">
        <f t="shared" ca="1" si="12"/>
        <v>48.590416147413997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45462</v>
      </c>
      <c r="K86">
        <f ca="1"/>
        <v>46.214775690524476</v>
      </c>
      <c r="L86">
        <f ca="1"/>
        <v>0.26274037121767968</v>
      </c>
      <c r="M86">
        <f ca="1"/>
        <v>0.15774675426009921</v>
      </c>
      <c r="N86">
        <f ca="1"/>
        <v>0.46537760862087602</v>
      </c>
      <c r="O86">
        <f ca="1"/>
        <v>0</v>
      </c>
      <c r="P86">
        <f ca="1"/>
        <v>11.882467409648141</v>
      </c>
      <c r="Q86">
        <f ca="1"/>
        <v>10.093215560318885</v>
      </c>
      <c r="R86">
        <f ca="1"/>
        <v>1.5057458583316421</v>
      </c>
      <c r="S86">
        <f ca="1"/>
        <v>1</v>
      </c>
      <c r="T86">
        <f ca="1"/>
        <v>4.6299999999999955</v>
      </c>
      <c r="U86">
        <f ca="1"/>
        <v>0</v>
      </c>
      <c r="V86">
        <f ca="1"/>
        <v>0.12268951467067314</v>
      </c>
      <c r="X86" s="2">
        <f t="shared" ca="1" si="8"/>
        <v>45462</v>
      </c>
      <c r="Y86">
        <f t="shared" ca="1" si="9"/>
        <v>0</v>
      </c>
      <c r="AA86" s="63">
        <f t="shared" ca="1" si="11"/>
        <v>47.983261920073794</v>
      </c>
      <c r="AB86" s="63">
        <f t="shared" ca="1" si="12"/>
        <v>47.983261920073801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45463</v>
      </c>
      <c r="K87">
        <f ca="1"/>
        <v>46.27016238067737</v>
      </c>
      <c r="L87">
        <f ca="1"/>
        <v>0.27335112885067403</v>
      </c>
      <c r="M87">
        <f ca="1"/>
        <v>0.15479833266476817</v>
      </c>
      <c r="N87">
        <f ca="1"/>
        <v>0.47023989654691062</v>
      </c>
      <c r="O87">
        <f ca="1"/>
        <v>0</v>
      </c>
      <c r="P87">
        <f ca="1"/>
        <v>12.155818538498815</v>
      </c>
      <c r="Q87">
        <f ca="1"/>
        <v>10.325405708377374</v>
      </c>
      <c r="R87">
        <f ca="1"/>
        <v>0.29630041020811432</v>
      </c>
      <c r="S87">
        <f ca="1"/>
        <v>1</v>
      </c>
      <c r="T87">
        <f ca="1"/>
        <v>0.90999999999999659</v>
      </c>
      <c r="U87">
        <f ca="1"/>
        <v>0</v>
      </c>
      <c r="V87">
        <f ca="1"/>
        <v>0.12714801375432142</v>
      </c>
      <c r="X87" s="2">
        <f t="shared" ca="1" si="8"/>
        <v>45463</v>
      </c>
      <c r="Y87">
        <f t="shared" ca="1" si="9"/>
        <v>0</v>
      </c>
      <c r="AA87" s="63">
        <f t="shared" ca="1" si="11"/>
        <v>46.839813919736152</v>
      </c>
      <c r="AB87" s="63">
        <f t="shared" ca="1" si="12"/>
        <v>46.839813919736152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45464</v>
      </c>
      <c r="K88">
        <f ca="1"/>
        <v>46.322040708115267</v>
      </c>
      <c r="L88">
        <f ca="1"/>
        <v>0.26384222561599202</v>
      </c>
      <c r="M88">
        <f ca="1"/>
        <v>0.1472603936265422</v>
      </c>
      <c r="N88">
        <f ca="1"/>
        <v>0.45531368559019447</v>
      </c>
      <c r="O88">
        <f ca="1"/>
        <v>0</v>
      </c>
      <c r="P88">
        <f ca="1"/>
        <v>12.419660764114807</v>
      </c>
      <c r="Q88">
        <f ca="1"/>
        <v>10.549518795773198</v>
      </c>
      <c r="R88">
        <f ca="1"/>
        <v>0.28685352616284565</v>
      </c>
      <c r="S88">
        <f ca="1"/>
        <v>1</v>
      </c>
      <c r="T88">
        <f ca="1"/>
        <v>0.87999999999999545</v>
      </c>
      <c r="U88">
        <f ca="1"/>
        <v>0</v>
      </c>
      <c r="V88">
        <f ca="1"/>
        <v>0.13148484787895393</v>
      </c>
      <c r="X88" s="2">
        <f t="shared" ca="1" si="8"/>
        <v>45464</v>
      </c>
      <c r="Y88">
        <f t="shared" ca="1" si="9"/>
        <v>0</v>
      </c>
      <c r="AA88" s="63">
        <f t="shared" ca="1" si="11"/>
        <v>46.872736459894107</v>
      </c>
      <c r="AB88" s="63">
        <f t="shared" ca="1" si="12"/>
        <v>46.872736459894099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45465</v>
      </c>
      <c r="K89">
        <f ca="1"/>
        <v>45.466068346786436</v>
      </c>
      <c r="L89">
        <f ca="1"/>
        <v>0.25721074221566198</v>
      </c>
      <c r="M89">
        <f ca="1"/>
        <v>0.14093621877877283</v>
      </c>
      <c r="N89">
        <f ca="1"/>
        <v>0.44410386758179171</v>
      </c>
      <c r="O89">
        <f ca="1"/>
        <v>0</v>
      </c>
      <c r="P89">
        <f ca="1"/>
        <v>12.676871506330469</v>
      </c>
      <c r="Q89">
        <f ca="1"/>
        <v>10.767998962906191</v>
      </c>
      <c r="R89">
        <f ca="1"/>
        <v>1.1838017054737366</v>
      </c>
      <c r="S89">
        <f ca="1"/>
        <v>1</v>
      </c>
      <c r="T89">
        <f ca="1"/>
        <v>3.7000000000000028</v>
      </c>
      <c r="U89">
        <f ca="1"/>
        <v>0</v>
      </c>
      <c r="V89">
        <f ca="1"/>
        <v>0.13574246420159888</v>
      </c>
      <c r="X89" s="2">
        <f t="shared" ca="1" si="8"/>
        <v>45465</v>
      </c>
      <c r="Y89">
        <f t="shared" ca="1" si="9"/>
        <v>0</v>
      </c>
      <c r="AA89" s="63">
        <f t="shared" ca="1" si="11"/>
        <v>46.907080794475839</v>
      </c>
      <c r="AB89" s="63">
        <f t="shared" ca="1" si="12"/>
        <v>46.907080794475831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45466</v>
      </c>
      <c r="K90">
        <f ca="1"/>
        <v>44.145517752859483</v>
      </c>
      <c r="L90">
        <f ca="1"/>
        <v>0.26752272805553901</v>
      </c>
      <c r="M90">
        <f ca="1"/>
        <v>0.13839844942289403</v>
      </c>
      <c r="N90">
        <f ca="1"/>
        <v>0.44882492210082653</v>
      </c>
      <c r="O90">
        <f ca="1"/>
        <v>0</v>
      </c>
      <c r="P90">
        <f ca="1"/>
        <v>12.944394234386008</v>
      </c>
      <c r="Q90">
        <f ca="1"/>
        <v>10.99523834581051</v>
      </c>
      <c r="R90">
        <f ca="1"/>
        <v>1.640251237395135</v>
      </c>
      <c r="S90">
        <f ca="1"/>
        <v>1</v>
      </c>
      <c r="T90">
        <f ca="1"/>
        <v>5.2800000000000011</v>
      </c>
      <c r="U90">
        <f ca="1"/>
        <v>0</v>
      </c>
      <c r="V90">
        <f ca="1"/>
        <v>0.14020010751330264</v>
      </c>
      <c r="X90" s="2">
        <f t="shared" ca="1" si="8"/>
        <v>45466</v>
      </c>
      <c r="Y90">
        <f t="shared" ca="1" si="9"/>
        <v>0</v>
      </c>
      <c r="AA90" s="63">
        <f t="shared" ca="1" si="11"/>
        <v>46.053291718310156</v>
      </c>
      <c r="AB90" s="63">
        <f t="shared" ca="1" si="12"/>
        <v>46.053291718310156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45467</v>
      </c>
      <c r="K91">
        <f ca="1"/>
        <v>42.248036699785246</v>
      </c>
      <c r="L91">
        <f ca="1"/>
        <v>0.28114874678986013</v>
      </c>
      <c r="M91">
        <f ca="1"/>
        <v>0.1364308131473102</v>
      </c>
      <c r="N91">
        <f ca="1"/>
        <v>0.45618330312709132</v>
      </c>
      <c r="O91">
        <f ca="1"/>
        <v>0</v>
      </c>
      <c r="P91">
        <f ca="1"/>
        <v>13.225542981175868</v>
      </c>
      <c r="Q91">
        <f ca="1"/>
        <v>11.234051953122361</v>
      </c>
      <c r="R91">
        <f ca="1"/>
        <v>2.208946422558772</v>
      </c>
      <c r="S91">
        <f ca="1"/>
        <v>1</v>
      </c>
      <c r="T91">
        <f ca="1"/>
        <v>7.43</v>
      </c>
      <c r="U91">
        <f ca="1"/>
        <v>0</v>
      </c>
      <c r="V91">
        <f ca="1"/>
        <v>0.14491497063822259</v>
      </c>
      <c r="X91" s="2">
        <f t="shared" ca="1" si="8"/>
        <v>45467</v>
      </c>
      <c r="Y91">
        <f t="shared" ca="1" si="9"/>
        <v>0</v>
      </c>
      <c r="AA91" s="63">
        <f t="shared" ca="1" si="11"/>
        <v>44.738131869133881</v>
      </c>
      <c r="AB91" s="63">
        <f t="shared" ca="1" si="12"/>
        <v>44.738131869133881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45468</v>
      </c>
      <c r="K92">
        <f ca="1"/>
        <v>41.825150850983448</v>
      </c>
      <c r="L92">
        <f ca="1"/>
        <v>0.2686769620938847</v>
      </c>
      <c r="M92">
        <f ca="1"/>
        <v>0.12956628125351344</v>
      </c>
      <c r="N92">
        <f ca="1"/>
        <v>0.44026466565893696</v>
      </c>
      <c r="O92">
        <f ca="1"/>
        <v>0</v>
      </c>
      <c r="P92">
        <f ca="1"/>
        <v>13.494219943269753</v>
      </c>
      <c r="Q92">
        <f ca="1"/>
        <v>11.462271766483962</v>
      </c>
      <c r="R92">
        <f ca="1"/>
        <v>0.72403983362035618</v>
      </c>
      <c r="S92">
        <f ca="1"/>
        <v>1</v>
      </c>
      <c r="T92">
        <f ca="1"/>
        <v>2.4599999999999937</v>
      </c>
      <c r="U92">
        <f ca="1"/>
        <v>0</v>
      </c>
      <c r="V92">
        <f ca="1"/>
        <v>0.14944761464742648</v>
      </c>
      <c r="X92" s="2">
        <f t="shared" ca="1" si="8"/>
        <v>45468</v>
      </c>
      <c r="Y92">
        <f t="shared" ca="1" si="9"/>
        <v>0</v>
      </c>
      <c r="AA92" s="63">
        <f t="shared" ca="1" si="11"/>
        <v>42.8178676466977</v>
      </c>
      <c r="AB92" s="63">
        <f t="shared" ca="1" si="12"/>
        <v>42.817867646697692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45469</v>
      </c>
      <c r="K93">
        <f ca="1"/>
        <v>41.724470127062411</v>
      </c>
      <c r="L93">
        <f ca="1"/>
        <v>0.27891297508976542</v>
      </c>
      <c r="M93">
        <f ca="1"/>
        <v>0.12714680166399361</v>
      </c>
      <c r="N93">
        <f ca="1"/>
        <v>0.44453174929548334</v>
      </c>
      <c r="O93">
        <f ca="1"/>
        <v>0</v>
      </c>
      <c r="P93">
        <f ca="1"/>
        <v>13.773132918359519</v>
      </c>
      <c r="Q93">
        <f ca="1"/>
        <v>11.699186262699206</v>
      </c>
      <c r="R93">
        <f ca="1"/>
        <v>0.39344629979074297</v>
      </c>
      <c r="S93">
        <f ca="1"/>
        <v>1</v>
      </c>
      <c r="T93">
        <f ca="1"/>
        <v>1.3399999999999963</v>
      </c>
      <c r="U93">
        <f ca="1"/>
        <v>0</v>
      </c>
      <c r="V93">
        <f ca="1"/>
        <v>0.15417876856878157</v>
      </c>
      <c r="X93" s="2">
        <f t="shared" ca="1" si="8"/>
        <v>45469</v>
      </c>
      <c r="Y93">
        <f t="shared" ca="1" si="9"/>
        <v>0</v>
      </c>
      <c r="AA93" s="63">
        <f t="shared" ca="1" si="11"/>
        <v>42.396829401942931</v>
      </c>
      <c r="AB93" s="63">
        <f t="shared" ca="1" si="12"/>
        <v>42.396829401942924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45470</v>
      </c>
      <c r="K94">
        <f ca="1"/>
        <v>40.76079766145196</v>
      </c>
      <c r="L94">
        <f ca="1"/>
        <v>0.2782342759204397</v>
      </c>
      <c r="M94">
        <f ca="1"/>
        <v>0.1228807404167398</v>
      </c>
      <c r="N94">
        <f ca="1"/>
        <v>0.43941437608547029</v>
      </c>
      <c r="O94">
        <f ca="1"/>
        <v>0</v>
      </c>
      <c r="P94">
        <f ca="1"/>
        <v>14.051367194279958</v>
      </c>
      <c r="Q94">
        <f ca="1"/>
        <v>11.93552425768954</v>
      </c>
      <c r="R94">
        <f ca="1"/>
        <v>1.2477333061922222</v>
      </c>
      <c r="S94">
        <f ca="1"/>
        <v>1</v>
      </c>
      <c r="T94">
        <f ca="1"/>
        <v>4.3499999999999943</v>
      </c>
      <c r="U94">
        <f ca="1"/>
        <v>0</v>
      </c>
      <c r="V94">
        <f ca="1"/>
        <v>0.15892262082518185</v>
      </c>
      <c r="X94" s="2">
        <f t="shared" ca="1" si="8"/>
        <v>45470</v>
      </c>
      <c r="Y94">
        <f t="shared" ca="1" si="9"/>
        <v>0</v>
      </c>
      <c r="AA94" s="63">
        <f t="shared" ca="1" si="11"/>
        <v>42.286765243564624</v>
      </c>
      <c r="AB94" s="63">
        <f t="shared" ca="1" si="12"/>
        <v>42.286765243564624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45471</v>
      </c>
      <c r="K95">
        <f ca="1"/>
        <v>39.920969437305303</v>
      </c>
      <c r="L95">
        <f ca="1"/>
        <v>0.28881063541540897</v>
      </c>
      <c r="M95">
        <f ca="1"/>
        <v>0.12057976627311362</v>
      </c>
      <c r="N95">
        <f ca="1"/>
        <v>0.44367624672005479</v>
      </c>
      <c r="O95">
        <f ca="1"/>
        <v>0</v>
      </c>
      <c r="P95">
        <f ca="1"/>
        <v>14.340177829695367</v>
      </c>
      <c r="Q95">
        <f ca="1"/>
        <v>12.180846032945874</v>
      </c>
      <c r="R95">
        <f ca="1"/>
        <v>1.1152736017244214</v>
      </c>
      <c r="S95">
        <f ca="1"/>
        <v>1</v>
      </c>
      <c r="T95">
        <f ca="1"/>
        <v>3.9699999999999989</v>
      </c>
      <c r="U95">
        <f ca="1"/>
        <v>0</v>
      </c>
      <c r="V95">
        <f ca="1"/>
        <v>0.16387025421830079</v>
      </c>
      <c r="X95" s="2">
        <f t="shared" ca="1" si="8"/>
        <v>45471</v>
      </c>
      <c r="Y95">
        <f t="shared" ca="1" si="9"/>
        <v>0</v>
      </c>
      <c r="AA95" s="63">
        <f t="shared" ca="1" si="11"/>
        <v>41.325053674445122</v>
      </c>
      <c r="AB95" s="63">
        <f t="shared" ca="1" si="12"/>
        <v>41.32505367444513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45472</v>
      </c>
      <c r="K96">
        <f ca="1"/>
        <v>38.51779322826939</v>
      </c>
      <c r="L96">
        <f ca="1"/>
        <v>0.2992503674412692</v>
      </c>
      <c r="M96">
        <f ca="1"/>
        <v>0.1182149370905563</v>
      </c>
      <c r="N96">
        <f ca="1"/>
        <v>0.4475342285135509</v>
      </c>
      <c r="O96">
        <f ca="1"/>
        <v>0</v>
      </c>
      <c r="P96">
        <f ca="1"/>
        <v>14.639428197136636</v>
      </c>
      <c r="Q96">
        <f ca="1"/>
        <v>12.435035534247337</v>
      </c>
      <c r="R96">
        <f ca="1"/>
        <v>1.6696750071987578</v>
      </c>
      <c r="S96">
        <f ca="1"/>
        <v>1</v>
      </c>
      <c r="T96">
        <f ca="1"/>
        <v>6.1599999999999966</v>
      </c>
      <c r="U96">
        <f ca="1"/>
        <v>0</v>
      </c>
      <c r="V96">
        <f ca="1"/>
        <v>0.16901965132386748</v>
      </c>
      <c r="X96" s="2">
        <f t="shared" ca="1" si="8"/>
        <v>45472</v>
      </c>
      <c r="Y96">
        <f t="shared" ca="1" si="9"/>
        <v>0</v>
      </c>
      <c r="AA96" s="63">
        <f t="shared" ca="1" si="11"/>
        <v>40.486718602909413</v>
      </c>
      <c r="AB96" s="63">
        <f t="shared" ca="1" si="12"/>
        <v>40.486718602909413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45473</v>
      </c>
      <c r="K97">
        <f ca="1"/>
        <v>38.215993046544099</v>
      </c>
      <c r="L97">
        <f ca="1"/>
        <v>0.27199420668990726</v>
      </c>
      <c r="M97">
        <f ca="1"/>
        <v>0.11045380262729054</v>
      </c>
      <c r="N97">
        <f ca="1"/>
        <v>0.42179840155150827</v>
      </c>
      <c r="O97">
        <f ca="1"/>
        <v>0</v>
      </c>
      <c r="P97">
        <f ca="1"/>
        <v>14.911422403826544</v>
      </c>
      <c r="Q97">
        <f ca="1"/>
        <v>12.666073084331426</v>
      </c>
      <c r="R97">
        <f ca="1"/>
        <v>0.56205817921417356</v>
      </c>
      <c r="S97">
        <f ca="1"/>
        <v>1</v>
      </c>
      <c r="T97">
        <f ca="1"/>
        <v>2.0900000000000034</v>
      </c>
      <c r="U97">
        <f ca="1"/>
        <v>0</v>
      </c>
      <c r="V97">
        <f ca="1"/>
        <v>0.17371831234579307</v>
      </c>
      <c r="X97" s="2">
        <f t="shared" ca="1" si="8"/>
        <v>45473</v>
      </c>
      <c r="Y97">
        <f t="shared" ca="1" si="9"/>
        <v>0</v>
      </c>
      <c r="AA97" s="63">
        <f t="shared" ca="1" si="11"/>
        <v>39.050045432448186</v>
      </c>
      <c r="AB97" s="63">
        <f t="shared" ca="1" si="12"/>
        <v>39.050045432448186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45474</v>
      </c>
      <c r="K98">
        <f ca="1"/>
        <v>61.221708469677175</v>
      </c>
      <c r="L98">
        <f ca="1"/>
        <v>0.25026550465083908</v>
      </c>
      <c r="M98">
        <f ca="1"/>
        <v>0.10423224965714439</v>
      </c>
      <c r="N98">
        <f ca="1"/>
        <v>0.40222433209507502</v>
      </c>
      <c r="O98">
        <f ca="1"/>
        <v>24</v>
      </c>
      <c r="P98">
        <f ca="1"/>
        <v>15.161687908477383</v>
      </c>
      <c r="Q98">
        <f ca="1"/>
        <v>12.878653821872684</v>
      </c>
      <c r="R98">
        <f ca="1"/>
        <v>1.2504756539683051</v>
      </c>
      <c r="S98">
        <f ca="1"/>
        <v>1</v>
      </c>
      <c r="T98">
        <f ca="1"/>
        <v>2.9400000000000048</v>
      </c>
      <c r="U98">
        <f ca="1"/>
        <v>0</v>
      </c>
      <c r="V98">
        <f ca="1"/>
        <v>0.17805545077762031</v>
      </c>
      <c r="X98" s="2">
        <f t="shared" ca="1" si="8"/>
        <v>45474</v>
      </c>
      <c r="Y98">
        <f t="shared" ca="1" si="9"/>
        <v>24</v>
      </c>
      <c r="AA98" s="63">
        <f t="shared" ca="1" si="11"/>
        <v>62.722449628296317</v>
      </c>
      <c r="AB98" s="63">
        <f t="shared" ca="1" si="12"/>
        <v>62.722449628296317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45475</v>
      </c>
      <c r="K99">
        <f ca="1"/>
        <v>60.61715082817669</v>
      </c>
      <c r="L99">
        <f ca="1"/>
        <v>0.26153180805835596</v>
      </c>
      <c r="M99">
        <f ca="1"/>
        <v>0.1026373612530378</v>
      </c>
      <c r="N99">
        <f ca="1"/>
        <v>0.40746707621991463</v>
      </c>
      <c r="O99">
        <f ca="1"/>
        <v>0</v>
      </c>
      <c r="P99">
        <f ca="1"/>
        <v>15.423219716535739</v>
      </c>
      <c r="Q99">
        <f ca="1"/>
        <v>13.100804392424182</v>
      </c>
      <c r="R99">
        <f ca="1"/>
        <v>0.85313027091507931</v>
      </c>
      <c r="S99">
        <f ca="1"/>
        <v>1</v>
      </c>
      <c r="T99">
        <f ca="1"/>
        <v>2</v>
      </c>
      <c r="U99">
        <f ca="1"/>
        <v>0</v>
      </c>
      <c r="V99">
        <f ca="1"/>
        <v>0.18260053697251247</v>
      </c>
      <c r="X99" s="2">
        <f t="shared" ca="1" si="8"/>
        <v>45475</v>
      </c>
      <c r="Y99">
        <f t="shared" ca="1" si="9"/>
        <v>0</v>
      </c>
      <c r="AA99" s="63">
        <f t="shared" ca="1" si="11"/>
        <v>61.731812907150129</v>
      </c>
      <c r="AB99" s="63">
        <f t="shared" ca="1" si="12"/>
        <v>61.731812907150129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45476</v>
      </c>
      <c r="K100">
        <f ca="1"/>
        <v>59.200765921837224</v>
      </c>
      <c r="L100">
        <f ca="1"/>
        <v>0.29318466814407707</v>
      </c>
      <c r="M100">
        <f ca="1"/>
        <v>0.10349168845136347</v>
      </c>
      <c r="N100">
        <f ca="1"/>
        <v>0.42720206353257301</v>
      </c>
      <c r="O100">
        <f ca="1"/>
        <v>0</v>
      </c>
      <c r="P100">
        <f ca="1"/>
        <v>15.716404384679816</v>
      </c>
      <c r="Q100">
        <f ca="1"/>
        <v>13.349841562276293</v>
      </c>
      <c r="R100">
        <f ca="1"/>
        <v>1.6538939901793259</v>
      </c>
      <c r="S100">
        <f ca="1"/>
        <v>1</v>
      </c>
      <c r="T100">
        <f ca="1"/>
        <v>3.9699999999999989</v>
      </c>
      <c r="U100">
        <f ca="1"/>
        <v>0</v>
      </c>
      <c r="V100">
        <f ca="1"/>
        <v>0.1877093487412588</v>
      </c>
      <c r="X100" s="2">
        <f t="shared" ca="1" si="8"/>
        <v>45476</v>
      </c>
      <c r="Y100">
        <f t="shared" ca="1" si="9"/>
        <v>0</v>
      </c>
      <c r="AA100" s="63">
        <f t="shared" ca="1" si="11"/>
        <v>61.14784458016063</v>
      </c>
      <c r="AB100" s="63">
        <f t="shared" ca="1" si="12"/>
        <v>61.14784458016063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45477</v>
      </c>
      <c r="K101">
        <f ca="1"/>
        <v>58.797117422832507</v>
      </c>
      <c r="L101">
        <f ca="1"/>
        <v>0.32753647260626195</v>
      </c>
      <c r="M101">
        <f ca="1"/>
        <v>0.10440493325725697</v>
      </c>
      <c r="N101">
        <f ca="1"/>
        <v>0.4483944296670348</v>
      </c>
      <c r="O101">
        <f ca="1"/>
        <v>0</v>
      </c>
      <c r="P101">
        <f ca="1"/>
        <v>16.043940857286078</v>
      </c>
      <c r="Q101">
        <f ca="1"/>
        <v>13.628057871053814</v>
      </c>
      <c r="R101">
        <f ca="1"/>
        <v>0.62891138932274304</v>
      </c>
      <c r="S101">
        <f ca="1"/>
        <v>1</v>
      </c>
      <c r="T101">
        <f ca="1"/>
        <v>1.5200000000000031</v>
      </c>
      <c r="U101">
        <f ca="1"/>
        <v>0</v>
      </c>
      <c r="V101">
        <f ca="1"/>
        <v>0.19343140344549814</v>
      </c>
      <c r="X101" s="2">
        <f t="shared" ca="1" si="8"/>
        <v>45477</v>
      </c>
      <c r="Y101">
        <f t="shared" ca="1" si="9"/>
        <v>0</v>
      </c>
      <c r="AA101" s="63">
        <f t="shared" ca="1" si="11"/>
        <v>59.753565284761514</v>
      </c>
      <c r="AB101" s="63">
        <f t="shared" ca="1" si="12"/>
        <v>59.753565284761514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45478</v>
      </c>
      <c r="K102">
        <f ca="1"/>
        <v>57.741883020327748</v>
      </c>
      <c r="L102">
        <f ca="1"/>
        <v>0.33100468863443666</v>
      </c>
      <c r="M102">
        <f ca="1"/>
        <v>0.10134283888652362</v>
      </c>
      <c r="N102">
        <f ca="1"/>
        <v>0.44624588547237465</v>
      </c>
      <c r="O102">
        <f ca="1"/>
        <v>0</v>
      </c>
      <c r="P102">
        <f ca="1"/>
        <v>16.374945545920514</v>
      </c>
      <c r="Q102">
        <f ca="1"/>
        <v>13.90922015483596</v>
      </c>
      <c r="R102">
        <f ca="1"/>
        <v>1.2718184382292173</v>
      </c>
      <c r="S102">
        <f ca="1"/>
        <v>1</v>
      </c>
      <c r="T102">
        <f ca="1"/>
        <v>3.1299999999999955</v>
      </c>
      <c r="U102">
        <f ca="1"/>
        <v>0</v>
      </c>
      <c r="V102">
        <f ca="1"/>
        <v>0.1992270628834463</v>
      </c>
      <c r="X102" s="2">
        <f t="shared" ca="1" si="8"/>
        <v>45478</v>
      </c>
      <c r="Y102">
        <f t="shared" ca="1" si="9"/>
        <v>0</v>
      </c>
      <c r="AA102" s="63">
        <f t="shared" ca="1" si="11"/>
        <v>59.344706147191403</v>
      </c>
      <c r="AB102" s="63">
        <f t="shared" ca="1" si="12"/>
        <v>59.344706147191403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45479</v>
      </c>
      <c r="K103">
        <f ca="1"/>
        <v>57.360735550009295</v>
      </c>
      <c r="L103">
        <f ca="1"/>
        <v>0.33380522989197914</v>
      </c>
      <c r="M103">
        <f ca="1"/>
        <v>9.830995883764615E-2</v>
      </c>
      <c r="N103">
        <f ca="1"/>
        <v>0.44367624672005479</v>
      </c>
      <c r="O103">
        <f ca="1"/>
        <v>0</v>
      </c>
      <c r="P103">
        <f ca="1"/>
        <v>16.708750775812494</v>
      </c>
      <c r="Q103">
        <f ca="1"/>
        <v>14.192761276751929</v>
      </c>
      <c r="R103">
        <f ca="1"/>
        <v>0.58932844598417278</v>
      </c>
      <c r="S103">
        <f ca="1"/>
        <v>1</v>
      </c>
      <c r="T103">
        <f ca="1"/>
        <v>1.460000000000008</v>
      </c>
      <c r="U103">
        <f ca="1"/>
        <v>0</v>
      </c>
      <c r="V103">
        <f ca="1"/>
        <v>0.2050822284088325</v>
      </c>
      <c r="X103" s="2">
        <f t="shared" ca="1" si="8"/>
        <v>45479</v>
      </c>
      <c r="Y103">
        <f t="shared" ca="1" si="9"/>
        <v>0</v>
      </c>
      <c r="AA103" s="63">
        <f t="shared" ca="1" si="11"/>
        <v>58.283869225885446</v>
      </c>
      <c r="AB103" s="63">
        <f t="shared" ca="1" si="12"/>
        <v>58.283869225885446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45480</v>
      </c>
      <c r="K104">
        <f ca="1"/>
        <v>56.588188283033759</v>
      </c>
      <c r="L104">
        <f ca="1"/>
        <v>0.32171656557376238</v>
      </c>
      <c r="M104">
        <f ca="1"/>
        <v>9.3822866142104999E-2</v>
      </c>
      <c r="N104">
        <f ca="1"/>
        <v>0.43096871563213413</v>
      </c>
      <c r="O104">
        <f ca="1"/>
        <v>0</v>
      </c>
      <c r="P104">
        <f ca="1"/>
        <v>17.030467341386256</v>
      </c>
      <c r="Q104">
        <f ca="1"/>
        <v>14.466034035154351</v>
      </c>
      <c r="R104">
        <f ca="1"/>
        <v>0.97562228317600619</v>
      </c>
      <c r="S104">
        <f ca="1"/>
        <v>1</v>
      </c>
      <c r="T104">
        <f ca="1"/>
        <v>2.4499999999999957</v>
      </c>
      <c r="U104">
        <f ca="1"/>
        <v>0</v>
      </c>
      <c r="V104">
        <f ca="1"/>
        <v>0.21073275556477916</v>
      </c>
      <c r="X104" s="2">
        <f t="shared" ca="1" si="8"/>
        <v>45480</v>
      </c>
      <c r="Y104">
        <f t="shared" ca="1" si="9"/>
        <v>0</v>
      </c>
      <c r="AA104" s="63">
        <f t="shared" ca="1" si="11"/>
        <v>57.885527131783533</v>
      </c>
      <c r="AB104" s="63">
        <f t="shared" ca="1" si="12"/>
        <v>57.885527131783533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45481</v>
      </c>
      <c r="K105">
        <f ca="1"/>
        <v>55.549577256448011</v>
      </c>
      <c r="L105">
        <f ca="1"/>
        <v>0.33694381192984224</v>
      </c>
      <c r="M105">
        <f ca="1"/>
        <v>9.2388539309304463E-2</v>
      </c>
      <c r="N105">
        <f ca="1"/>
        <v>0.43729320855271786</v>
      </c>
      <c r="O105">
        <f ca="1"/>
        <v>0</v>
      </c>
      <c r="P105">
        <f ca="1"/>
        <v>17.367411153316098</v>
      </c>
      <c r="Q105">
        <f ca="1"/>
        <v>14.752241134090896</v>
      </c>
      <c r="R105">
        <f ca="1"/>
        <v>1.2313489625179304</v>
      </c>
      <c r="S105">
        <f ca="1"/>
        <v>1</v>
      </c>
      <c r="T105">
        <f ca="1"/>
        <v>3.1499999999999986</v>
      </c>
      <c r="U105">
        <f ca="1"/>
        <v>0</v>
      </c>
      <c r="V105">
        <f ca="1"/>
        <v>0.21665591213579199</v>
      </c>
      <c r="X105" s="2">
        <f t="shared" ca="1" si="8"/>
        <v>45481</v>
      </c>
      <c r="Y105">
        <f t="shared" ca="1" si="9"/>
        <v>0</v>
      </c>
      <c r="AA105" s="63">
        <f t="shared" ca="1" si="11"/>
        <v>57.11787003089578</v>
      </c>
      <c r="AB105" s="63">
        <f t="shared" ca="1" si="12"/>
        <v>57.11787003089578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45482</v>
      </c>
      <c r="K106">
        <f ca="1"/>
        <v>55.412833888820707</v>
      </c>
      <c r="L106">
        <f ca="1"/>
        <v>0.30170537080984161</v>
      </c>
      <c r="M106">
        <f ca="1"/>
        <v>8.6104759281980137E-2</v>
      </c>
      <c r="N106">
        <f ca="1"/>
        <v>0.4103080836429458</v>
      </c>
      <c r="O106">
        <f ca="1"/>
        <v>0</v>
      </c>
      <c r="P106">
        <f ca="1"/>
        <v>17.66911652412594</v>
      </c>
      <c r="Q106">
        <f ca="1"/>
        <v>15.008515966439024</v>
      </c>
      <c r="R106">
        <f ca="1"/>
        <v>0.33145083974239103</v>
      </c>
      <c r="S106">
        <f ca="1"/>
        <v>1</v>
      </c>
      <c r="T106">
        <f ca="1"/>
        <v>0.85000000000000142</v>
      </c>
      <c r="U106">
        <f ca="1"/>
        <v>0</v>
      </c>
      <c r="V106">
        <f ca="1"/>
        <v>0.22196198726051627</v>
      </c>
      <c r="X106" s="2">
        <f t="shared" ca="1" si="8"/>
        <v>45482</v>
      </c>
      <c r="Y106">
        <f t="shared" ca="1" si="9"/>
        <v>0</v>
      </c>
      <c r="AA106" s="63">
        <f t="shared" ca="1" si="11"/>
        <v>56.045990099372936</v>
      </c>
      <c r="AB106" s="63">
        <f t="shared" ca="1" si="12"/>
        <v>56.045990099372936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45483</v>
      </c>
      <c r="K107">
        <f ca="1"/>
        <v>54.566703889132569</v>
      </c>
      <c r="L107">
        <f ca="1"/>
        <v>0.28330271685683073</v>
      </c>
      <c r="M107">
        <f ca="1"/>
        <v>8.194874400209784E-2</v>
      </c>
      <c r="N107">
        <f ca="1"/>
        <v>0.39583122622268302</v>
      </c>
      <c r="O107">
        <f ca="1"/>
        <v>0</v>
      </c>
      <c r="P107">
        <f ca="1"/>
        <v>17.952419240982771</v>
      </c>
      <c r="Q107">
        <f ca="1"/>
        <v>15.249159200834789</v>
      </c>
      <c r="R107">
        <f ca="1"/>
        <v>1.0406072530560879</v>
      </c>
      <c r="S107">
        <f ca="1"/>
        <v>1</v>
      </c>
      <c r="T107">
        <f ca="1"/>
        <v>2.7100000000000009</v>
      </c>
      <c r="U107">
        <f ca="1"/>
        <v>0</v>
      </c>
      <c r="V107">
        <f ca="1"/>
        <v>0.22694476320199111</v>
      </c>
      <c r="X107" s="2">
        <f t="shared" ca="1" si="8"/>
        <v>45483</v>
      </c>
      <c r="Y107">
        <f t="shared" ca="1" si="9"/>
        <v>0</v>
      </c>
      <c r="AA107" s="63">
        <f t="shared" ca="1" si="11"/>
        <v>55.890613859045487</v>
      </c>
      <c r="AB107" s="63">
        <f t="shared" ca="1" si="12"/>
        <v>55.890613859045487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45484</v>
      </c>
      <c r="K108">
        <f ca="1"/>
        <v>52.602199545533999</v>
      </c>
      <c r="L108">
        <f ca="1"/>
        <v>0.30661428516600253</v>
      </c>
      <c r="M108">
        <f ca="1"/>
        <v>8.1591898650430039E-2</v>
      </c>
      <c r="N108">
        <f ca="1"/>
        <v>0.40746707621991463</v>
      </c>
      <c r="O108">
        <f ca="1"/>
        <v>0</v>
      </c>
      <c r="P108">
        <f ca="1"/>
        <v>18.259033526148773</v>
      </c>
      <c r="Q108">
        <f ca="1"/>
        <v>15.509603767385059</v>
      </c>
      <c r="R108">
        <f ca="1"/>
        <v>2.1469490333029078</v>
      </c>
      <c r="S108">
        <f ca="1"/>
        <v>1</v>
      </c>
      <c r="T108">
        <f ca="1"/>
        <v>5.8000000000000043</v>
      </c>
      <c r="U108">
        <f ca="1"/>
        <v>0</v>
      </c>
      <c r="V108">
        <f ca="1"/>
        <v>0.23233619113935719</v>
      </c>
      <c r="X108" s="2">
        <f t="shared" ca="1" si="8"/>
        <v>45484</v>
      </c>
      <c r="Y108">
        <f t="shared" ca="1" si="9"/>
        <v>0</v>
      </c>
      <c r="AA108" s="63">
        <f t="shared" ca="1" si="11"/>
        <v>55.055762864002915</v>
      </c>
      <c r="AB108" s="63">
        <f t="shared" ca="1" si="12"/>
        <v>55.055762864002908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45485</v>
      </c>
      <c r="K109">
        <f ca="1"/>
        <v>52.324827796633507</v>
      </c>
      <c r="L109">
        <f ca="1"/>
        <v>0.32353795068987523</v>
      </c>
      <c r="M109">
        <f ca="1"/>
        <v>8.0586523674440969E-2</v>
      </c>
      <c r="N109">
        <f ca="1"/>
        <v>0.4147980145319658</v>
      </c>
      <c r="O109">
        <f ca="1"/>
        <v>0</v>
      </c>
      <c r="P109">
        <f ca="1"/>
        <v>18.582571476838648</v>
      </c>
      <c r="Q109">
        <f ca="1"/>
        <v>15.784423648279935</v>
      </c>
      <c r="R109">
        <f ca="1"/>
        <v>0.44921833641702352</v>
      </c>
      <c r="S109">
        <f ca="1"/>
        <v>1</v>
      </c>
      <c r="T109">
        <f ca="1"/>
        <v>1.2199999999999989</v>
      </c>
      <c r="U109">
        <f ca="1"/>
        <v>0</v>
      </c>
      <c r="V109">
        <f ca="1"/>
        <v>0.23802173361247408</v>
      </c>
      <c r="X109" s="2">
        <f t="shared" ca="1" si="8"/>
        <v>45485</v>
      </c>
      <c r="Y109">
        <f t="shared" ca="1" si="9"/>
        <v>0</v>
      </c>
      <c r="AA109" s="63">
        <f t="shared" ca="1" si="11"/>
        <v>53.097584083740408</v>
      </c>
      <c r="AB109" s="63">
        <f t="shared" ca="1" si="12"/>
        <v>53.097584083740408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45486</v>
      </c>
      <c r="K110">
        <f ca="1"/>
        <v>51.314013881005984</v>
      </c>
      <c r="L110">
        <f ca="1"/>
        <v>0.30104984410158764</v>
      </c>
      <c r="M110">
        <f ca="1"/>
        <v>7.6418432425391813E-2</v>
      </c>
      <c r="N110">
        <f ca="1"/>
        <v>0.3982209571835979</v>
      </c>
      <c r="O110">
        <f ca="1"/>
        <v>0</v>
      </c>
      <c r="P110">
        <f ca="1"/>
        <v>18.883621320940236</v>
      </c>
      <c r="Q110">
        <f ca="1"/>
        <v>16.040141662574722</v>
      </c>
      <c r="R110">
        <f ca="1"/>
        <v>1.1844034611349239</v>
      </c>
      <c r="S110">
        <f ca="1"/>
        <v>1</v>
      </c>
      <c r="T110">
        <f ca="1"/>
        <v>3.2800000000000011</v>
      </c>
      <c r="U110">
        <f ca="1"/>
        <v>0</v>
      </c>
      <c r="V110">
        <f ca="1"/>
        <v>0.24330713175952423</v>
      </c>
      <c r="X110" s="2">
        <f t="shared" ca="1" si="8"/>
        <v>45486</v>
      </c>
      <c r="Y110">
        <f t="shared" ca="1" si="9"/>
        <v>0</v>
      </c>
      <c r="AA110" s="63">
        <f t="shared" ca="1" si="11"/>
        <v>52.799467186242495</v>
      </c>
      <c r="AB110" s="63">
        <f t="shared" ca="1" si="12"/>
        <v>52.799467186242502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45487</v>
      </c>
      <c r="K111">
        <f ca="1"/>
        <v>49.684693680805431</v>
      </c>
      <c r="L111">
        <f ca="1"/>
        <v>0.36768260514488205</v>
      </c>
      <c r="M111">
        <f ca="1"/>
        <v>7.9319649271702986E-2</v>
      </c>
      <c r="N111">
        <f ca="1"/>
        <v>0.4351785460694178</v>
      </c>
      <c r="O111">
        <f ca="1"/>
        <v>0</v>
      </c>
      <c r="P111">
        <f ca="1"/>
        <v>19.251303926085118</v>
      </c>
      <c r="Q111">
        <f ca="1"/>
        <v>16.352458933354157</v>
      </c>
      <c r="R111">
        <f ca="1"/>
        <v>1.7761357903967896</v>
      </c>
      <c r="S111">
        <f ca="1"/>
        <v>1</v>
      </c>
      <c r="T111">
        <f ca="1"/>
        <v>5.0799999999999912</v>
      </c>
      <c r="U111">
        <f ca="1"/>
        <v>0</v>
      </c>
      <c r="V111">
        <f ca="1"/>
        <v>0.2497535179379666</v>
      </c>
      <c r="X111" s="2">
        <f t="shared" ca="1" si="8"/>
        <v>45487</v>
      </c>
      <c r="Y111">
        <f t="shared" ca="1" si="9"/>
        <v>0</v>
      </c>
      <c r="AA111" s="63">
        <f t="shared" ca="1" si="11"/>
        <v>51.828512076347103</v>
      </c>
      <c r="AB111" s="63">
        <f t="shared" ca="1" si="12"/>
        <v>51.828512076347103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45488</v>
      </c>
      <c r="K112">
        <f ca="1"/>
        <v>48.476432372514346</v>
      </c>
      <c r="L112">
        <f ca="1"/>
        <v>0.41447732597713127</v>
      </c>
      <c r="M112">
        <f ca="1"/>
        <v>8.0363822664942575E-2</v>
      </c>
      <c r="N112">
        <f ca="1"/>
        <v>0.45967225463372846</v>
      </c>
      <c r="O112">
        <f ca="1"/>
        <v>0</v>
      </c>
      <c r="P112">
        <f ca="1"/>
        <v>19.665781252062249</v>
      </c>
      <c r="Q112">
        <f ca="1"/>
        <v>16.704524615651334</v>
      </c>
      <c r="R112">
        <f ca="1"/>
        <v>1.3338200596126277</v>
      </c>
      <c r="S112">
        <f ca="1"/>
        <v>1</v>
      </c>
      <c r="T112">
        <f ca="1"/>
        <v>3.9100000000000037</v>
      </c>
      <c r="U112">
        <f ca="1"/>
        <v>0</v>
      </c>
      <c r="V112">
        <f ca="1"/>
        <v>0.25700538670148554</v>
      </c>
      <c r="X112" s="2">
        <f t="shared" ca="1" si="8"/>
        <v>45488</v>
      </c>
      <c r="Y112">
        <f t="shared" ca="1" si="9"/>
        <v>0</v>
      </c>
      <c r="AA112" s="63">
        <f t="shared" ca="1" si="11"/>
        <v>50.224729758104104</v>
      </c>
      <c r="AB112" s="63">
        <f t="shared" ca="1" si="12"/>
        <v>50.224729758104104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45489</v>
      </c>
      <c r="K113">
        <f ca="1"/>
        <v>46.496732105437054</v>
      </c>
      <c r="L113">
        <f ca="1"/>
        <v>0.4048063921832572</v>
      </c>
      <c r="M113">
        <f ca="1"/>
        <v>7.6900233457436684E-2</v>
      </c>
      <c r="N113">
        <f ca="1"/>
        <v>0.44882492210082653</v>
      </c>
      <c r="O113">
        <f ca="1"/>
        <v>0</v>
      </c>
      <c r="P113">
        <f ca="1"/>
        <v>20.070587644245506</v>
      </c>
      <c r="Q113">
        <f ca="1"/>
        <v>17.048375605150628</v>
      </c>
      <c r="R113">
        <f ca="1"/>
        <v>2.1006190304523016</v>
      </c>
      <c r="S113">
        <f ca="1"/>
        <v>1</v>
      </c>
      <c r="T113">
        <f ca="1"/>
        <v>6.4200000000000017</v>
      </c>
      <c r="U113">
        <f ca="1"/>
        <v>0</v>
      </c>
      <c r="V113">
        <f ca="1"/>
        <v>0.26406925198296044</v>
      </c>
      <c r="X113" s="2">
        <f t="shared" ca="1" si="8"/>
        <v>45489</v>
      </c>
      <c r="Y113">
        <f t="shared" ca="1" si="9"/>
        <v>0</v>
      </c>
      <c r="AA113" s="63">
        <f t="shared" ca="1" si="11"/>
        <v>49.002157528072608</v>
      </c>
      <c r="AB113" s="63">
        <f t="shared" ca="1" si="12"/>
        <v>49.002157528072608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45490</v>
      </c>
      <c r="K114">
        <f ca="1"/>
        <v>44.575303085411988</v>
      </c>
      <c r="L114">
        <f ca="1"/>
        <v>0.38547303329500338</v>
      </c>
      <c r="M114">
        <f ca="1"/>
        <v>7.3017792238111667E-2</v>
      </c>
      <c r="N114">
        <f ca="1"/>
        <v>0.43307038348908033</v>
      </c>
      <c r="O114">
        <f ca="1"/>
        <v>0</v>
      </c>
      <c r="P114">
        <f ca="1"/>
        <v>20.45606067754051</v>
      </c>
      <c r="Q114">
        <f ca="1"/>
        <v>17.375804436520898</v>
      </c>
      <c r="R114">
        <f ca="1"/>
        <v>2.0420441624572621</v>
      </c>
      <c r="S114">
        <f ca="1"/>
        <v>1</v>
      </c>
      <c r="T114">
        <f ca="1"/>
        <v>6.509999999999998</v>
      </c>
      <c r="U114">
        <f ca="1"/>
        <v>0</v>
      </c>
      <c r="V114">
        <f ca="1"/>
        <v>0.27077536878517006</v>
      </c>
      <c r="X114" s="2">
        <f t="shared" ca="1" si="8"/>
        <v>45490</v>
      </c>
      <c r="Y114">
        <f t="shared" ca="1" si="9"/>
        <v>0</v>
      </c>
      <c r="AA114" s="63">
        <f t="shared" ca="1" si="11"/>
        <v>47.002820281164247</v>
      </c>
      <c r="AB114" s="63">
        <f t="shared" ca="1" si="12"/>
        <v>47.002820281164247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45491</v>
      </c>
      <c r="K115">
        <f ca="1"/>
        <v>43.778890179607757</v>
      </c>
      <c r="L115">
        <f ca="1"/>
        <v>0.38266082155487524</v>
      </c>
      <c r="M115">
        <f ca="1"/>
        <v>7.0526440725672046E-2</v>
      </c>
      <c r="N115">
        <f ca="1"/>
        <v>0.42761954306243716</v>
      </c>
      <c r="O115">
        <f ca="1"/>
        <v>0</v>
      </c>
      <c r="P115">
        <f ca="1"/>
        <v>20.838721499095385</v>
      </c>
      <c r="Q115">
        <f ca="1"/>
        <v>17.700844516606121</v>
      </c>
      <c r="R115">
        <f ca="1"/>
        <v>0.91189806803745965</v>
      </c>
      <c r="S115">
        <f ca="1"/>
        <v>1</v>
      </c>
      <c r="T115">
        <f ca="1"/>
        <v>2.9600000000000009</v>
      </c>
      <c r="U115">
        <f ca="1"/>
        <v>0</v>
      </c>
      <c r="V115">
        <f ca="1"/>
        <v>0.27741011128304294</v>
      </c>
      <c r="X115" s="2">
        <f t="shared" ca="1" si="8"/>
        <v>45491</v>
      </c>
      <c r="Y115">
        <f t="shared" ca="1" si="9"/>
        <v>0</v>
      </c>
      <c r="AA115" s="63">
        <f t="shared" ca="1" si="11"/>
        <v>45.073449069200095</v>
      </c>
      <c r="AB115" s="63">
        <f t="shared" ca="1" si="12"/>
        <v>45.073449069200095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45492</v>
      </c>
      <c r="K116">
        <f ca="1"/>
        <v>43.429135044729883</v>
      </c>
      <c r="L116">
        <f ca="1"/>
        <v>0.42562137992054261</v>
      </c>
      <c r="M116">
        <f ca="1"/>
        <v>7.1040072662718501E-2</v>
      </c>
      <c r="N116">
        <f ca="1"/>
        <v>0.44796419848450769</v>
      </c>
      <c r="O116">
        <f ca="1"/>
        <v>0</v>
      </c>
      <c r="P116">
        <f ca="1"/>
        <v>21.264342879015928</v>
      </c>
      <c r="Q116">
        <f ca="1"/>
        <v>18.062376190669902</v>
      </c>
      <c r="R116">
        <f ca="1"/>
        <v>0.44313802610455949</v>
      </c>
      <c r="S116">
        <f ca="1"/>
        <v>1</v>
      </c>
      <c r="T116">
        <f ca="1"/>
        <v>1.4500000000000028</v>
      </c>
      <c r="U116">
        <f ca="1"/>
        <v>0</v>
      </c>
      <c r="V116">
        <f ca="1"/>
        <v>0.28476029978518752</v>
      </c>
      <c r="X116" s="2">
        <f t="shared" ca="1" si="8"/>
        <v>45492</v>
      </c>
      <c r="Y116">
        <f t="shared" ca="1" si="9"/>
        <v>0</v>
      </c>
      <c r="AA116" s="63">
        <f t="shared" ca="1" si="11"/>
        <v>44.297894450754981</v>
      </c>
      <c r="AB116" s="63">
        <f t="shared" ca="1" si="12"/>
        <v>44.297894450754981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45493</v>
      </c>
      <c r="K117">
        <f ca="1"/>
        <v>42.507372775226983</v>
      </c>
      <c r="L117">
        <f ca="1"/>
        <v>0.39585002893220178</v>
      </c>
      <c r="M117">
        <f ca="1"/>
        <v>6.6905207788195753E-2</v>
      </c>
      <c r="N117">
        <f ca="1"/>
        <v>0.42720206353257301</v>
      </c>
      <c r="O117">
        <f ca="1"/>
        <v>0</v>
      </c>
      <c r="P117">
        <f ca="1"/>
        <v>21.660192907948129</v>
      </c>
      <c r="Q117">
        <f ca="1"/>
        <v>18.39861945848876</v>
      </c>
      <c r="R117">
        <f ca="1"/>
        <v>1.0200195118914666</v>
      </c>
      <c r="S117">
        <f ca="1"/>
        <v>1</v>
      </c>
      <c r="T117">
        <f ca="1"/>
        <v>3.4100000000000037</v>
      </c>
      <c r="U117">
        <f ca="1"/>
        <v>0</v>
      </c>
      <c r="V117">
        <f ca="1"/>
        <v>0.29156570103975971</v>
      </c>
      <c r="X117" s="2">
        <f t="shared" ca="1" si="8"/>
        <v>45493</v>
      </c>
      <c r="Y117">
        <f t="shared" ca="1" si="9"/>
        <v>0</v>
      </c>
      <c r="AA117" s="63">
        <f t="shared" ca="1" si="11"/>
        <v>43.923242316050654</v>
      </c>
      <c r="AB117" s="63">
        <f t="shared" ca="1" si="12"/>
        <v>43.923242316050654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45494</v>
      </c>
      <c r="K118">
        <f ca="1"/>
        <v>41.365088353518409</v>
      </c>
      <c r="L118">
        <f ca="1"/>
        <v>0.44815181852046138</v>
      </c>
      <c r="M118">
        <f ca="1"/>
        <v>6.7857246445242936E-2</v>
      </c>
      <c r="N118">
        <f ca="1"/>
        <v>0.45184568749600329</v>
      </c>
      <c r="O118">
        <f ca="1"/>
        <v>0</v>
      </c>
      <c r="P118">
        <f ca="1"/>
        <v>22.108344726468591</v>
      </c>
      <c r="Q118">
        <f ca="1"/>
        <v>18.779288956845914</v>
      </c>
      <c r="R118">
        <f ca="1"/>
        <v>1.2138355371293597</v>
      </c>
      <c r="S118">
        <f ca="1"/>
        <v>1</v>
      </c>
      <c r="T118">
        <f ca="1"/>
        <v>4.1700000000000088</v>
      </c>
      <c r="U118">
        <f ca="1"/>
        <v>0</v>
      </c>
      <c r="V118">
        <f ca="1"/>
        <v>0.29923131407482684</v>
      </c>
      <c r="X118" s="2">
        <f t="shared" ca="1" si="8"/>
        <v>45494</v>
      </c>
      <c r="Y118">
        <f t="shared" ca="1" si="9"/>
        <v>0</v>
      </c>
      <c r="AA118" s="63">
        <f t="shared" ca="1" si="11"/>
        <v>43.02707570916823</v>
      </c>
      <c r="AB118" s="63">
        <f t="shared" ca="1" si="12"/>
        <v>43.027075709168237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45495</v>
      </c>
      <c r="K119">
        <f ca="1"/>
        <v>39.560120409194781</v>
      </c>
      <c r="L119">
        <f ca="1"/>
        <v>0.44547778948382799</v>
      </c>
      <c r="M119">
        <f ca="1"/>
        <v>6.5447023671964644E-2</v>
      </c>
      <c r="N119">
        <f ca="1"/>
        <v>0.44581695994970866</v>
      </c>
      <c r="O119">
        <f ca="1"/>
        <v>0</v>
      </c>
      <c r="P119">
        <f ca="1"/>
        <v>22.553822515952419</v>
      </c>
      <c r="Q119">
        <f ca="1"/>
        <v>19.157687079187383</v>
      </c>
      <c r="R119">
        <f ca="1"/>
        <v>1.8707541384614772</v>
      </c>
      <c r="S119">
        <f ca="1"/>
        <v>1</v>
      </c>
      <c r="T119">
        <f ca="1"/>
        <v>6.7199999999999989</v>
      </c>
      <c r="U119">
        <f ca="1"/>
        <v>0</v>
      </c>
      <c r="V119">
        <f ca="1"/>
        <v>0.30680687797115253</v>
      </c>
      <c r="X119" s="2">
        <f t="shared" ca="1" si="8"/>
        <v>45495</v>
      </c>
      <c r="Y119">
        <f t="shared" ca="1" si="9"/>
        <v>0</v>
      </c>
      <c r="AA119" s="63">
        <f t="shared" ca="1" si="11"/>
        <v>41.876352337140084</v>
      </c>
      <c r="AB119" s="63">
        <f t="shared" ca="1" si="12"/>
        <v>41.876352337140091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45496</v>
      </c>
      <c r="K120">
        <f ca="1"/>
        <v>38.830369295256446</v>
      </c>
      <c r="L120">
        <f ca="1"/>
        <v>0.45697731700207811</v>
      </c>
      <c r="M120">
        <f ca="1"/>
        <v>6.3921618131793423E-2</v>
      </c>
      <c r="N120">
        <f ca="1"/>
        <v>0.4475342285135509</v>
      </c>
      <c r="O120">
        <f ca="1"/>
        <v>0</v>
      </c>
      <c r="P120">
        <f ca="1"/>
        <v>23.010799832954497</v>
      </c>
      <c r="Q120">
        <f ca="1"/>
        <v>19.545853139961352</v>
      </c>
      <c r="R120">
        <f ca="1"/>
        <v>0.78422964358160441</v>
      </c>
      <c r="S120">
        <f ca="1"/>
        <v>1</v>
      </c>
      <c r="T120">
        <f ca="1"/>
        <v>2.8699999999999974</v>
      </c>
      <c r="U120">
        <f ca="1"/>
        <v>0</v>
      </c>
      <c r="V120">
        <f ca="1"/>
        <v>0.31452872578845603</v>
      </c>
      <c r="X120" s="2">
        <f t="shared" ca="1" si="8"/>
        <v>45496</v>
      </c>
      <c r="Y120">
        <f t="shared" ca="1" si="9"/>
        <v>0</v>
      </c>
      <c r="AA120" s="63">
        <f t="shared" ca="1" si="11"/>
        <v>40.071576255840128</v>
      </c>
      <c r="AB120" s="63">
        <f t="shared" ca="1" si="12"/>
        <v>40.071576255840128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45497</v>
      </c>
      <c r="K121">
        <f ca="1"/>
        <v>37.955336234885102</v>
      </c>
      <c r="L121">
        <f ca="1"/>
        <v>0.41819789774153548</v>
      </c>
      <c r="M121">
        <f ca="1"/>
        <v>5.9876166683430654E-2</v>
      </c>
      <c r="N121">
        <f ca="1"/>
        <v>0.42345640675680585</v>
      </c>
      <c r="O121">
        <f ca="1"/>
        <v>0</v>
      </c>
      <c r="P121">
        <f ca="1"/>
        <v>23.428997730696032</v>
      </c>
      <c r="Q121">
        <f ca="1"/>
        <v>19.901079153486979</v>
      </c>
      <c r="R121">
        <f ca="1"/>
        <v>0.94016773607004378</v>
      </c>
      <c r="S121">
        <f ca="1"/>
        <v>1</v>
      </c>
      <c r="T121">
        <f ca="1"/>
        <v>3.5200000000000031</v>
      </c>
      <c r="U121">
        <f ca="1"/>
        <v>0</v>
      </c>
      <c r="V121">
        <f ca="1"/>
        <v>0.32154883426638353</v>
      </c>
      <c r="X121" s="2">
        <f t="shared" ca="1" si="8"/>
        <v>45497</v>
      </c>
      <c r="Y121">
        <f t="shared" ca="1" si="9"/>
        <v>0</v>
      </c>
      <c r="AA121" s="63">
        <f t="shared" ca="1" si="11"/>
        <v>39.313701868696683</v>
      </c>
      <c r="AB121" s="63">
        <f t="shared" ca="1" si="12"/>
        <v>39.313701868696683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45498</v>
      </c>
      <c r="K122">
        <f ca="1"/>
        <v>37.449310942850026</v>
      </c>
      <c r="L122">
        <f ca="1"/>
        <v>0.41672993897032029</v>
      </c>
      <c r="M122">
        <f ca="1"/>
        <v>5.7979699085016989E-2</v>
      </c>
      <c r="N122">
        <f ca="1"/>
        <v>0.41931915230038225</v>
      </c>
      <c r="O122">
        <f ca="1"/>
        <v>0</v>
      </c>
      <c r="P122">
        <f ca="1"/>
        <v>23.845727669666353</v>
      </c>
      <c r="Q122">
        <f ca="1"/>
        <v>20.255058252226249</v>
      </c>
      <c r="R122">
        <f ca="1"/>
        <v>0.5665942044501564</v>
      </c>
      <c r="S122">
        <f ca="1"/>
        <v>1</v>
      </c>
      <c r="T122">
        <f ca="1"/>
        <v>2.1499999999999986</v>
      </c>
      <c r="U122">
        <f ca="1"/>
        <v>0</v>
      </c>
      <c r="V122">
        <f ca="1"/>
        <v>0.32849776509404549</v>
      </c>
      <c r="X122" s="2">
        <f t="shared" ca="1" si="8"/>
        <v>45498</v>
      </c>
      <c r="Y122">
        <f t="shared" ca="1" si="9"/>
        <v>0</v>
      </c>
      <c r="AA122" s="63">
        <f t="shared" ca="1" si="11"/>
        <v>38.432635086270501</v>
      </c>
      <c r="AB122" s="63">
        <f t="shared" ca="1" si="12"/>
        <v>38.432635086270501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45499</v>
      </c>
      <c r="K123">
        <f ca="1"/>
        <v>36.496139082292629</v>
      </c>
      <c r="L123">
        <f ca="1"/>
        <v>0.45945497270814784</v>
      </c>
      <c r="M123">
        <f ca="1"/>
        <v>5.818838369359014E-2</v>
      </c>
      <c r="N123">
        <f ca="1"/>
        <v>0.43686975581631365</v>
      </c>
      <c r="O123">
        <f ca="1"/>
        <v>0</v>
      </c>
      <c r="P123">
        <f ca="1"/>
        <v>24.305182642374501</v>
      </c>
      <c r="Q123">
        <f ca="1"/>
        <v>20.645328885414632</v>
      </c>
      <c r="R123">
        <f ca="1"/>
        <v>0.98877502735915057</v>
      </c>
      <c r="S123">
        <f ca="1"/>
        <v>1</v>
      </c>
      <c r="T123">
        <f ca="1"/>
        <v>3.8500000000000014</v>
      </c>
      <c r="U123">
        <f ca="1"/>
        <v>0</v>
      </c>
      <c r="V123">
        <f ca="1"/>
        <v>0.33610273430910426</v>
      </c>
      <c r="X123" s="2">
        <f t="shared" ca="1" si="8"/>
        <v>45499</v>
      </c>
      <c r="Y123">
        <f t="shared" ca="1" si="9"/>
        <v>0</v>
      </c>
      <c r="AA123" s="63">
        <f t="shared" ca="1" si="11"/>
        <v>37.944369082359927</v>
      </c>
      <c r="AB123" s="63">
        <f t="shared" ca="1" si="12"/>
        <v>37.944369082359927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45500</v>
      </c>
      <c r="K124">
        <f ca="1"/>
        <v>36.006685490053115</v>
      </c>
      <c r="L124">
        <f ca="1"/>
        <v>0.4753678298748234</v>
      </c>
      <c r="M124">
        <f ca="1"/>
        <v>5.705240281427848E-2</v>
      </c>
      <c r="N124">
        <f ca="1"/>
        <v>0.44069020115742225</v>
      </c>
      <c r="O124">
        <f ca="1"/>
        <v>0</v>
      </c>
      <c r="P124">
        <f ca="1"/>
        <v>24.780550472249324</v>
      </c>
      <c r="Q124">
        <f ca="1"/>
        <v>21.049116231254256</v>
      </c>
      <c r="R124">
        <f ca="1"/>
        <v>0.5118283663363854</v>
      </c>
      <c r="S124">
        <f ca="1"/>
        <v>1</v>
      </c>
      <c r="T124">
        <f ca="1"/>
        <v>2.0200000000000031</v>
      </c>
      <c r="U124">
        <f ca="1"/>
        <v>0</v>
      </c>
      <c r="V124">
        <f ca="1"/>
        <v>0.34390610998144583</v>
      </c>
      <c r="X124" s="2">
        <f t="shared" ca="1" si="8"/>
        <v>45500</v>
      </c>
      <c r="Y124">
        <f t="shared" ca="1" si="9"/>
        <v>0</v>
      </c>
      <c r="AA124" s="63">
        <f t="shared" ca="1" si="11"/>
        <v>36.993881686264331</v>
      </c>
      <c r="AB124" s="63">
        <f t="shared" ca="1" si="12"/>
        <v>36.993881686264331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45501</v>
      </c>
      <c r="K125">
        <f ca="1"/>
        <v>34.970191068337648</v>
      </c>
      <c r="L125">
        <f ca="1"/>
        <v>0.50068795986839021</v>
      </c>
      <c r="M125">
        <f ca="1"/>
        <v>5.631463685294591E-2</v>
      </c>
      <c r="N125">
        <f ca="1"/>
        <v>0.44882492210082653</v>
      </c>
      <c r="O125">
        <f ca="1"/>
        <v>0</v>
      </c>
      <c r="P125">
        <f ca="1"/>
        <v>25.281238432117714</v>
      </c>
      <c r="Q125">
        <f ca="1"/>
        <v>21.474411023420451</v>
      </c>
      <c r="R125">
        <f ca="1"/>
        <v>1.0409460208008499</v>
      </c>
      <c r="S125">
        <f ca="1"/>
        <v>1</v>
      </c>
      <c r="T125">
        <f ca="1"/>
        <v>4.2299999999999969</v>
      </c>
      <c r="U125">
        <f ca="1"/>
        <v>0</v>
      </c>
      <c r="V125">
        <f ca="1"/>
        <v>0.35205072583939773</v>
      </c>
      <c r="X125" s="2">
        <f t="shared" ca="1" si="8"/>
        <v>45501</v>
      </c>
      <c r="Y125">
        <f t="shared" ca="1" si="9"/>
        <v>0</v>
      </c>
      <c r="AA125" s="63">
        <f t="shared" ca="1" si="11"/>
        <v>36.511825049006887</v>
      </c>
      <c r="AB125" s="63">
        <f t="shared" ca="1" si="12"/>
        <v>36.511825049006895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45502</v>
      </c>
      <c r="K126">
        <f ca="1"/>
        <v>34.630573075665758</v>
      </c>
      <c r="L126">
        <f ca="1"/>
        <v>0.5089614791606607</v>
      </c>
      <c r="M126">
        <f ca="1"/>
        <v>5.4813433547508339E-2</v>
      </c>
      <c r="N126">
        <f ca="1"/>
        <v>0.4483944296670348</v>
      </c>
      <c r="O126">
        <f ca="1"/>
        <v>0</v>
      </c>
      <c r="P126">
        <f ca="1"/>
        <v>25.790199911278375</v>
      </c>
      <c r="Q126">
        <f ca="1"/>
        <v>21.906733515371595</v>
      </c>
      <c r="R126">
        <f ca="1"/>
        <v>0.33386437672576968</v>
      </c>
      <c r="S126">
        <f ca="1"/>
        <v>1</v>
      </c>
      <c r="T126">
        <f ca="1"/>
        <v>1.3699999999999974</v>
      </c>
      <c r="U126">
        <f ca="1"/>
        <v>0</v>
      </c>
      <c r="V126">
        <f ca="1"/>
        <v>0.36024877748549411</v>
      </c>
      <c r="X126" s="2">
        <f t="shared" ca="1" si="8"/>
        <v>45502</v>
      </c>
      <c r="Y126">
        <f t="shared" ca="1" si="9"/>
        <v>0</v>
      </c>
      <c r="AA126" s="63">
        <f t="shared" ca="1" si="11"/>
        <v>35.47339893155219</v>
      </c>
      <c r="AB126" s="63">
        <f t="shared" ca="1" si="12"/>
        <v>35.47339893155219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45503</v>
      </c>
      <c r="K127">
        <f ca="1"/>
        <v>33.906181721211922</v>
      </c>
      <c r="L127">
        <f ca="1"/>
        <v>0.52652321493312115</v>
      </c>
      <c r="M127">
        <f ca="1"/>
        <v>5.3720805958910489E-2</v>
      </c>
      <c r="N127">
        <f ca="1"/>
        <v>0.45227827136257215</v>
      </c>
      <c r="O127">
        <f ca="1"/>
        <v>0</v>
      </c>
      <c r="P127">
        <f ca="1"/>
        <v>26.316723126211496</v>
      </c>
      <c r="Q127">
        <f ca="1"/>
        <v>22.353973311839884</v>
      </c>
      <c r="R127">
        <f ca="1"/>
        <v>0.70386721684219478</v>
      </c>
      <c r="S127">
        <f ca="1"/>
        <v>1</v>
      </c>
      <c r="T127">
        <f ca="1"/>
        <v>2.9499999999999957</v>
      </c>
      <c r="U127">
        <f ca="1"/>
        <v>0</v>
      </c>
      <c r="V127">
        <f ca="1"/>
        <v>0.36864070940459881</v>
      </c>
      <c r="X127" s="2">
        <f t="shared" ca="1" si="8"/>
        <v>45503</v>
      </c>
      <c r="Y127">
        <f t="shared" ca="1" si="9"/>
        <v>0</v>
      </c>
      <c r="AA127" s="63">
        <f t="shared" ca="1" si="11"/>
        <v>35.136572152987242</v>
      </c>
      <c r="AB127" s="63">
        <f t="shared" ca="1" si="12"/>
        <v>35.136572152987242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45504</v>
      </c>
      <c r="K128">
        <f ca="1"/>
        <v>33.302729207561363</v>
      </c>
      <c r="L128">
        <f ca="1"/>
        <v>0.54091985534453357</v>
      </c>
      <c r="M128">
        <f ca="1"/>
        <v>5.2498895573187099E-2</v>
      </c>
      <c r="N128">
        <f ca="1"/>
        <v>0.45444511557008793</v>
      </c>
      <c r="O128">
        <f ca="1"/>
        <v>0</v>
      </c>
      <c r="P128">
        <f ca="1"/>
        <v>26.85764298155603</v>
      </c>
      <c r="Q128">
        <f ca="1"/>
        <v>22.813441914835238</v>
      </c>
      <c r="R128">
        <f ca="1"/>
        <v>0.56947666944929931</v>
      </c>
      <c r="S128">
        <f ca="1"/>
        <v>1</v>
      </c>
      <c r="T128">
        <f ca="1"/>
        <v>2.4299999999999997</v>
      </c>
      <c r="U128">
        <f ca="1"/>
        <v>0</v>
      </c>
      <c r="V128">
        <f ca="1"/>
        <v>0.37716502543890135</v>
      </c>
      <c r="X128" s="2">
        <f t="shared" ca="1" si="8"/>
        <v>45504</v>
      </c>
      <c r="Y128">
        <f t="shared" ca="1" si="9"/>
        <v>0</v>
      </c>
      <c r="AA128" s="63">
        <f t="shared" ca="1" si="11"/>
        <v>34.413125732355198</v>
      </c>
      <c r="AB128" s="63">
        <f t="shared" ca="1" si="12"/>
        <v>34.413125732355198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45505</v>
      </c>
      <c r="K129">
        <f ca="1"/>
        <v>32.253658024058204</v>
      </c>
      <c r="L129">
        <f ca="1"/>
        <v>0.58343354698360983</v>
      </c>
      <c r="M129">
        <f ca="1"/>
        <v>5.2329195868487943E-2</v>
      </c>
      <c r="N129">
        <f ca="1"/>
        <v>0.46935347712618564</v>
      </c>
      <c r="O129">
        <f ca="1"/>
        <v>0</v>
      </c>
      <c r="P129">
        <f ca="1"/>
        <v>27.441076528539639</v>
      </c>
      <c r="Q129">
        <f ca="1"/>
        <v>23.309022533894684</v>
      </c>
      <c r="R129">
        <f ca="1"/>
        <v>0.98732030951422478</v>
      </c>
      <c r="S129">
        <f ca="1"/>
        <v>1</v>
      </c>
      <c r="T129">
        <f ca="1"/>
        <v>4.3499999999999943</v>
      </c>
      <c r="U129">
        <f ca="1"/>
        <v>0</v>
      </c>
      <c r="V129">
        <f ca="1"/>
        <v>0.3862460408091713</v>
      </c>
      <c r="X129" s="2">
        <f t="shared" ca="1" si="8"/>
        <v>45505</v>
      </c>
      <c r="Y129">
        <f t="shared" ca="1" si="9"/>
        <v>0</v>
      </c>
      <c r="AA129" s="63">
        <f t="shared" ca="1" si="11"/>
        <v>33.824411880556035</v>
      </c>
      <c r="AB129" s="63">
        <f t="shared" ca="1" si="12"/>
        <v>33.824411880556035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45506</v>
      </c>
      <c r="K130">
        <f ca="1"/>
        <v>31.780061536086297</v>
      </c>
      <c r="L130">
        <f ca="1"/>
        <v>0.58799578846809197</v>
      </c>
      <c r="M130">
        <f ca="1"/>
        <v>5.0687451935417016E-2</v>
      </c>
      <c r="N130">
        <f ca="1"/>
        <v>0.46625929468452537</v>
      </c>
      <c r="O130">
        <f ca="1"/>
        <v>0</v>
      </c>
      <c r="P130">
        <f ca="1"/>
        <v>28.029072317007731</v>
      </c>
      <c r="Q130">
        <f ca="1"/>
        <v>23.808478415991125</v>
      </c>
      <c r="R130">
        <f ca="1"/>
        <v>0.40254744612375915</v>
      </c>
      <c r="S130">
        <f ca="1"/>
        <v>1</v>
      </c>
      <c r="T130">
        <f ca="1"/>
        <v>1.7999999999999972</v>
      </c>
      <c r="U130">
        <f ca="1"/>
        <v>0</v>
      </c>
      <c r="V130">
        <f ca="1"/>
        <v>0.39527628523545227</v>
      </c>
      <c r="X130" s="2">
        <f t="shared" ca="1" si="8"/>
        <v>45506</v>
      </c>
      <c r="Y130">
        <f t="shared" ca="1" si="9"/>
        <v>0</v>
      </c>
      <c r="AA130" s="63">
        <f t="shared" ca="1" si="11"/>
        <v>32.770604770678148</v>
      </c>
      <c r="AB130" s="63">
        <f t="shared" ca="1" si="12"/>
        <v>32.770604770678148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45507</v>
      </c>
      <c r="K131">
        <f ca="1"/>
        <v>30.913559820552088</v>
      </c>
      <c r="L131">
        <f ca="1"/>
        <v>0.59034559147104204</v>
      </c>
      <c r="M131">
        <f ca="1"/>
        <v>4.9038206393419159E-2</v>
      </c>
      <c r="N131">
        <f ca="1"/>
        <v>0.46229998230547509</v>
      </c>
      <c r="O131">
        <f ca="1"/>
        <v>0</v>
      </c>
      <c r="P131">
        <f ca="1"/>
        <v>28.619417908478773</v>
      </c>
      <c r="Q131">
        <f ca="1"/>
        <v>24.309930269750314</v>
      </c>
      <c r="R131">
        <f ca="1"/>
        <v>0.7874943127620635</v>
      </c>
      <c r="S131">
        <f ca="1"/>
        <v>1</v>
      </c>
      <c r="T131">
        <f ca="1"/>
        <v>3.6199999999999974</v>
      </c>
      <c r="U131">
        <f ca="1"/>
        <v>0</v>
      </c>
      <c r="V131">
        <f ca="1"/>
        <v>0.40421707900122023</v>
      </c>
      <c r="X131" s="2">
        <f t="shared" ca="1" si="8"/>
        <v>45507</v>
      </c>
      <c r="Y131">
        <f t="shared" ca="1" si="9"/>
        <v>0</v>
      </c>
      <c r="AA131" s="63">
        <f t="shared" ca="1" si="11"/>
        <v>32.291399724785194</v>
      </c>
      <c r="AB131" s="63">
        <f t="shared" ca="1" si="12"/>
        <v>32.291399724785194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45508</v>
      </c>
      <c r="K132">
        <f ca="1"/>
        <v>47.665935756995495</v>
      </c>
      <c r="L132">
        <f ca="1"/>
        <v>0.57212863143231374</v>
      </c>
      <c r="M132">
        <f ca="1"/>
        <v>4.6807463053767151E-2</v>
      </c>
      <c r="N132">
        <f ca="1"/>
        <v>0.44968669088071561</v>
      </c>
      <c r="O132">
        <f ca="1"/>
        <v>18</v>
      </c>
      <c r="P132">
        <f ca="1"/>
        <v>29.191546539911087</v>
      </c>
      <c r="Q132">
        <f ca="1"/>
        <v>24.795908257839535</v>
      </c>
      <c r="R132">
        <f ca="1"/>
        <v>1.1719895860587635</v>
      </c>
      <c r="S132">
        <f ca="1"/>
        <v>1</v>
      </c>
      <c r="T132">
        <f ca="1"/>
        <v>3.5499999999999972</v>
      </c>
      <c r="U132">
        <f ca="1"/>
        <v>0</v>
      </c>
      <c r="V132">
        <f ca="1"/>
        <v>0.41275989784548811</v>
      </c>
      <c r="X132" s="2">
        <f t="shared" ca="1" si="8"/>
        <v>45508</v>
      </c>
      <c r="Y132">
        <f t="shared" ca="1" si="9"/>
        <v>18</v>
      </c>
      <c r="AA132" s="63">
        <f t="shared" ca="1" si="11"/>
        <v>49.410053974486573</v>
      </c>
      <c r="AB132" s="63">
        <f t="shared" ca="1" si="12"/>
        <v>49.410053974486573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45509</v>
      </c>
      <c r="K133">
        <f ca="1"/>
        <v>46.699434832130144</v>
      </c>
      <c r="L133">
        <f ca="1"/>
        <v>0.57409412066046173</v>
      </c>
      <c r="M133">
        <f ca="1"/>
        <v>4.535031560799041E-2</v>
      </c>
      <c r="N133">
        <f ca="1"/>
        <v>0.44624588547237465</v>
      </c>
      <c r="O133">
        <f ca="1"/>
        <v>0</v>
      </c>
      <c r="P133">
        <f ca="1"/>
        <v>29.765640660571549</v>
      </c>
      <c r="Q133">
        <f ca="1"/>
        <v>25.283555773458467</v>
      </c>
      <c r="R133">
        <f ca="1"/>
        <v>0.88400300528524822</v>
      </c>
      <c r="S133">
        <f ca="1"/>
        <v>1</v>
      </c>
      <c r="T133">
        <f ca="1"/>
        <v>2.6899999999999977</v>
      </c>
      <c r="U133">
        <f ca="1"/>
        <v>0</v>
      </c>
      <c r="V133">
        <f ca="1"/>
        <v>0.42120960158389281</v>
      </c>
      <c r="X133" s="2">
        <f t="shared" ca="1" si="8"/>
        <v>45509</v>
      </c>
      <c r="Y133">
        <f t="shared" ca="1" si="9"/>
        <v>0</v>
      </c>
      <c r="AA133" s="63">
        <f t="shared" ca="1" si="11"/>
        <v>48.157531958075857</v>
      </c>
      <c r="AB133" s="63">
        <f t="shared" ca="1" si="12"/>
        <v>48.157531958075857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45510</v>
      </c>
      <c r="K134">
        <f ca="1"/>
        <v>46.022813675024068</v>
      </c>
      <c r="L134">
        <f ca="1"/>
        <v>0.59564563001348958</v>
      </c>
      <c r="M134">
        <f ca="1"/>
        <v>4.4521523479104985E-2</v>
      </c>
      <c r="N134">
        <f ca="1"/>
        <v>0.4509813044243538</v>
      </c>
      <c r="O134">
        <f ca="1"/>
        <v>0</v>
      </c>
      <c r="P134">
        <f ca="1"/>
        <v>30.361286290585038</v>
      </c>
      <c r="Q134">
        <f ca="1"/>
        <v>25.789509590458337</v>
      </c>
      <c r="R134">
        <f ca="1"/>
        <v>0.57647835499604272</v>
      </c>
      <c r="S134">
        <f ca="1"/>
        <v>1</v>
      </c>
      <c r="T134">
        <f ca="1"/>
        <v>1.7800000000000011</v>
      </c>
      <c r="U134">
        <f ca="1"/>
        <v>0</v>
      </c>
      <c r="V134">
        <f ca="1"/>
        <v>0.42984539456837223</v>
      </c>
      <c r="X134" s="2">
        <f t="shared" ca="1" si="8"/>
        <v>45510</v>
      </c>
      <c r="Y134">
        <f t="shared" ca="1" si="9"/>
        <v>0</v>
      </c>
      <c r="AA134" s="63">
        <f t="shared" ca="1" si="11"/>
        <v>47.194937660033602</v>
      </c>
      <c r="AB134" s="63">
        <f t="shared" ca="1" si="12"/>
        <v>47.194937660033602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ca="1" si="7"/>
        <v>1</v>
      </c>
      <c r="J135" s="2">
        <f ca="1"/>
        <v>45511</v>
      </c>
      <c r="K135">
        <f ca="1"/>
        <v>45.71211884018291</v>
      </c>
      <c r="L135">
        <f ca="1"/>
        <v>0.60514767454130336</v>
      </c>
      <c r="M135">
        <f ca="1"/>
        <v>4.3343616017750719E-2</v>
      </c>
      <c r="N135">
        <f ca="1"/>
        <v>0.45054950514067449</v>
      </c>
      <c r="O135">
        <f ca="1"/>
        <v>0</v>
      </c>
      <c r="P135">
        <f ca="1"/>
        <v>30.966433965126342</v>
      </c>
      <c r="Q135">
        <f ca="1"/>
        <v>26.303534642192265</v>
      </c>
      <c r="R135">
        <f ca="1"/>
        <v>0.19944028145827872</v>
      </c>
      <c r="S135">
        <f ca="1"/>
        <v>1</v>
      </c>
      <c r="T135">
        <f ca="1"/>
        <v>0.61999999999999744</v>
      </c>
      <c r="U135">
        <f ca="1"/>
        <v>0</v>
      </c>
      <c r="V135">
        <f ca="1"/>
        <v>0.43848100801867751</v>
      </c>
      <c r="X135" s="2">
        <f t="shared" ca="1" si="8"/>
        <v>45511</v>
      </c>
      <c r="Y135">
        <f t="shared" ca="1" si="9"/>
        <v>0</v>
      </c>
      <c r="AA135" s="63">
        <f t="shared" ca="1" si="11"/>
        <v>46.51670679618249</v>
      </c>
      <c r="AB135" s="63">
        <f t="shared" ca="1" si="12"/>
        <v>46.51670679618249</v>
      </c>
      <c r="AC135" s="3">
        <f t="shared" ca="1" si="13"/>
        <v>0</v>
      </c>
    </row>
    <row r="136" spans="8:29">
      <c r="H136" t="b">
        <f t="shared" ca="1" si="10"/>
        <v>1</v>
      </c>
      <c r="I136" t="b">
        <f t="shared" ca="1" si="7"/>
        <v>1</v>
      </c>
      <c r="J136" s="2">
        <f ca="1"/>
        <v>45512</v>
      </c>
      <c r="K136">
        <f ca="1"/>
        <v>44.657095197903899</v>
      </c>
      <c r="L136">
        <f ca="1"/>
        <v>0.62990676144370639</v>
      </c>
      <c r="M136">
        <f ca="1"/>
        <v>4.2605496687571076E-2</v>
      </c>
      <c r="N136">
        <f ca="1"/>
        <v>0.45618330312709132</v>
      </c>
      <c r="O136">
        <f ca="1"/>
        <v>0</v>
      </c>
      <c r="P136">
        <f ca="1"/>
        <v>31.596340726570048</v>
      </c>
      <c r="Q136">
        <f ca="1"/>
        <v>26.83859057855371</v>
      </c>
      <c r="R136">
        <f ca="1"/>
        <v>0.92390568064996448</v>
      </c>
      <c r="S136">
        <f ca="1"/>
        <v>1</v>
      </c>
      <c r="T136">
        <f ca="1"/>
        <v>2.9399999999999906</v>
      </c>
      <c r="U136">
        <f ca="1"/>
        <v>0</v>
      </c>
      <c r="V136">
        <f ca="1"/>
        <v>0.44732128245164154</v>
      </c>
      <c r="X136" s="2">
        <f t="shared" ca="1" si="8"/>
        <v>45512</v>
      </c>
      <c r="Y136">
        <f t="shared" ca="1" si="9"/>
        <v>0</v>
      </c>
      <c r="AA136" s="63">
        <f t="shared" ca="1" si="11"/>
        <v>46.210907639997572</v>
      </c>
      <c r="AB136" s="63">
        <f t="shared" ca="1" si="12"/>
        <v>46.210907639997572</v>
      </c>
      <c r="AC136" s="3">
        <f t="shared" ca="1" si="13"/>
        <v>0</v>
      </c>
    </row>
    <row r="137" spans="8:29">
      <c r="H137" t="b">
        <f t="shared" ca="1" si="10"/>
        <v>1</v>
      </c>
      <c r="I137" t="b">
        <f t="shared" ca="1" si="7"/>
        <v>1</v>
      </c>
      <c r="J137" s="2">
        <f ca="1"/>
        <v>45513</v>
      </c>
      <c r="K137">
        <f ca="1"/>
        <v>43.682394042046376</v>
      </c>
      <c r="L137">
        <f ca="1"/>
        <v>0.61692218753698569</v>
      </c>
      <c r="M137">
        <f ca="1"/>
        <v>4.0881177668047997E-2</v>
      </c>
      <c r="N137">
        <f ca="1"/>
        <v>0.44667507204730861</v>
      </c>
      <c r="O137">
        <f ca="1"/>
        <v>0</v>
      </c>
      <c r="P137">
        <f ca="1"/>
        <v>32.213262914107034</v>
      </c>
      <c r="Q137">
        <f ca="1"/>
        <v>27.362617147117952</v>
      </c>
      <c r="R137">
        <f ca="1"/>
        <v>0.84533521803589506</v>
      </c>
      <c r="S137">
        <f ca="1"/>
        <v>1</v>
      </c>
      <c r="T137">
        <f ca="1"/>
        <v>2.7499999999999929</v>
      </c>
      <c r="U137">
        <f ca="1"/>
        <v>0</v>
      </c>
      <c r="V137">
        <f ca="1"/>
        <v>0.45583170327483219</v>
      </c>
      <c r="X137" s="2">
        <f t="shared" ca="1" si="8"/>
        <v>45513</v>
      </c>
      <c r="Y137">
        <f t="shared" ca="1" si="9"/>
        <v>0</v>
      </c>
      <c r="AA137" s="63">
        <f t="shared" ca="1" si="11"/>
        <v>45.144651447619253</v>
      </c>
      <c r="AB137" s="63">
        <f t="shared" ca="1" si="12"/>
        <v>45.144651447619253</v>
      </c>
      <c r="AC137" s="3">
        <f t="shared" ca="1" si="13"/>
        <v>0</v>
      </c>
    </row>
    <row r="138" spans="8:29">
      <c r="H138" t="b">
        <f t="shared" ca="1" si="10"/>
        <v>1</v>
      </c>
      <c r="I138" t="b">
        <f t="shared" ca="1" si="7"/>
        <v>1</v>
      </c>
      <c r="J138" s="2">
        <f ca="1"/>
        <v>45514</v>
      </c>
      <c r="K138">
        <f ca="1"/>
        <v>42.347087828807986</v>
      </c>
      <c r="L138">
        <f ca="1"/>
        <v>0.6566938272088052</v>
      </c>
      <c r="M138">
        <f ca="1"/>
        <v>4.0554132554092348E-2</v>
      </c>
      <c r="N138">
        <f ca="1"/>
        <v>0.45792568199115918</v>
      </c>
      <c r="O138">
        <f ca="1"/>
        <v>0</v>
      </c>
      <c r="P138">
        <f ca="1"/>
        <v>32.869956741315839</v>
      </c>
      <c r="Q138">
        <f ca="1"/>
        <v>27.92042657563508</v>
      </c>
      <c r="R138">
        <f ca="1"/>
        <v>1.1770922005748303</v>
      </c>
      <c r="S138">
        <f ca="1"/>
        <v>1</v>
      </c>
      <c r="T138">
        <f ca="1"/>
        <v>3.9500000000000028</v>
      </c>
      <c r="U138">
        <f ca="1"/>
        <v>0</v>
      </c>
      <c r="V138">
        <f ca="1"/>
        <v>0.464729885428603</v>
      </c>
      <c r="X138" s="2">
        <f t="shared" ca="1" si="8"/>
        <v>45514</v>
      </c>
      <c r="Y138">
        <f t="shared" ca="1" si="9"/>
        <v>0</v>
      </c>
      <c r="AA138" s="63">
        <f t="shared" ca="1" si="11"/>
        <v>44.180873856591624</v>
      </c>
      <c r="AB138" s="63">
        <f t="shared" ca="1" si="12"/>
        <v>44.180873856591624</v>
      </c>
      <c r="AC138" s="3">
        <f t="shared" ca="1" si="13"/>
        <v>0</v>
      </c>
    </row>
    <row r="139" spans="8:29">
      <c r="H139" t="b">
        <f t="shared" ca="1" si="10"/>
        <v>1</v>
      </c>
      <c r="I139" t="b">
        <f t="shared" ref="I139:I202" ca="1" si="14">AND(IF(J139&gt;($J$7-1),TRUE,FALSE),IF(J139&lt;($J$8+1),TRUE,FALSE))</f>
        <v>1</v>
      </c>
      <c r="J139" s="2">
        <f ca="1"/>
        <v>45515</v>
      </c>
      <c r="K139">
        <f ca="1"/>
        <v>41.566342937727534</v>
      </c>
      <c r="L139">
        <f ca="1"/>
        <v>0.63643262334403516</v>
      </c>
      <c r="M139">
        <f ca="1"/>
        <v>3.8754146019861935E-2</v>
      </c>
      <c r="N139">
        <f ca="1"/>
        <v>0.44581695994970866</v>
      </c>
      <c r="O139">
        <f ca="1"/>
        <v>0</v>
      </c>
      <c r="P139">
        <f ca="1"/>
        <v>33.506389364659874</v>
      </c>
      <c r="Q139">
        <f ca="1"/>
        <v>28.461025715155117</v>
      </c>
      <c r="R139">
        <f ca="1"/>
        <v>0.62888337370599046</v>
      </c>
      <c r="S139">
        <f ca="1"/>
        <v>1</v>
      </c>
      <c r="T139">
        <f ca="1"/>
        <v>2.1500000000000057</v>
      </c>
      <c r="U139">
        <f ca="1"/>
        <v>0</v>
      </c>
      <c r="V139">
        <f ca="1"/>
        <v>0.47319517351843282</v>
      </c>
      <c r="X139" s="2">
        <f t="shared" ref="X139:X202" ca="1" si="15">IFERROR(J139,$X$9)</f>
        <v>45515</v>
      </c>
      <c r="Y139">
        <f t="shared" ref="Y139:Y202" ca="1" si="16">IFERROR(O139,0)</f>
        <v>0</v>
      </c>
      <c r="AA139" s="63">
        <f t="shared" ca="1" si="11"/>
        <v>42.831658934777558</v>
      </c>
      <c r="AB139" s="63">
        <f t="shared" ca="1" si="12"/>
        <v>42.831658934777558</v>
      </c>
      <c r="AC139" s="3">
        <f t="shared" ca="1" si="13"/>
        <v>0</v>
      </c>
    </row>
    <row r="140" spans="8:29">
      <c r="H140" t="b">
        <f t="shared" ref="H140:H203" ca="1" si="17">IF(J140&lt;$J$8,TRUE,FALSE)</f>
        <v>1</v>
      </c>
      <c r="I140" t="b">
        <f t="shared" ca="1" si="14"/>
        <v>1</v>
      </c>
      <c r="J140" s="2">
        <f ca="1"/>
        <v>45516</v>
      </c>
      <c r="K140">
        <f ca="1"/>
        <v>40.623281693956116</v>
      </c>
      <c r="L140">
        <f ca="1"/>
        <v>0.67391358111964905</v>
      </c>
      <c r="M140">
        <f ca="1"/>
        <v>3.8370299998362611E-2</v>
      </c>
      <c r="N140">
        <f ca="1"/>
        <v>0.4557483633996392</v>
      </c>
      <c r="O140">
        <f ca="1"/>
        <v>0</v>
      </c>
      <c r="P140">
        <f ca="1"/>
        <v>34.180302945779523</v>
      </c>
      <c r="Q140">
        <f ca="1"/>
        <v>29.033461961666013</v>
      </c>
      <c r="R140">
        <f ca="1"/>
        <v>0.76326632604977596</v>
      </c>
      <c r="S140">
        <f ca="1"/>
        <v>1</v>
      </c>
      <c r="T140">
        <f ca="1"/>
        <v>2.6700000000000017</v>
      </c>
      <c r="U140">
        <f ca="1"/>
        <v>0</v>
      </c>
      <c r="V140">
        <f ca="1"/>
        <v>0.48198936885210641</v>
      </c>
      <c r="X140" s="2">
        <f t="shared" ca="1" si="15"/>
        <v>45516</v>
      </c>
      <c r="Y140">
        <f t="shared" ca="1" si="16"/>
        <v>0</v>
      </c>
      <c r="AA140" s="63">
        <f t="shared" ca="1" si="11"/>
        <v>42.060461601125539</v>
      </c>
      <c r="AB140" s="63">
        <f t="shared" ca="1" si="12"/>
        <v>42.060461601125539</v>
      </c>
      <c r="AC140" s="3">
        <f t="shared" ca="1" si="13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45517</v>
      </c>
      <c r="K141">
        <f ca="1"/>
        <v>39.525028969654393</v>
      </c>
      <c r="L141">
        <f ca="1"/>
        <v>0.67034555467289181</v>
      </c>
      <c r="M141">
        <f ca="1"/>
        <v>3.7052478210817696E-2</v>
      </c>
      <c r="N141">
        <f ca="1"/>
        <v>0.45011796730593945</v>
      </c>
      <c r="O141">
        <f ca="1"/>
        <v>0</v>
      </c>
      <c r="P141">
        <f ca="1"/>
        <v>34.850648500452415</v>
      </c>
      <c r="Q141">
        <f ca="1"/>
        <v>29.602867452121746</v>
      </c>
      <c r="R141">
        <f ca="1"/>
        <v>0.91507761514559105</v>
      </c>
      <c r="S141">
        <f ca="1"/>
        <v>1</v>
      </c>
      <c r="T141">
        <f ca="1"/>
        <v>3.2899999999999991</v>
      </c>
      <c r="U141">
        <f ca="1"/>
        <v>0</v>
      </c>
      <c r="V141">
        <f ca="1"/>
        <v>0.49056450527284995</v>
      </c>
      <c r="X141" s="2">
        <f t="shared" ca="1" si="15"/>
        <v>45517</v>
      </c>
      <c r="Y141">
        <f t="shared" ca="1" si="16"/>
        <v>0</v>
      </c>
      <c r="AA141" s="63">
        <f t="shared" ref="AA141:AA204" ca="1" si="18">K140+M141+N141+O141</f>
        <v>41.110452139472876</v>
      </c>
      <c r="AB141" s="63">
        <f t="shared" ref="AB141:AB204" ca="1" si="19">K141+L141+R141</f>
        <v>41.110452139472876</v>
      </c>
      <c r="AC141" s="3">
        <f t="shared" ref="AC141:AC204" ca="1" si="20">AB141-AA141</f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45518</v>
      </c>
      <c r="K142">
        <f ca="1"/>
        <v>38.466777186320257</v>
      </c>
      <c r="L142">
        <f ca="1"/>
        <v>0.61570071066670806</v>
      </c>
      <c r="M142">
        <f ca="1"/>
        <v>3.4775817551640387E-2</v>
      </c>
      <c r="N142">
        <f ca="1"/>
        <v>0.42678484320459137</v>
      </c>
      <c r="O142">
        <f ca="1"/>
        <v>0</v>
      </c>
      <c r="P142">
        <f ca="1"/>
        <v>35.466349211119123</v>
      </c>
      <c r="Q142">
        <f ca="1"/>
        <v>30.125856472765282</v>
      </c>
      <c r="R142">
        <f ca="1"/>
        <v>0.90411173342366147</v>
      </c>
      <c r="S142">
        <f ca="1"/>
        <v>1</v>
      </c>
      <c r="T142">
        <f ca="1"/>
        <v>3.3400000000000034</v>
      </c>
      <c r="U142">
        <f ca="1"/>
        <v>0</v>
      </c>
      <c r="V142">
        <f ca="1"/>
        <v>0.49828981163233876</v>
      </c>
      <c r="X142" s="2">
        <f t="shared" ca="1" si="15"/>
        <v>45518</v>
      </c>
      <c r="Y142">
        <f t="shared" ca="1" si="16"/>
        <v>0</v>
      </c>
      <c r="AA142" s="63">
        <f t="shared" ca="1" si="18"/>
        <v>39.986589630410627</v>
      </c>
      <c r="AB142" s="63">
        <f t="shared" ca="1" si="19"/>
        <v>39.986589630410627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45519</v>
      </c>
      <c r="K143">
        <f ca="1"/>
        <v>37.60928467779074</v>
      </c>
      <c r="L143">
        <f ca="1"/>
        <v>0.62876779418417783</v>
      </c>
      <c r="M143">
        <f ca="1"/>
        <v>3.3995199066950477E-2</v>
      </c>
      <c r="N143">
        <f ca="1"/>
        <v>0.4280372818364685</v>
      </c>
      <c r="O143">
        <f ca="1"/>
        <v>0</v>
      </c>
      <c r="P143">
        <f ca="1"/>
        <v>36.095117005303301</v>
      </c>
      <c r="Q143">
        <f ca="1"/>
        <v>30.659944946589679</v>
      </c>
      <c r="R143">
        <f ca="1"/>
        <v>0.69075719524875645</v>
      </c>
      <c r="S143">
        <f ca="1"/>
        <v>1</v>
      </c>
      <c r="T143">
        <f ca="1"/>
        <v>2.6099999999999994</v>
      </c>
      <c r="U143">
        <f ca="1"/>
        <v>0</v>
      </c>
      <c r="V143">
        <f ca="1"/>
        <v>0.5060309984048974</v>
      </c>
      <c r="X143" s="2">
        <f t="shared" ca="1" si="15"/>
        <v>45519</v>
      </c>
      <c r="Y143">
        <f t="shared" ca="1" si="16"/>
        <v>0</v>
      </c>
      <c r="AA143" s="63">
        <f t="shared" ca="1" si="18"/>
        <v>38.928809667223675</v>
      </c>
      <c r="AB143" s="63">
        <f t="shared" ca="1" si="19"/>
        <v>38.928809667223675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45520</v>
      </c>
      <c r="K144">
        <f ca="1"/>
        <v>36.581867342616292</v>
      </c>
      <c r="L144">
        <f ca="1"/>
        <v>0.62354200299228779</v>
      </c>
      <c r="M144">
        <f ca="1"/>
        <v>3.289252143270005E-2</v>
      </c>
      <c r="N144">
        <f ca="1"/>
        <v>0.42304151733419176</v>
      </c>
      <c r="O144">
        <f ca="1"/>
        <v>0</v>
      </c>
      <c r="P144">
        <f ca="1"/>
        <v>36.718659008295589</v>
      </c>
      <c r="Q144">
        <f ca="1"/>
        <v>31.189594524420968</v>
      </c>
      <c r="R144">
        <f ca="1"/>
        <v>0.85980937094904897</v>
      </c>
      <c r="S144">
        <f ca="1"/>
        <v>1</v>
      </c>
      <c r="T144">
        <f ca="1"/>
        <v>3.3400000000000034</v>
      </c>
      <c r="U144">
        <f ca="1"/>
        <v>0</v>
      </c>
      <c r="V144">
        <f ca="1"/>
        <v>0.51356118867470346</v>
      </c>
      <c r="X144" s="2">
        <f t="shared" ca="1" si="15"/>
        <v>45520</v>
      </c>
      <c r="Y144">
        <f t="shared" ca="1" si="16"/>
        <v>0</v>
      </c>
      <c r="AA144" s="63">
        <f t="shared" ca="1" si="18"/>
        <v>38.065218716557631</v>
      </c>
      <c r="AB144" s="63">
        <f t="shared" ca="1" si="19"/>
        <v>38.065218716557631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45521</v>
      </c>
      <c r="K145">
        <f ca="1"/>
        <v>35.886504308190744</v>
      </c>
      <c r="L145">
        <f ca="1"/>
        <v>0.63280486322916829</v>
      </c>
      <c r="M145">
        <f ca="1"/>
        <v>3.2096364359809115E-2</v>
      </c>
      <c r="N145">
        <f ca="1"/>
        <v>0.42304151733419176</v>
      </c>
      <c r="O145">
        <f ca="1"/>
        <v>0</v>
      </c>
      <c r="P145">
        <f ca="1"/>
        <v>37.351463871524757</v>
      </c>
      <c r="Q145">
        <f ca="1"/>
        <v>31.727112168862728</v>
      </c>
      <c r="R145">
        <f ca="1"/>
        <v>0.51769605289038068</v>
      </c>
      <c r="S145">
        <f ca="1"/>
        <v>1</v>
      </c>
      <c r="T145">
        <f ca="1"/>
        <v>2.0499999999999972</v>
      </c>
      <c r="U145">
        <f ca="1"/>
        <v>0</v>
      </c>
      <c r="V145">
        <f ca="1"/>
        <v>0.52105523203062754</v>
      </c>
      <c r="X145" s="2">
        <f t="shared" ca="1" si="15"/>
        <v>45521</v>
      </c>
      <c r="Y145">
        <f t="shared" ca="1" si="16"/>
        <v>0</v>
      </c>
      <c r="AA145" s="63">
        <f t="shared" ca="1" si="18"/>
        <v>37.037005224310292</v>
      </c>
      <c r="AB145" s="63">
        <f t="shared" ca="1" si="19"/>
        <v>37.037005224310292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45522</v>
      </c>
      <c r="K146">
        <f ca="1"/>
        <v>35.261932569348886</v>
      </c>
      <c r="L146">
        <f ca="1"/>
        <v>0.64979374235860377</v>
      </c>
      <c r="M146">
        <f ca="1"/>
        <v>3.1450040857592398E-2</v>
      </c>
      <c r="N146">
        <f ca="1"/>
        <v>0.42553473700829264</v>
      </c>
      <c r="O146">
        <f ca="1"/>
        <v>0</v>
      </c>
      <c r="P146">
        <f ca="1"/>
        <v>38.001257613883361</v>
      </c>
      <c r="Q146">
        <f ca="1"/>
        <v>32.279060521445331</v>
      </c>
      <c r="R146">
        <f ca="1"/>
        <v>0.43176277434913896</v>
      </c>
      <c r="S146">
        <f ca="1"/>
        <v>1</v>
      </c>
      <c r="T146">
        <f ca="1"/>
        <v>1.740000000000002</v>
      </c>
      <c r="U146">
        <f ca="1"/>
        <v>0</v>
      </c>
      <c r="V146">
        <f ca="1"/>
        <v>0.52859685326491967</v>
      </c>
      <c r="X146" s="2">
        <f t="shared" ca="1" si="15"/>
        <v>45522</v>
      </c>
      <c r="Y146">
        <f t="shared" ca="1" si="16"/>
        <v>0</v>
      </c>
      <c r="AA146" s="63">
        <f t="shared" ca="1" si="18"/>
        <v>36.343489086056628</v>
      </c>
      <c r="AB146" s="63">
        <f t="shared" ca="1" si="19"/>
        <v>36.343489086056628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45523</v>
      </c>
      <c r="K147">
        <f ca="1"/>
        <v>34.305793155336758</v>
      </c>
      <c r="L147">
        <f ca="1"/>
        <v>0.69565385913618627</v>
      </c>
      <c r="M147">
        <f ca="1"/>
        <v>3.1282870368833926E-2</v>
      </c>
      <c r="N147">
        <f ca="1"/>
        <v>0.43729320855271786</v>
      </c>
      <c r="O147">
        <f ca="1"/>
        <v>0</v>
      </c>
      <c r="P147">
        <f ca="1"/>
        <v>38.696911473019547</v>
      </c>
      <c r="Q147">
        <f ca="1"/>
        <v>32.869963413375679</v>
      </c>
      <c r="R147">
        <f ca="1"/>
        <v>0.72906163379749078</v>
      </c>
      <c r="S147">
        <f ca="1"/>
        <v>1</v>
      </c>
      <c r="T147">
        <f ca="1"/>
        <v>3.0200000000000031</v>
      </c>
      <c r="U147">
        <f ca="1"/>
        <v>0</v>
      </c>
      <c r="V147">
        <f ca="1"/>
        <v>0.53650019001479854</v>
      </c>
      <c r="X147" s="2">
        <f t="shared" ca="1" si="15"/>
        <v>45523</v>
      </c>
      <c r="Y147">
        <f t="shared" ca="1" si="16"/>
        <v>0</v>
      </c>
      <c r="AA147" s="63">
        <f t="shared" ca="1" si="18"/>
        <v>35.730508648270437</v>
      </c>
      <c r="AB147" s="63">
        <f t="shared" ca="1" si="19"/>
        <v>35.730508648270437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45524</v>
      </c>
      <c r="K148">
        <f ca="1"/>
        <v>33.526188964135564</v>
      </c>
      <c r="L148">
        <f ca="1"/>
        <v>0.74328734297330357</v>
      </c>
      <c r="M148">
        <f ca="1"/>
        <v>3.1103299204978896E-2</v>
      </c>
      <c r="N148">
        <f ca="1"/>
        <v>0.44925567582552356</v>
      </c>
      <c r="O148">
        <f ca="1"/>
        <v>0</v>
      </c>
      <c r="P148">
        <f ca="1"/>
        <v>39.440198815992851</v>
      </c>
      <c r="Q148">
        <f ca="1"/>
        <v>33.501327179607834</v>
      </c>
      <c r="R148">
        <f ca="1"/>
        <v>0.516675823258398</v>
      </c>
      <c r="S148">
        <f ca="1"/>
        <v>1</v>
      </c>
      <c r="T148">
        <f ca="1"/>
        <v>2.1899999999999906</v>
      </c>
      <c r="U148">
        <f ca="1"/>
        <v>0</v>
      </c>
      <c r="V148">
        <f ca="1"/>
        <v>0.5447523696457347</v>
      </c>
      <c r="X148" s="2">
        <f t="shared" ca="1" si="15"/>
        <v>45524</v>
      </c>
      <c r="Y148">
        <f t="shared" ca="1" si="16"/>
        <v>0</v>
      </c>
      <c r="AA148" s="63">
        <f t="shared" ca="1" si="18"/>
        <v>34.786152130367263</v>
      </c>
      <c r="AB148" s="63">
        <f t="shared" ca="1" si="19"/>
        <v>34.786152130367263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45525</v>
      </c>
      <c r="K149">
        <f ca="1"/>
        <v>32.768492712652652</v>
      </c>
      <c r="L149">
        <f ca="1"/>
        <v>0.77276134842441735</v>
      </c>
      <c r="M149">
        <f ca="1"/>
        <v>3.0595744889843957E-2</v>
      </c>
      <c r="N149">
        <f ca="1"/>
        <v>0.45487926965996217</v>
      </c>
      <c r="O149">
        <f ca="1"/>
        <v>0</v>
      </c>
      <c r="P149">
        <f ca="1"/>
        <v>40.212960164417268</v>
      </c>
      <c r="Q149">
        <f ca="1"/>
        <v>34.157726780586103</v>
      </c>
      <c r="R149">
        <f ca="1"/>
        <v>0.47040991760830236</v>
      </c>
      <c r="S149">
        <f ca="1"/>
        <v>1</v>
      </c>
      <c r="T149">
        <f ca="1"/>
        <v>2.0399999999999991</v>
      </c>
      <c r="U149">
        <f ca="1"/>
        <v>0</v>
      </c>
      <c r="V149">
        <f ca="1"/>
        <v>0.55312428577501693</v>
      </c>
      <c r="X149" s="2">
        <f t="shared" ca="1" si="15"/>
        <v>45525</v>
      </c>
      <c r="Y149">
        <f t="shared" ca="1" si="16"/>
        <v>0</v>
      </c>
      <c r="AA149" s="63">
        <f t="shared" ca="1" si="18"/>
        <v>34.01166397868537</v>
      </c>
      <c r="AB149" s="63">
        <f t="shared" ca="1" si="19"/>
        <v>34.01166397868537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45526</v>
      </c>
      <c r="K150">
        <f ca="1"/>
        <v>32.164467915791121</v>
      </c>
      <c r="L150">
        <f ca="1"/>
        <v>0.81951789563672151</v>
      </c>
      <c r="M150">
        <f ca="1"/>
        <v>3.0339543000472702E-2</v>
      </c>
      <c r="N150">
        <f ca="1"/>
        <v>0.46581832025473369</v>
      </c>
      <c r="O150">
        <f ca="1"/>
        <v>0</v>
      </c>
      <c r="P150">
        <f ca="1"/>
        <v>41.03247806005399</v>
      </c>
      <c r="Q150">
        <f ca="1"/>
        <v>34.853842367613439</v>
      </c>
      <c r="R150">
        <f ca="1"/>
        <v>0.28066476448001482</v>
      </c>
      <c r="S150">
        <f ca="1"/>
        <v>1</v>
      </c>
      <c r="T150">
        <f ca="1"/>
        <v>1.240000000000002</v>
      </c>
      <c r="U150">
        <f ca="1"/>
        <v>0</v>
      </c>
      <c r="V150">
        <f ca="1"/>
        <v>0.56177557968950353</v>
      </c>
      <c r="X150" s="2">
        <f t="shared" ca="1" si="15"/>
        <v>45526</v>
      </c>
      <c r="Y150">
        <f t="shared" ca="1" si="16"/>
        <v>0</v>
      </c>
      <c r="AA150" s="63">
        <f t="shared" ca="1" si="18"/>
        <v>33.264650575907858</v>
      </c>
      <c r="AB150" s="63">
        <f t="shared" ca="1" si="19"/>
        <v>33.264650575907858</v>
      </c>
      <c r="AC150" s="3">
        <f t="shared" ca="1" si="20"/>
        <v>0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45527</v>
      </c>
      <c r="K151">
        <f ca="1"/>
        <v>31.543467723108311</v>
      </c>
      <c r="L151">
        <f ca="1"/>
        <v>0.83493856541098666</v>
      </c>
      <c r="M151">
        <f ca="1"/>
        <v>2.9584217361652065E-2</v>
      </c>
      <c r="N151">
        <f ca="1"/>
        <v>0.46625929468452537</v>
      </c>
      <c r="O151">
        <f ca="1"/>
        <v>0</v>
      </c>
      <c r="P151">
        <f ca="1"/>
        <v>41.867416625464976</v>
      </c>
      <c r="Q151">
        <f ca="1"/>
        <v>35.563056593059059</v>
      </c>
      <c r="R151">
        <f ca="1"/>
        <v>0.28190513931800204</v>
      </c>
      <c r="S151">
        <f ca="1"/>
        <v>1</v>
      </c>
      <c r="T151">
        <f ca="1"/>
        <v>1.2700000000000031</v>
      </c>
      <c r="U151">
        <f ca="1"/>
        <v>0</v>
      </c>
      <c r="V151">
        <f ca="1"/>
        <v>0.57035371315240169</v>
      </c>
      <c r="X151" s="2">
        <f t="shared" ca="1" si="15"/>
        <v>45527</v>
      </c>
      <c r="Y151">
        <f t="shared" ca="1" si="16"/>
        <v>0</v>
      </c>
      <c r="AA151" s="63">
        <f t="shared" ca="1" si="18"/>
        <v>32.6603114278373</v>
      </c>
      <c r="AB151" s="63">
        <f t="shared" ca="1" si="19"/>
        <v>32.6603114278373</v>
      </c>
      <c r="AC151" s="3">
        <f t="shared" ca="1" si="20"/>
        <v>0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45528</v>
      </c>
      <c r="K152">
        <f ca="1"/>
        <v>30.050704376782477</v>
      </c>
      <c r="L152">
        <f ca="1"/>
        <v>0.87587779905999241</v>
      </c>
      <c r="M152">
        <f ca="1"/>
        <v>2.9206637386415935E-2</v>
      </c>
      <c r="N152">
        <f ca="1"/>
        <v>0.474687789696628</v>
      </c>
      <c r="O152">
        <f ca="1"/>
        <v>0</v>
      </c>
      <c r="P152">
        <f ca="1"/>
        <v>42.743294424524969</v>
      </c>
      <c r="Q152">
        <f ca="1"/>
        <v>36.307045457125461</v>
      </c>
      <c r="R152">
        <f ca="1"/>
        <v>1.1207799743488867</v>
      </c>
      <c r="S152">
        <f ca="1"/>
        <v>1</v>
      </c>
      <c r="T152">
        <f ca="1"/>
        <v>5.2999999999999972</v>
      </c>
      <c r="U152">
        <f ca="1"/>
        <v>0</v>
      </c>
      <c r="V152">
        <f ca="1"/>
        <v>0.57910182334862781</v>
      </c>
      <c r="X152" s="2">
        <f t="shared" ca="1" si="15"/>
        <v>45528</v>
      </c>
      <c r="Y152">
        <f t="shared" ca="1" si="16"/>
        <v>0</v>
      </c>
      <c r="AA152" s="63">
        <f t="shared" ca="1" si="18"/>
        <v>32.047362150191354</v>
      </c>
      <c r="AB152" s="63">
        <f t="shared" ca="1" si="19"/>
        <v>32.047362150191354</v>
      </c>
      <c r="AC152" s="3">
        <f t="shared" ca="1" si="20"/>
        <v>0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45529</v>
      </c>
      <c r="K153">
        <f ca="1"/>
        <v>29.155130728167389</v>
      </c>
      <c r="L153">
        <f ca="1"/>
        <v>0.871103311367591</v>
      </c>
      <c r="M153">
        <f ca="1"/>
        <v>2.818251894243673E-2</v>
      </c>
      <c r="N153">
        <f ca="1"/>
        <v>0.46846811008464367</v>
      </c>
      <c r="O153">
        <f ca="1"/>
        <v>0</v>
      </c>
      <c r="P153">
        <f ca="1"/>
        <v>43.61439773589256</v>
      </c>
      <c r="Q153">
        <f ca="1"/>
        <v>37.046978771800639</v>
      </c>
      <c r="R153">
        <f ca="1"/>
        <v>0.52112096627457694</v>
      </c>
      <c r="S153">
        <f ca="1"/>
        <v>1</v>
      </c>
      <c r="T153">
        <f ca="1"/>
        <v>2.5399999999999991</v>
      </c>
      <c r="U153">
        <f ca="1"/>
        <v>0</v>
      </c>
      <c r="V153">
        <f ca="1"/>
        <v>0.58755338385764222</v>
      </c>
      <c r="X153" s="2">
        <f t="shared" ca="1" si="15"/>
        <v>45529</v>
      </c>
      <c r="Y153">
        <f t="shared" ca="1" si="16"/>
        <v>0</v>
      </c>
      <c r="AA153" s="63">
        <f t="shared" ca="1" si="18"/>
        <v>30.547355005809557</v>
      </c>
      <c r="AB153" s="63">
        <f t="shared" ca="1" si="19"/>
        <v>30.547355005809557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45530</v>
      </c>
      <c r="K154">
        <f ca="1"/>
        <v>28.589174603533824</v>
      </c>
      <c r="L154">
        <f ca="1"/>
        <v>0.881453841610913</v>
      </c>
      <c r="M154">
        <f ca="1"/>
        <v>2.7408626578932171E-2</v>
      </c>
      <c r="N154">
        <f ca="1"/>
        <v>0.46714203208202892</v>
      </c>
      <c r="O154">
        <f ca="1"/>
        <v>0</v>
      </c>
      <c r="P154">
        <f ca="1"/>
        <v>44.495851577503473</v>
      </c>
      <c r="Q154">
        <f ca="1"/>
        <v>37.795704042667047</v>
      </c>
      <c r="R154">
        <f ca="1"/>
        <v>0.17905294168361385</v>
      </c>
      <c r="S154">
        <f ca="1"/>
        <v>1</v>
      </c>
      <c r="T154">
        <f ca="1"/>
        <v>0.89000000000000057</v>
      </c>
      <c r="U154">
        <f ca="1"/>
        <v>0</v>
      </c>
      <c r="V154">
        <f ca="1"/>
        <v>0.59585872900891834</v>
      </c>
      <c r="X154" s="2">
        <f t="shared" ca="1" si="15"/>
        <v>45530</v>
      </c>
      <c r="Y154">
        <f t="shared" ca="1" si="16"/>
        <v>0</v>
      </c>
      <c r="AA154" s="63">
        <f t="shared" ca="1" si="18"/>
        <v>29.649681386828352</v>
      </c>
      <c r="AB154" s="63">
        <f t="shared" ca="1" si="19"/>
        <v>29.649681386828352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45531</v>
      </c>
      <c r="K155">
        <f ca="1"/>
        <v>28.164184614191011</v>
      </c>
      <c r="L155">
        <f ca="1"/>
        <v>0.84589214468532958</v>
      </c>
      <c r="M155">
        <f ca="1"/>
        <v>2.6099682951866043E-2</v>
      </c>
      <c r="N155">
        <f ca="1"/>
        <v>0.45227827136257215</v>
      </c>
      <c r="O155">
        <f ca="1"/>
        <v>0</v>
      </c>
      <c r="P155">
        <f ca="1"/>
        <v>45.341743722188802</v>
      </c>
      <c r="Q155">
        <f ca="1"/>
        <v>38.514222466724085</v>
      </c>
      <c r="R155">
        <f ca="1"/>
        <v>5.747579897192296E-2</v>
      </c>
      <c r="S155">
        <f ca="1"/>
        <v>1</v>
      </c>
      <c r="T155">
        <f ca="1"/>
        <v>0.28999999999999915</v>
      </c>
      <c r="U155">
        <f ca="1"/>
        <v>0</v>
      </c>
      <c r="V155">
        <f ca="1"/>
        <v>0.60360139663743284</v>
      </c>
      <c r="X155" s="2">
        <f t="shared" ca="1" si="15"/>
        <v>45531</v>
      </c>
      <c r="Y155">
        <f t="shared" ca="1" si="16"/>
        <v>0</v>
      </c>
      <c r="AA155" s="63">
        <f t="shared" ca="1" si="18"/>
        <v>29.067552557848263</v>
      </c>
      <c r="AB155" s="63">
        <f t="shared" ca="1" si="19"/>
        <v>29.067552557848263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45532</v>
      </c>
      <c r="K156">
        <f ca="1"/>
        <v>27.74002523576436</v>
      </c>
      <c r="L156">
        <f ca="1"/>
        <v>0.85609555449003949</v>
      </c>
      <c r="M156">
        <f ca="1"/>
        <v>2.5420555415287538E-2</v>
      </c>
      <c r="N156">
        <f ca="1"/>
        <v>0.45141336519635517</v>
      </c>
      <c r="O156">
        <f ca="1"/>
        <v>0</v>
      </c>
      <c r="P156">
        <f ca="1"/>
        <v>46.197839276678842</v>
      </c>
      <c r="Q156">
        <f ca="1"/>
        <v>39.241407879804427</v>
      </c>
      <c r="R156">
        <f ca="1"/>
        <v>4.4897744548255042E-2</v>
      </c>
      <c r="S156">
        <f ca="1"/>
        <v>1</v>
      </c>
      <c r="T156">
        <f ca="1"/>
        <v>0.22999999999999687</v>
      </c>
      <c r="U156">
        <f ca="1"/>
        <v>0</v>
      </c>
      <c r="V156">
        <f ca="1"/>
        <v>0.61121617001623729</v>
      </c>
      <c r="X156" s="2">
        <f t="shared" ca="1" si="15"/>
        <v>45532</v>
      </c>
      <c r="Y156">
        <f t="shared" ca="1" si="16"/>
        <v>0</v>
      </c>
      <c r="AA156" s="63">
        <f t="shared" ca="1" si="18"/>
        <v>28.641018534802654</v>
      </c>
      <c r="AB156" s="63">
        <f t="shared" ca="1" si="19"/>
        <v>28.641018534802654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45533</v>
      </c>
      <c r="K157">
        <f ca="1"/>
        <v>27.110611355961936</v>
      </c>
      <c r="L157">
        <f ca="1"/>
        <v>0.8906350918882282</v>
      </c>
      <c r="M157">
        <f ca="1"/>
        <v>2.5034434283085716E-2</v>
      </c>
      <c r="N157">
        <f ca="1"/>
        <v>0.45748969420471858</v>
      </c>
      <c r="O157">
        <f ca="1"/>
        <v>0</v>
      </c>
      <c r="P157">
        <f ca="1"/>
        <v>47.08847436856707</v>
      </c>
      <c r="Q157">
        <f ca="1"/>
        <v>39.997931896080146</v>
      </c>
      <c r="R157">
        <f ca="1"/>
        <v>0.22130291640199973</v>
      </c>
      <c r="S157">
        <f ca="1"/>
        <v>1</v>
      </c>
      <c r="T157">
        <f ca="1"/>
        <v>1.1599999999999966</v>
      </c>
      <c r="U157">
        <f ca="1"/>
        <v>0</v>
      </c>
      <c r="V157">
        <f ca="1"/>
        <v>0.61890800315886796</v>
      </c>
      <c r="X157" s="2">
        <f t="shared" ca="1" si="15"/>
        <v>45533</v>
      </c>
      <c r="Y157">
        <f t="shared" ca="1" si="16"/>
        <v>0</v>
      </c>
      <c r="AA157" s="63">
        <f t="shared" ca="1" si="18"/>
        <v>28.222549364252163</v>
      </c>
      <c r="AB157" s="63">
        <f t="shared" ca="1" si="19"/>
        <v>28.222549364252163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45534</v>
      </c>
      <c r="K158">
        <f ca="1"/>
        <v>26.176631648681859</v>
      </c>
      <c r="L158">
        <f ca="1"/>
        <v>0.91388043285547127</v>
      </c>
      <c r="M158">
        <f ca="1"/>
        <v>2.4515410596414711E-2</v>
      </c>
      <c r="N158">
        <f ca="1"/>
        <v>0.46010955336060227</v>
      </c>
      <c r="O158">
        <f ca="1"/>
        <v>0</v>
      </c>
      <c r="P158">
        <f ca="1"/>
        <v>48.002354801422541</v>
      </c>
      <c r="Q158">
        <f ca="1"/>
        <v>40.774200989625328</v>
      </c>
      <c r="R158">
        <f ca="1"/>
        <v>0.50472423838162184</v>
      </c>
      <c r="S158">
        <f ca="1"/>
        <v>1</v>
      </c>
      <c r="T158">
        <f ca="1"/>
        <v>2.740000000000002</v>
      </c>
      <c r="U158">
        <f ca="1"/>
        <v>0</v>
      </c>
      <c r="V158">
        <f ca="1"/>
        <v>0.62656324916468342</v>
      </c>
      <c r="X158" s="2">
        <f t="shared" ca="1" si="15"/>
        <v>45534</v>
      </c>
      <c r="Y158">
        <f t="shared" ca="1" si="16"/>
        <v>0</v>
      </c>
      <c r="AA158" s="63">
        <f t="shared" ca="1" si="18"/>
        <v>27.595236319918953</v>
      </c>
      <c r="AB158" s="63">
        <f t="shared" ca="1" si="19"/>
        <v>27.595236319918953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45535</v>
      </c>
      <c r="K159">
        <f ca="1"/>
        <v>25.580021225175894</v>
      </c>
      <c r="L159">
        <f ca="1"/>
        <v>0.9046447612648123</v>
      </c>
      <c r="M159">
        <f ca="1"/>
        <v>2.366384836667379E-2</v>
      </c>
      <c r="N159">
        <f ca="1"/>
        <v>0.45357759275574083</v>
      </c>
      <c r="O159">
        <f ca="1"/>
        <v>0</v>
      </c>
      <c r="P159">
        <f ca="1"/>
        <v>48.906999562687353</v>
      </c>
      <c r="Q159">
        <f ca="1"/>
        <v>41.542625111163012</v>
      </c>
      <c r="R159">
        <f ca="1"/>
        <v>0.1692071033635692</v>
      </c>
      <c r="S159">
        <f ca="1"/>
        <v>1</v>
      </c>
      <c r="T159">
        <f ca="1"/>
        <v>0.93999999999999062</v>
      </c>
      <c r="U159">
        <f ca="1"/>
        <v>0</v>
      </c>
      <c r="V159">
        <f ca="1"/>
        <v>0.63391107786443945</v>
      </c>
      <c r="X159" s="2">
        <f t="shared" ca="1" si="15"/>
        <v>45535</v>
      </c>
      <c r="Y159">
        <f t="shared" ca="1" si="16"/>
        <v>0</v>
      </c>
      <c r="AA159" s="63">
        <f t="shared" ca="1" si="18"/>
        <v>26.653873089804275</v>
      </c>
      <c r="AB159" s="63">
        <f t="shared" ca="1" si="19"/>
        <v>26.653873089804275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45536</v>
      </c>
      <c r="K160">
        <f ca="1"/>
        <v>24.999511737937528</v>
      </c>
      <c r="L160">
        <f ca="1"/>
        <v>0.92793131345644753</v>
      </c>
      <c r="M160">
        <f ca="1"/>
        <v>2.3180390596770906E-2</v>
      </c>
      <c r="N160">
        <f ca="1"/>
        <v>0.45618330312709132</v>
      </c>
      <c r="O160">
        <f ca="1"/>
        <v>0</v>
      </c>
      <c r="P160">
        <f ca="1"/>
        <v>49.834930876143801</v>
      </c>
      <c r="Q160">
        <f ca="1"/>
        <v>42.330829315643392</v>
      </c>
      <c r="R160">
        <f ca="1"/>
        <v>0.13194186750578141</v>
      </c>
      <c r="S160">
        <f ca="1"/>
        <v>1</v>
      </c>
      <c r="T160">
        <f ca="1"/>
        <v>0.75</v>
      </c>
      <c r="U160">
        <f ca="1"/>
        <v>0</v>
      </c>
      <c r="V160">
        <f ca="1"/>
        <v>0.64121722787657642</v>
      </c>
      <c r="X160" s="2">
        <f t="shared" ca="1" si="15"/>
        <v>45536</v>
      </c>
      <c r="Y160">
        <f t="shared" ca="1" si="16"/>
        <v>0</v>
      </c>
      <c r="AA160" s="63">
        <f t="shared" ca="1" si="18"/>
        <v>26.059384918899756</v>
      </c>
      <c r="AB160" s="63">
        <f t="shared" ca="1" si="19"/>
        <v>26.059384918899756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45537</v>
      </c>
      <c r="K161">
        <f ca="1"/>
        <v>24.449952110577073</v>
      </c>
      <c r="L161">
        <f ca="1"/>
        <v>1.0360217110940511</v>
      </c>
      <c r="M161">
        <f ca="1"/>
        <v>2.3528908353341649E-2</v>
      </c>
      <c r="N161">
        <f ca="1"/>
        <v>0.4818592494214049</v>
      </c>
      <c r="O161">
        <f ca="1"/>
        <v>0</v>
      </c>
      <c r="P161">
        <f ca="1"/>
        <v>50.870952587237852</v>
      </c>
      <c r="Q161">
        <f ca="1"/>
        <v>43.210847757499337</v>
      </c>
      <c r="R161">
        <f ca="1"/>
        <v>1.8926074041149085E-2</v>
      </c>
      <c r="S161">
        <f ca="1"/>
        <v>1</v>
      </c>
      <c r="T161">
        <f ca="1"/>
        <v>0.10999999999999233</v>
      </c>
      <c r="U161">
        <f ca="1"/>
        <v>0</v>
      </c>
      <c r="V161">
        <f ca="1"/>
        <v>0.64910687465414862</v>
      </c>
      <c r="X161" s="2">
        <f t="shared" ca="1" si="15"/>
        <v>45537</v>
      </c>
      <c r="Y161">
        <f t="shared" ca="1" si="16"/>
        <v>0</v>
      </c>
      <c r="AA161" s="63">
        <f t="shared" ca="1" si="18"/>
        <v>25.504899895712274</v>
      </c>
      <c r="AB161" s="63">
        <f t="shared" ca="1" si="19"/>
        <v>25.504899895712274</v>
      </c>
      <c r="AC161" s="3">
        <f t="shared" ca="1" si="20"/>
        <v>0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45538</v>
      </c>
      <c r="K162">
        <f ca="1"/>
        <v>23.609018190665221</v>
      </c>
      <c r="L162">
        <f ca="1"/>
        <v>1.0696264825236597</v>
      </c>
      <c r="M162">
        <f ca="1"/>
        <v>2.3089260207235895E-2</v>
      </c>
      <c r="N162">
        <f ca="1"/>
        <v>0.48637573725726346</v>
      </c>
      <c r="O162">
        <f ca="1"/>
        <v>0</v>
      </c>
      <c r="P162">
        <f ca="1"/>
        <v>51.940579069761512</v>
      </c>
      <c r="Q162">
        <f ca="1"/>
        <v>44.119410792847624</v>
      </c>
      <c r="R162">
        <f ca="1"/>
        <v>0.2807724348526886</v>
      </c>
      <c r="S162">
        <f ca="1"/>
        <v>1</v>
      </c>
      <c r="T162">
        <f ca="1"/>
        <v>1.6899999999999977</v>
      </c>
      <c r="U162">
        <f ca="1"/>
        <v>0</v>
      </c>
      <c r="V162">
        <f ca="1"/>
        <v>0.6569661966074074</v>
      </c>
      <c r="X162" s="2">
        <f t="shared" ca="1" si="15"/>
        <v>45538</v>
      </c>
      <c r="Y162">
        <f t="shared" ca="1" si="16"/>
        <v>0</v>
      </c>
      <c r="AA162" s="63">
        <f t="shared" ca="1" si="18"/>
        <v>24.959417108041571</v>
      </c>
      <c r="AB162" s="63">
        <f t="shared" ca="1" si="19"/>
        <v>24.959417108041571</v>
      </c>
      <c r="AC162" s="3">
        <f t="shared" ca="1" si="20"/>
        <v>0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45539</v>
      </c>
      <c r="K163">
        <f ca="1"/>
        <v>22.429910094447362</v>
      </c>
      <c r="L163">
        <f ca="1"/>
        <v>1.1192389633062376</v>
      </c>
      <c r="M163">
        <f ca="1"/>
        <v>2.2795708544855131E-2</v>
      </c>
      <c r="N163">
        <f ca="1"/>
        <v>0.49502995408717609</v>
      </c>
      <c r="O163">
        <f ca="1"/>
        <v>0</v>
      </c>
      <c r="P163">
        <f ca="1"/>
        <v>53.059818033067749</v>
      </c>
      <c r="Q163">
        <f ca="1"/>
        <v>45.070115703764117</v>
      </c>
      <c r="R163">
        <f ca="1"/>
        <v>0.57769479554365488</v>
      </c>
      <c r="S163">
        <f ca="1"/>
        <v>1</v>
      </c>
      <c r="T163">
        <f ca="1"/>
        <v>3.6599999999999966</v>
      </c>
      <c r="U163">
        <f ca="1"/>
        <v>0</v>
      </c>
      <c r="V163">
        <f ca="1"/>
        <v>0.6648899769489528</v>
      </c>
      <c r="X163" s="2">
        <f t="shared" ca="1" si="15"/>
        <v>45539</v>
      </c>
      <c r="Y163">
        <f t="shared" ca="1" si="16"/>
        <v>0</v>
      </c>
      <c r="AA163" s="63">
        <f t="shared" ca="1" si="18"/>
        <v>24.126843853297252</v>
      </c>
      <c r="AB163" s="63">
        <f t="shared" ca="1" si="19"/>
        <v>24.126843853297252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45540</v>
      </c>
      <c r="K164">
        <f ca="1"/>
        <v>21.555779751529066</v>
      </c>
      <c r="L164">
        <f ca="1"/>
        <v>1.1296195276498722</v>
      </c>
      <c r="M164">
        <f ca="1"/>
        <v>2.2133808966728452E-2</v>
      </c>
      <c r="N164">
        <f ca="1"/>
        <v>0.49274325877491554</v>
      </c>
      <c r="O164">
        <f ca="1"/>
        <v>0</v>
      </c>
      <c r="P164">
        <f ca="1"/>
        <v>54.189437560717622</v>
      </c>
      <c r="Q164">
        <f ca="1"/>
        <v>46.029638082462853</v>
      </c>
      <c r="R164">
        <f ca="1"/>
        <v>0.25938788301006549</v>
      </c>
      <c r="S164">
        <f ca="1"/>
        <v>1</v>
      </c>
      <c r="T164">
        <f ca="1"/>
        <v>1.7099999999999937</v>
      </c>
      <c r="U164">
        <f ca="1"/>
        <v>0</v>
      </c>
      <c r="V164">
        <f ca="1"/>
        <v>0.67258783287045365</v>
      </c>
      <c r="X164" s="2">
        <f t="shared" ca="1" si="15"/>
        <v>45540</v>
      </c>
      <c r="Y164">
        <f t="shared" ca="1" si="16"/>
        <v>0</v>
      </c>
      <c r="AA164" s="63">
        <f t="shared" ca="1" si="18"/>
        <v>22.944787162189005</v>
      </c>
      <c r="AB164" s="63">
        <f t="shared" ca="1" si="19"/>
        <v>22.944787162189005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45541</v>
      </c>
      <c r="K165">
        <f ca="1"/>
        <v>20.879099059246563</v>
      </c>
      <c r="L165">
        <f ca="1"/>
        <v>1.0980959225152134</v>
      </c>
      <c r="M165">
        <f ca="1"/>
        <v>2.1144894638140954E-2</v>
      </c>
      <c r="N165">
        <f ca="1"/>
        <v>0.4796109120197049</v>
      </c>
      <c r="O165">
        <f ca="1"/>
        <v>0</v>
      </c>
      <c r="P165">
        <f ca="1"/>
        <v>55.287533483232835</v>
      </c>
      <c r="Q165">
        <f ca="1"/>
        <v>46.962383653711292</v>
      </c>
      <c r="R165">
        <f ca="1"/>
        <v>7.9340576425136811E-2</v>
      </c>
      <c r="S165">
        <f ca="1"/>
        <v>1</v>
      </c>
      <c r="T165">
        <f ca="1"/>
        <v>0.53999999999999915</v>
      </c>
      <c r="U165">
        <f ca="1"/>
        <v>0</v>
      </c>
      <c r="V165">
        <f ca="1"/>
        <v>0.67979366408881647</v>
      </c>
      <c r="X165" s="2">
        <f t="shared" ca="1" si="15"/>
        <v>45541</v>
      </c>
      <c r="Y165">
        <f t="shared" ca="1" si="16"/>
        <v>0</v>
      </c>
      <c r="AA165" s="63">
        <f t="shared" ca="1" si="18"/>
        <v>22.056535558186912</v>
      </c>
      <c r="AB165" s="63">
        <f t="shared" ca="1" si="19"/>
        <v>22.056535558186912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45542</v>
      </c>
      <c r="K166">
        <f ca="1"/>
        <v>19.925406224587444</v>
      </c>
      <c r="L166">
        <f ca="1"/>
        <v>1.1927300257639502</v>
      </c>
      <c r="M166">
        <f ca="1"/>
        <v>2.1247758926534743E-2</v>
      </c>
      <c r="N166">
        <f ca="1"/>
        <v>0.49962323355496507</v>
      </c>
      <c r="O166">
        <f ca="1"/>
        <v>0</v>
      </c>
      <c r="P166">
        <f ca="1"/>
        <v>56.480263508996785</v>
      </c>
      <c r="Q166">
        <f ca="1"/>
        <v>47.975513405325458</v>
      </c>
      <c r="R166">
        <f ca="1"/>
        <v>0.28183380137666536</v>
      </c>
      <c r="S166">
        <f ca="1"/>
        <v>1</v>
      </c>
      <c r="T166">
        <f ca="1"/>
        <v>2.0100000000000051</v>
      </c>
      <c r="U166">
        <f ca="1"/>
        <v>0</v>
      </c>
      <c r="V166">
        <f ca="1"/>
        <v>0.68732319426037425</v>
      </c>
      <c r="X166" s="2">
        <f t="shared" ca="1" si="15"/>
        <v>45542</v>
      </c>
      <c r="Y166">
        <f t="shared" ca="1" si="16"/>
        <v>0</v>
      </c>
      <c r="AA166" s="63">
        <f t="shared" ca="1" si="18"/>
        <v>21.399970051728062</v>
      </c>
      <c r="AB166" s="63">
        <f t="shared" ca="1" si="19"/>
        <v>21.399970051728062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45543</v>
      </c>
      <c r="K167">
        <f ca="1"/>
        <v>19.087337823198101</v>
      </c>
      <c r="L167">
        <f ca="1"/>
        <v>1.148061286099356</v>
      </c>
      <c r="M167">
        <f ca="1"/>
        <v>2.0199820367295729E-2</v>
      </c>
      <c r="N167">
        <f ca="1"/>
        <v>0.48321142095112385</v>
      </c>
      <c r="O167">
        <f ca="1"/>
        <v>0</v>
      </c>
      <c r="P167">
        <f ca="1"/>
        <v>57.628324795096141</v>
      </c>
      <c r="Q167">
        <f ca="1"/>
        <v>48.950700598151165</v>
      </c>
      <c r="R167">
        <f ca="1"/>
        <v>0.19341835660840714</v>
      </c>
      <c r="S167">
        <f ca="1"/>
        <v>1</v>
      </c>
      <c r="T167">
        <f ca="1"/>
        <v>1.4399999999999977</v>
      </c>
      <c r="U167">
        <f ca="1"/>
        <v>0</v>
      </c>
      <c r="V167">
        <f ca="1"/>
        <v>0.69429013558226527</v>
      </c>
      <c r="X167" s="2">
        <f t="shared" ca="1" si="15"/>
        <v>45543</v>
      </c>
      <c r="Y167">
        <f t="shared" ca="1" si="16"/>
        <v>0</v>
      </c>
      <c r="AA167" s="63">
        <f t="shared" ca="1" si="18"/>
        <v>20.428817465905865</v>
      </c>
      <c r="AB167" s="63">
        <f t="shared" ca="1" si="19"/>
        <v>20.428817465905865</v>
      </c>
      <c r="AC167" s="3">
        <f t="shared" ca="1" si="20"/>
        <v>0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45544</v>
      </c>
      <c r="K168">
        <f ca="1"/>
        <v>18.404180007480964</v>
      </c>
      <c r="L168">
        <f ca="1"/>
        <v>1.1930660123619248</v>
      </c>
      <c r="M168">
        <f ca="1"/>
        <v>1.990022906981892E-2</v>
      </c>
      <c r="N168">
        <f ca="1"/>
        <v>0.49000796757496845</v>
      </c>
      <c r="O168">
        <f ca="1"/>
        <v>0</v>
      </c>
      <c r="P168">
        <f ca="1"/>
        <v>58.821390807458066</v>
      </c>
      <c r="Q168">
        <f ca="1"/>
        <v>49.964115743786785</v>
      </c>
      <c r="R168">
        <f ca="1"/>
        <v>0</v>
      </c>
      <c r="S168">
        <f ca="1"/>
        <v>0.98425925925925928</v>
      </c>
      <c r="T168">
        <f ca="1"/>
        <v>0</v>
      </c>
      <c r="U168">
        <f ca="1"/>
        <v>0</v>
      </c>
      <c r="V168">
        <f ca="1"/>
        <v>0.70125073001120575</v>
      </c>
      <c r="X168" s="2">
        <f t="shared" ca="1" si="15"/>
        <v>45544</v>
      </c>
      <c r="Y168">
        <f t="shared" ca="1" si="16"/>
        <v>0</v>
      </c>
      <c r="AA168" s="63">
        <f t="shared" ca="1" si="18"/>
        <v>19.597246019842888</v>
      </c>
      <c r="AB168" s="63">
        <f t="shared" ca="1" si="19"/>
        <v>19.597246019842888</v>
      </c>
      <c r="AC168" s="3">
        <f t="shared" ca="1" si="20"/>
        <v>0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45545</v>
      </c>
      <c r="K169">
        <f ca="1"/>
        <v>17.667628801504524</v>
      </c>
      <c r="L169">
        <f ca="1"/>
        <v>1.2375437664713402</v>
      </c>
      <c r="M169">
        <f ca="1"/>
        <v>1.9588389513430116E-2</v>
      </c>
      <c r="N169">
        <f ca="1"/>
        <v>0.49640515253496204</v>
      </c>
      <c r="O169">
        <f ca="1"/>
        <v>0</v>
      </c>
      <c r="P169">
        <f ca="1"/>
        <v>60.058934573929406</v>
      </c>
      <c r="Q169">
        <f ca="1"/>
        <v>51.015311221098351</v>
      </c>
      <c r="R169">
        <f ca="1"/>
        <v>1.5000981553489974E-2</v>
      </c>
      <c r="S169">
        <f ca="1"/>
        <v>1</v>
      </c>
      <c r="T169">
        <f ca="1"/>
        <v>0.12065673640957897</v>
      </c>
      <c r="U169">
        <f ca="1"/>
        <v>0</v>
      </c>
      <c r="V169">
        <f ca="1"/>
        <v>0.70818267438287796</v>
      </c>
      <c r="X169" s="2">
        <f t="shared" ca="1" si="15"/>
        <v>45545</v>
      </c>
      <c r="Y169">
        <f t="shared" ca="1" si="16"/>
        <v>0</v>
      </c>
      <c r="AA169" s="63">
        <f t="shared" ca="1" si="18"/>
        <v>18.920173549529355</v>
      </c>
      <c r="AB169" s="63">
        <f t="shared" ca="1" si="19"/>
        <v>18.920173549529355</v>
      </c>
      <c r="AC169" s="3">
        <f t="shared" ca="1" si="20"/>
        <v>0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45546</v>
      </c>
      <c r="K170">
        <f ca="1"/>
        <v>16.692818180405428</v>
      </c>
      <c r="L170">
        <f ca="1"/>
        <v>1.3320281541120025</v>
      </c>
      <c r="M170">
        <f ca="1"/>
        <v>1.9624597101326913E-2</v>
      </c>
      <c r="N170">
        <f ca="1"/>
        <v>0.51496958539151783</v>
      </c>
      <c r="O170">
        <f ca="1"/>
        <v>0</v>
      </c>
      <c r="P170">
        <f ca="1"/>
        <v>61.390962728041409</v>
      </c>
      <c r="Q170">
        <f ca="1"/>
        <v>52.14676370721665</v>
      </c>
      <c r="R170">
        <f ca="1"/>
        <v>0.17737664947993828</v>
      </c>
      <c r="S170">
        <f ca="1"/>
        <v>1</v>
      </c>
      <c r="T170">
        <f ca="1"/>
        <v>1.5100000000000051</v>
      </c>
      <c r="U170">
        <f ca="1"/>
        <v>0</v>
      </c>
      <c r="V170">
        <f ca="1"/>
        <v>0.71533071908324097</v>
      </c>
      <c r="X170" s="2">
        <f t="shared" ca="1" si="15"/>
        <v>45546</v>
      </c>
      <c r="Y170">
        <f t="shared" ca="1" si="16"/>
        <v>0</v>
      </c>
      <c r="AA170" s="63">
        <f t="shared" ca="1" si="18"/>
        <v>18.20222298399737</v>
      </c>
      <c r="AB170" s="63">
        <f t="shared" ca="1" si="19"/>
        <v>18.20222298399737</v>
      </c>
      <c r="AC170" s="3">
        <f t="shared" ca="1" si="20"/>
        <v>0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45547</v>
      </c>
      <c r="K171">
        <f ca="1"/>
        <v>15.59478041099451</v>
      </c>
      <c r="L171">
        <f ca="1"/>
        <v>1.3062894690481386</v>
      </c>
      <c r="M171">
        <f ca="1"/>
        <v>1.879412589077134E-2</v>
      </c>
      <c r="N171">
        <f ca="1"/>
        <v>0.50331696912920509</v>
      </c>
      <c r="O171">
        <f ca="1"/>
        <v>0</v>
      </c>
      <c r="P171">
        <f ca="1"/>
        <v>62.697252197089547</v>
      </c>
      <c r="Q171">
        <f ca="1"/>
        <v>53.256353217605032</v>
      </c>
      <c r="R171">
        <f ca="1"/>
        <v>0.31385939538275609</v>
      </c>
      <c r="S171">
        <f ca="1"/>
        <v>1</v>
      </c>
      <c r="T171">
        <f ca="1"/>
        <v>2.8599999999999994</v>
      </c>
      <c r="U171">
        <f ca="1"/>
        <v>0</v>
      </c>
      <c r="V171">
        <f ca="1"/>
        <v>0.72203998032699446</v>
      </c>
      <c r="X171" s="2">
        <f t="shared" ca="1" si="15"/>
        <v>45547</v>
      </c>
      <c r="Y171">
        <f t="shared" ca="1" si="16"/>
        <v>0</v>
      </c>
      <c r="AA171" s="63">
        <f t="shared" ca="1" si="18"/>
        <v>17.214929275425405</v>
      </c>
      <c r="AB171" s="63">
        <f t="shared" ca="1" si="19"/>
        <v>17.214929275425405</v>
      </c>
      <c r="AC171" s="3">
        <f t="shared" ca="1" si="20"/>
        <v>0</v>
      </c>
    </row>
    <row r="172" spans="8:29">
      <c r="H172" t="b">
        <f t="shared" ca="1" si="17"/>
        <v>1</v>
      </c>
      <c r="I172" t="b">
        <f t="shared" ca="1" si="14"/>
        <v>1</v>
      </c>
      <c r="J172" s="2">
        <f ca="1"/>
        <v>45548</v>
      </c>
      <c r="K172">
        <f ca="1"/>
        <v>14.64946813934548</v>
      </c>
      <c r="L172">
        <f ca="1"/>
        <v>1.3596092248886791</v>
      </c>
      <c r="M172">
        <f ca="1"/>
        <v>1.8533818166886817E-2</v>
      </c>
      <c r="N172">
        <f ca="1"/>
        <v>0.51122264692656594</v>
      </c>
      <c r="O172">
        <f ca="1"/>
        <v>0</v>
      </c>
      <c r="P172">
        <f ca="1"/>
        <v>64.056861421978226</v>
      </c>
      <c r="Q172">
        <f ca="1"/>
        <v>54.411233640290391</v>
      </c>
      <c r="R172">
        <f ca="1"/>
        <v>0.11545951185380413</v>
      </c>
      <c r="S172">
        <f ca="1"/>
        <v>1</v>
      </c>
      <c r="T172">
        <f ca="1"/>
        <v>1.1199999999999974</v>
      </c>
      <c r="U172">
        <f ca="1"/>
        <v>0</v>
      </c>
      <c r="V172">
        <f ca="1"/>
        <v>0.72872207676739764</v>
      </c>
      <c r="X172" s="2">
        <f t="shared" ca="1" si="15"/>
        <v>45548</v>
      </c>
      <c r="Y172">
        <f t="shared" ca="1" si="16"/>
        <v>0</v>
      </c>
      <c r="AA172" s="63">
        <f t="shared" ca="1" si="18"/>
        <v>16.124536876087962</v>
      </c>
      <c r="AB172" s="63">
        <f t="shared" ca="1" si="19"/>
        <v>16.124536876087962</v>
      </c>
      <c r="AC172" s="3">
        <f t="shared" ca="1" si="20"/>
        <v>0</v>
      </c>
    </row>
    <row r="173" spans="8:29">
      <c r="H173" t="b">
        <f t="shared" ca="1" si="17"/>
        <v>1</v>
      </c>
      <c r="I173" t="b">
        <f t="shared" ca="1" si="14"/>
        <v>1</v>
      </c>
      <c r="J173" s="2">
        <f ca="1"/>
        <v>45549</v>
      </c>
      <c r="K173">
        <f ca="1"/>
        <v>156.55637190353053</v>
      </c>
      <c r="L173">
        <f ca="1"/>
        <v>1.4420157132008598</v>
      </c>
      <c r="M173">
        <f ca="1"/>
        <v>1.8449388520608068E-2</v>
      </c>
      <c r="N173">
        <f ca="1"/>
        <v>0.5258371151723702</v>
      </c>
      <c r="O173">
        <f ca="1"/>
        <v>143.83962661801661</v>
      </c>
      <c r="P173">
        <f ca="1"/>
        <v>65.498877135179086</v>
      </c>
      <c r="Q173">
        <f ca="1"/>
        <v>55.636111852275683</v>
      </c>
      <c r="R173">
        <f ca="1"/>
        <v>1.0349936443236694</v>
      </c>
      <c r="S173">
        <f ca="1"/>
        <v>1</v>
      </c>
      <c r="T173">
        <f ca="1"/>
        <v>0.93999999999999773</v>
      </c>
      <c r="U173">
        <f ca="1"/>
        <v>0</v>
      </c>
      <c r="V173">
        <f ca="1"/>
        <v>0.7354902276155415</v>
      </c>
      <c r="X173" s="2">
        <f t="shared" ca="1" si="15"/>
        <v>45549</v>
      </c>
      <c r="Y173">
        <f t="shared" ca="1" si="16"/>
        <v>143.83962661801661</v>
      </c>
      <c r="AA173" s="63">
        <f t="shared" ca="1" si="18"/>
        <v>159.03338126105507</v>
      </c>
      <c r="AB173" s="63">
        <f t="shared" ca="1" si="19"/>
        <v>159.03338126105507</v>
      </c>
      <c r="AC173" s="3">
        <f t="shared" ca="1" si="20"/>
        <v>0</v>
      </c>
    </row>
    <row r="174" spans="8:29">
      <c r="H174" t="b">
        <f t="shared" ca="1" si="17"/>
        <v>1</v>
      </c>
      <c r="I174" t="b">
        <f t="shared" ca="1" si="14"/>
        <v>1</v>
      </c>
      <c r="J174" s="2">
        <f ca="1"/>
        <v>45550</v>
      </c>
      <c r="K174">
        <f ca="1"/>
        <v>154.184791041278</v>
      </c>
      <c r="L174">
        <f ca="1"/>
        <v>1.5033537913203503</v>
      </c>
      <c r="M174">
        <f ca="1"/>
        <v>1.8207016093207073E-2</v>
      </c>
      <c r="N174">
        <f ca="1"/>
        <v>0.53492126446253818</v>
      </c>
      <c r="O174">
        <f ca="1"/>
        <v>0</v>
      </c>
      <c r="P174">
        <f ca="1"/>
        <v>67.002230926499436</v>
      </c>
      <c r="Q174">
        <f ca="1"/>
        <v>56.913091906679057</v>
      </c>
      <c r="R174">
        <f ca="1"/>
        <v>1.421355351487932</v>
      </c>
      <c r="S174">
        <f ca="1"/>
        <v>1</v>
      </c>
      <c r="T174">
        <f ca="1"/>
        <v>1.3100000000000023</v>
      </c>
      <c r="U174">
        <f ca="1"/>
        <v>0</v>
      </c>
      <c r="V174">
        <f ca="1"/>
        <v>0.74221478049055711</v>
      </c>
      <c r="X174" s="2">
        <f t="shared" ca="1" si="15"/>
        <v>45550</v>
      </c>
      <c r="Y174">
        <f t="shared" ca="1" si="16"/>
        <v>0</v>
      </c>
      <c r="AA174" s="63">
        <f t="shared" ca="1" si="18"/>
        <v>157.10950018408627</v>
      </c>
      <c r="AB174" s="63">
        <f t="shared" ca="1" si="19"/>
        <v>157.1095001840863</v>
      </c>
      <c r="AC174" s="3">
        <f t="shared" ca="1" si="20"/>
        <v>0</v>
      </c>
    </row>
    <row r="175" spans="8:29">
      <c r="H175" t="b">
        <f t="shared" ca="1" si="17"/>
        <v>1</v>
      </c>
      <c r="I175" t="b">
        <f t="shared" ca="1" si="14"/>
        <v>1</v>
      </c>
      <c r="J175" s="2">
        <f ca="1"/>
        <v>45551</v>
      </c>
      <c r="K175">
        <f ca="1"/>
        <v>152.88068918255865</v>
      </c>
      <c r="L175">
        <f ca="1"/>
        <v>1.5075761393335654</v>
      </c>
      <c r="M175">
        <f ca="1"/>
        <v>1.7610850506017073E-2</v>
      </c>
      <c r="N175">
        <f ca="1"/>
        <v>0.53012809315634135</v>
      </c>
      <c r="O175">
        <f ca="1"/>
        <v>0</v>
      </c>
      <c r="P175">
        <f ca="1"/>
        <v>68.509807065833002</v>
      </c>
      <c r="Q175">
        <f ca="1"/>
        <v>58.193658511518393</v>
      </c>
      <c r="R175">
        <f ca="1"/>
        <v>0.34426466304813236</v>
      </c>
      <c r="S175">
        <f ca="1"/>
        <v>1</v>
      </c>
      <c r="T175">
        <f ca="1"/>
        <v>0.32000000000000028</v>
      </c>
      <c r="U175">
        <f ca="1"/>
        <v>0</v>
      </c>
      <c r="V175">
        <f ca="1"/>
        <v>0.7486365730270661</v>
      </c>
      <c r="X175" s="2">
        <f t="shared" ca="1" si="15"/>
        <v>45551</v>
      </c>
      <c r="Y175">
        <f t="shared" ca="1" si="16"/>
        <v>0</v>
      </c>
      <c r="AA175" s="63">
        <f t="shared" ca="1" si="18"/>
        <v>154.73252998494036</v>
      </c>
      <c r="AB175" s="63">
        <f t="shared" ca="1" si="19"/>
        <v>154.73252998494036</v>
      </c>
      <c r="AC175" s="3">
        <f t="shared" ca="1" si="20"/>
        <v>0</v>
      </c>
    </row>
    <row r="176" spans="8:29">
      <c r="H176" t="b">
        <f t="shared" ca="1" si="17"/>
        <v>1</v>
      </c>
      <c r="I176" t="b">
        <f t="shared" ca="1" si="14"/>
        <v>1</v>
      </c>
      <c r="J176" s="2">
        <f ca="1"/>
        <v>45552</v>
      </c>
      <c r="K176">
        <f ca="1"/>
        <v>151.81371342016214</v>
      </c>
      <c r="L176">
        <f ca="1"/>
        <v>1.4860379196277478</v>
      </c>
      <c r="M176">
        <f ca="1"/>
        <v>1.6899966961950952E-2</v>
      </c>
      <c r="N176">
        <f ca="1"/>
        <v>0.51967724991676312</v>
      </c>
      <c r="O176">
        <f ca="1"/>
        <v>0</v>
      </c>
      <c r="P176">
        <f ca="1"/>
        <v>69.995844985460749</v>
      </c>
      <c r="Q176">
        <f ca="1"/>
        <v>59.455930103480185</v>
      </c>
      <c r="R176">
        <f ca="1"/>
        <v>0.11751505964745822</v>
      </c>
      <c r="S176">
        <f ca="1"/>
        <v>1</v>
      </c>
      <c r="T176">
        <f ca="1"/>
        <v>0.10999999999999943</v>
      </c>
      <c r="U176">
        <f ca="1"/>
        <v>0</v>
      </c>
      <c r="V176">
        <f ca="1"/>
        <v>0.75466839905958039</v>
      </c>
      <c r="X176" s="2">
        <f t="shared" ca="1" si="15"/>
        <v>45552</v>
      </c>
      <c r="Y176">
        <f t="shared" ca="1" si="16"/>
        <v>0</v>
      </c>
      <c r="AA176" s="63">
        <f t="shared" ca="1" si="18"/>
        <v>153.41726639943735</v>
      </c>
      <c r="AB176" s="63">
        <f t="shared" ca="1" si="19"/>
        <v>153.41726639943735</v>
      </c>
      <c r="AC176" s="3">
        <f t="shared" ca="1" si="20"/>
        <v>0</v>
      </c>
    </row>
    <row r="177" spans="8:29">
      <c r="H177" t="b">
        <f t="shared" ca="1" si="17"/>
        <v>1</v>
      </c>
      <c r="I177" t="b">
        <f t="shared" ca="1" si="14"/>
        <v>1</v>
      </c>
      <c r="J177" s="2">
        <f ca="1"/>
        <v>45553</v>
      </c>
      <c r="K177">
        <f ca="1"/>
        <v>149.49881096301149</v>
      </c>
      <c r="L177">
        <f ca="1"/>
        <v>1.4895956424897179</v>
      </c>
      <c r="M177">
        <f ca="1"/>
        <v>1.6371017462752491E-2</v>
      </c>
      <c r="N177">
        <f ca="1"/>
        <v>0.51543915184056222</v>
      </c>
      <c r="O177">
        <f ca="1"/>
        <v>0</v>
      </c>
      <c r="P177">
        <f ca="1"/>
        <v>71.485440627950467</v>
      </c>
      <c r="Q177">
        <f ca="1"/>
        <v>60.721223699417394</v>
      </c>
      <c r="R177">
        <f ca="1"/>
        <v>1.3571169839642183</v>
      </c>
      <c r="S177">
        <f ca="1"/>
        <v>1</v>
      </c>
      <c r="T177">
        <f ca="1"/>
        <v>1.289999999999992</v>
      </c>
      <c r="U177">
        <f ca="1"/>
        <v>0</v>
      </c>
      <c r="V177">
        <f ca="1"/>
        <v>0.76043348156625035</v>
      </c>
      <c r="X177" s="2">
        <f t="shared" ca="1" si="15"/>
        <v>45553</v>
      </c>
      <c r="Y177">
        <f t="shared" ca="1" si="16"/>
        <v>0</v>
      </c>
      <c r="AA177" s="63">
        <f t="shared" ca="1" si="18"/>
        <v>152.34552358946544</v>
      </c>
      <c r="AB177" s="63">
        <f t="shared" ca="1" si="19"/>
        <v>152.34552358946544</v>
      </c>
      <c r="AC177" s="3">
        <f t="shared" ca="1" si="20"/>
        <v>0</v>
      </c>
    </row>
    <row r="178" spans="8:29">
      <c r="H178" t="b">
        <f t="shared" ca="1" si="17"/>
        <v>1</v>
      </c>
      <c r="I178" t="b">
        <f t="shared" ca="1" si="14"/>
        <v>1</v>
      </c>
      <c r="J178" s="2">
        <f ca="1"/>
        <v>45554</v>
      </c>
      <c r="K178">
        <f ca="1"/>
        <v>148.518264038463</v>
      </c>
      <c r="L178">
        <f ca="1"/>
        <v>1.4986169526458184</v>
      </c>
      <c r="M178">
        <f ca="1"/>
        <v>1.589556257969349E-2</v>
      </c>
      <c r="N178">
        <f ca="1"/>
        <v>0.51262575076478334</v>
      </c>
      <c r="O178">
        <f ca="1"/>
        <v>0</v>
      </c>
      <c r="P178">
        <f ca="1"/>
        <v>72.984057580596286</v>
      </c>
      <c r="Q178">
        <f ca="1"/>
        <v>61.994180184290286</v>
      </c>
      <c r="R178">
        <f ca="1"/>
        <v>1.0451285247156446E-2</v>
      </c>
      <c r="S178">
        <f ca="1"/>
        <v>1</v>
      </c>
      <c r="T178">
        <f ca="1"/>
        <v>1.0000000000005116E-2</v>
      </c>
      <c r="U178">
        <f ca="1"/>
        <v>0</v>
      </c>
      <c r="V178">
        <f ca="1"/>
        <v>0.76596457886739677</v>
      </c>
      <c r="X178" s="2">
        <f t="shared" ca="1" si="15"/>
        <v>45554</v>
      </c>
      <c r="Y178">
        <f t="shared" ca="1" si="16"/>
        <v>0</v>
      </c>
      <c r="AA178" s="63">
        <f t="shared" ca="1" si="18"/>
        <v>150.02733227635596</v>
      </c>
      <c r="AB178" s="63">
        <f t="shared" ca="1" si="19"/>
        <v>150.02733227635596</v>
      </c>
      <c r="AC178" s="3">
        <f t="shared" ca="1" si="20"/>
        <v>0</v>
      </c>
    </row>
    <row r="179" spans="8:29">
      <c r="H179" t="b">
        <f t="shared" ca="1" si="17"/>
        <v>1</v>
      </c>
      <c r="I179" t="b">
        <f t="shared" ca="1" si="14"/>
        <v>1</v>
      </c>
      <c r="J179" s="2">
        <f ca="1"/>
        <v>45555</v>
      </c>
      <c r="K179">
        <f ca="1"/>
        <v>147.3772926928053</v>
      </c>
      <c r="L179">
        <f ca="1"/>
        <v>1.4983885771173675</v>
      </c>
      <c r="M179">
        <f ca="1"/>
        <v>1.5395089482481694E-2</v>
      </c>
      <c r="N179">
        <f ca="1"/>
        <v>0.50795805671276872</v>
      </c>
      <c r="O179">
        <f ca="1"/>
        <v>0</v>
      </c>
      <c r="P179">
        <f ca="1"/>
        <v>74.482446157713653</v>
      </c>
      <c r="Q179">
        <f ca="1"/>
        <v>63.266942682227821</v>
      </c>
      <c r="R179">
        <f ca="1"/>
        <v>0.16593591473559946</v>
      </c>
      <c r="S179">
        <f ca="1"/>
        <v>1</v>
      </c>
      <c r="T179">
        <f ca="1"/>
        <v>0.15999999999999659</v>
      </c>
      <c r="U179">
        <f ca="1"/>
        <v>0</v>
      </c>
      <c r="V179">
        <f ca="1"/>
        <v>0.77123958738825948</v>
      </c>
      <c r="X179" s="2">
        <f t="shared" ca="1" si="15"/>
        <v>45555</v>
      </c>
      <c r="Y179">
        <f t="shared" ca="1" si="16"/>
        <v>0</v>
      </c>
      <c r="AA179" s="63">
        <f t="shared" ca="1" si="18"/>
        <v>149.04161718465826</v>
      </c>
      <c r="AB179" s="63">
        <f t="shared" ca="1" si="19"/>
        <v>149.04161718465826</v>
      </c>
      <c r="AC179" s="3">
        <f t="shared" ca="1" si="20"/>
        <v>0</v>
      </c>
    </row>
    <row r="180" spans="8:29">
      <c r="H180" t="b">
        <f t="shared" ca="1" si="17"/>
        <v>1</v>
      </c>
      <c r="I180" t="b">
        <f t="shared" ca="1" si="14"/>
        <v>1</v>
      </c>
      <c r="J180" s="2">
        <f ca="1"/>
        <v>45556</v>
      </c>
      <c r="K180">
        <f ca="1"/>
        <v>144.57531339617546</v>
      </c>
      <c r="L180">
        <f ca="1"/>
        <v>1.5517027699322625</v>
      </c>
      <c r="M180">
        <f ca="1"/>
        <v>1.5172099178613507E-2</v>
      </c>
      <c r="N180">
        <f ca="1"/>
        <v>0.51496958539151783</v>
      </c>
      <c r="O180">
        <f ca="1"/>
        <v>0</v>
      </c>
      <c r="P180">
        <f ca="1"/>
        <v>76.034148927645916</v>
      </c>
      <c r="Q180">
        <f ca="1"/>
        <v>64.584991367112366</v>
      </c>
      <c r="R180">
        <f ca="1"/>
        <v>1.780418211267716</v>
      </c>
      <c r="S180">
        <f ca="1"/>
        <v>1</v>
      </c>
      <c r="T180">
        <f ca="1"/>
        <v>1.75</v>
      </c>
      <c r="U180">
        <f ca="1"/>
        <v>0</v>
      </c>
      <c r="V180">
        <f ca="1"/>
        <v>0.77644778153931859</v>
      </c>
      <c r="X180" s="2">
        <f t="shared" ca="1" si="15"/>
        <v>45556</v>
      </c>
      <c r="Y180">
        <f t="shared" ca="1" si="16"/>
        <v>0</v>
      </c>
      <c r="AA180" s="63">
        <f t="shared" ca="1" si="18"/>
        <v>147.90743437737544</v>
      </c>
      <c r="AB180" s="63">
        <f t="shared" ca="1" si="19"/>
        <v>147.90743437737544</v>
      </c>
      <c r="AC180" s="3">
        <f t="shared" ca="1" si="20"/>
        <v>0</v>
      </c>
    </row>
    <row r="181" spans="8:29">
      <c r="H181" t="b">
        <f t="shared" ca="1" si="17"/>
        <v>1</v>
      </c>
      <c r="I181" t="b">
        <f t="shared" ca="1" si="14"/>
        <v>1</v>
      </c>
      <c r="J181" s="2">
        <f ca="1"/>
        <v>45557</v>
      </c>
      <c r="K181">
        <f ca="1"/>
        <v>142.56649072100925</v>
      </c>
      <c r="L181">
        <f ca="1"/>
        <v>1.6017962325993835</v>
      </c>
      <c r="M181">
        <f ca="1"/>
        <v>1.4929740590332585E-2</v>
      </c>
      <c r="N181">
        <f ca="1"/>
        <v>0.52109475176034026</v>
      </c>
      <c r="O181">
        <f ca="1"/>
        <v>0</v>
      </c>
      <c r="P181">
        <f ca="1"/>
        <v>77.635945160245299</v>
      </c>
      <c r="Q181">
        <f ca="1"/>
        <v>65.945590483606054</v>
      </c>
      <c r="R181">
        <f ca="1"/>
        <v>0.94305093491749548</v>
      </c>
      <c r="S181">
        <f ca="1"/>
        <v>1</v>
      </c>
      <c r="T181">
        <f ca="1"/>
        <v>0.94000000000000483</v>
      </c>
      <c r="U181">
        <f ca="1"/>
        <v>0</v>
      </c>
      <c r="V181">
        <f ca="1"/>
        <v>0.78156738399341674</v>
      </c>
      <c r="X181" s="2">
        <f t="shared" ca="1" si="15"/>
        <v>45557</v>
      </c>
      <c r="Y181">
        <f t="shared" ca="1" si="16"/>
        <v>0</v>
      </c>
      <c r="AA181" s="63">
        <f t="shared" ca="1" si="18"/>
        <v>145.11133788852612</v>
      </c>
      <c r="AB181" s="63">
        <f t="shared" ca="1" si="19"/>
        <v>145.11133788852612</v>
      </c>
      <c r="AC181" s="3">
        <f t="shared" ca="1" si="20"/>
        <v>0</v>
      </c>
    </row>
    <row r="182" spans="8:29">
      <c r="H182" t="b">
        <f t="shared" ca="1" si="17"/>
        <v>1</v>
      </c>
      <c r="I182" t="b">
        <f t="shared" ca="1" si="14"/>
        <v>1</v>
      </c>
      <c r="J182" s="2">
        <f ca="1"/>
        <v>45558</v>
      </c>
      <c r="K182">
        <f ca="1"/>
        <v>139.40004550480009</v>
      </c>
      <c r="L182">
        <f ca="1"/>
        <v>1.7224460173047618</v>
      </c>
      <c r="M182">
        <f ca="1"/>
        <v>1.5004646469030547E-2</v>
      </c>
      <c r="N182">
        <f ca="1"/>
        <v>0.54216125231770684</v>
      </c>
      <c r="O182">
        <f ca="1"/>
        <v>0</v>
      </c>
      <c r="P182">
        <f ca="1"/>
        <v>79.358391177550061</v>
      </c>
      <c r="Q182">
        <f ca="1"/>
        <v>67.408672042706613</v>
      </c>
      <c r="R182">
        <f ca="1"/>
        <v>2.0011650976911297</v>
      </c>
      <c r="S182">
        <f ca="1"/>
        <v>1</v>
      </c>
      <c r="T182">
        <f ca="1"/>
        <v>2.0399999999999991</v>
      </c>
      <c r="U182">
        <f ca="1"/>
        <v>0</v>
      </c>
      <c r="V182">
        <f ca="1"/>
        <v>0.78679821279709994</v>
      </c>
      <c r="X182" s="2">
        <f t="shared" ca="1" si="15"/>
        <v>45558</v>
      </c>
      <c r="Y182">
        <f t="shared" ca="1" si="16"/>
        <v>0</v>
      </c>
      <c r="AA182" s="63">
        <f t="shared" ca="1" si="18"/>
        <v>143.12365661979598</v>
      </c>
      <c r="AB182" s="63">
        <f t="shared" ca="1" si="19"/>
        <v>143.12365661979598</v>
      </c>
      <c r="AC182" s="3">
        <f t="shared" ca="1" si="20"/>
        <v>0</v>
      </c>
    </row>
    <row r="183" spans="8:29">
      <c r="H183" t="b">
        <f t="shared" ca="1" si="17"/>
        <v>1</v>
      </c>
      <c r="I183" t="b">
        <f t="shared" ca="1" si="14"/>
        <v>1</v>
      </c>
      <c r="J183" s="2">
        <f ca="1"/>
        <v>45559</v>
      </c>
      <c r="K183">
        <f ca="1"/>
        <v>137.48945511982751</v>
      </c>
      <c r="L183">
        <f ca="1"/>
        <v>1.678643148844742</v>
      </c>
      <c r="M183">
        <f ca="1"/>
        <v>1.4325931735399422E-2</v>
      </c>
      <c r="N183">
        <f ca="1"/>
        <v>0.52774154244098392</v>
      </c>
      <c r="O183">
        <f ca="1"/>
        <v>0</v>
      </c>
      <c r="P183">
        <f ca="1"/>
        <v>81.037034326394803</v>
      </c>
      <c r="Q183">
        <f ca="1"/>
        <v>68.834546532072821</v>
      </c>
      <c r="R183">
        <f ca="1"/>
        <v>0.77401471030421831</v>
      </c>
      <c r="S183">
        <f ca="1"/>
        <v>1</v>
      </c>
      <c r="T183">
        <f ca="1"/>
        <v>0.80000000000000426</v>
      </c>
      <c r="U183">
        <f ca="1"/>
        <v>0</v>
      </c>
      <c r="V183">
        <f ca="1"/>
        <v>0.79163835868544152</v>
      </c>
      <c r="X183" s="2">
        <f t="shared" ca="1" si="15"/>
        <v>45559</v>
      </c>
      <c r="Y183">
        <f t="shared" ca="1" si="16"/>
        <v>0</v>
      </c>
      <c r="AA183" s="63">
        <f t="shared" ca="1" si="18"/>
        <v>139.94211297897647</v>
      </c>
      <c r="AB183" s="63">
        <f t="shared" ca="1" si="19"/>
        <v>139.94211297897647</v>
      </c>
      <c r="AC183" s="3">
        <f t="shared" ca="1" si="20"/>
        <v>0</v>
      </c>
    </row>
    <row r="184" spans="8:29">
      <c r="H184" t="b">
        <f t="shared" ca="1" si="17"/>
        <v>1</v>
      </c>
      <c r="I184" t="b">
        <f t="shared" ca="1" si="14"/>
        <v>1</v>
      </c>
      <c r="J184" s="2">
        <f ca="1"/>
        <v>45560</v>
      </c>
      <c r="K184">
        <f ca="1"/>
        <v>134.63173033253881</v>
      </c>
      <c r="L184">
        <f ca="1"/>
        <v>1.6802630174870217</v>
      </c>
      <c r="M184">
        <f ca="1"/>
        <v>1.3884971312776884E-2</v>
      </c>
      <c r="N184">
        <f ca="1"/>
        <v>0.52346259449146515</v>
      </c>
      <c r="O184">
        <f ca="1"/>
        <v>0</v>
      </c>
      <c r="P184">
        <f ca="1"/>
        <v>82.717297343881825</v>
      </c>
      <c r="Q184">
        <f ca="1"/>
        <v>70.261796971637082</v>
      </c>
      <c r="R184">
        <f ca="1"/>
        <v>1.7148093356059249</v>
      </c>
      <c r="S184">
        <f ca="1"/>
        <v>1</v>
      </c>
      <c r="T184">
        <f ca="1"/>
        <v>1.8099999999999952</v>
      </c>
      <c r="U184">
        <f ca="1"/>
        <v>0</v>
      </c>
      <c r="V184">
        <f ca="1"/>
        <v>0.79624343693026922</v>
      </c>
      <c r="X184" s="2">
        <f t="shared" ca="1" si="15"/>
        <v>45560</v>
      </c>
      <c r="Y184">
        <f t="shared" ca="1" si="16"/>
        <v>0</v>
      </c>
      <c r="AA184" s="63">
        <f t="shared" ca="1" si="18"/>
        <v>138.02680268563174</v>
      </c>
      <c r="AB184" s="63">
        <f t="shared" ca="1" si="19"/>
        <v>138.02680268563176</v>
      </c>
      <c r="AC184" s="3">
        <f t="shared" ca="1" si="20"/>
        <v>0</v>
      </c>
    </row>
    <row r="185" spans="8:29">
      <c r="H185" t="b">
        <f t="shared" ca="1" si="17"/>
        <v>1</v>
      </c>
      <c r="I185" t="b">
        <f t="shared" ca="1" si="14"/>
        <v>1</v>
      </c>
      <c r="J185" s="2">
        <f ca="1"/>
        <v>45561</v>
      </c>
      <c r="K185">
        <f ca="1"/>
        <v>133.21866441243719</v>
      </c>
      <c r="L185">
        <f ca="1"/>
        <v>1.79052579575702</v>
      </c>
      <c r="M185">
        <f ca="1"/>
        <v>1.3901454483708164E-2</v>
      </c>
      <c r="N185">
        <f ca="1"/>
        <v>0.5416767095157119</v>
      </c>
      <c r="O185">
        <f ca="1"/>
        <v>0</v>
      </c>
      <c r="P185">
        <f ca="1"/>
        <v>84.507823139638845</v>
      </c>
      <c r="Q185">
        <f ca="1"/>
        <v>71.782706913978942</v>
      </c>
      <c r="R185">
        <f ca="1"/>
        <v>0.17811828834403426</v>
      </c>
      <c r="S185">
        <f ca="1"/>
        <v>1</v>
      </c>
      <c r="T185">
        <f ca="1"/>
        <v>0.18999999999999773</v>
      </c>
      <c r="U185">
        <f ca="1"/>
        <v>0</v>
      </c>
      <c r="V185">
        <f ca="1"/>
        <v>0.80090233491225793</v>
      </c>
      <c r="X185" s="2">
        <f t="shared" ca="1" si="15"/>
        <v>45561</v>
      </c>
      <c r="Y185">
        <f t="shared" ca="1" si="16"/>
        <v>0</v>
      </c>
      <c r="AA185" s="63">
        <f t="shared" ca="1" si="18"/>
        <v>135.18730849653824</v>
      </c>
      <c r="AB185" s="63">
        <f t="shared" ca="1" si="19"/>
        <v>135.18730849653824</v>
      </c>
      <c r="AC185" s="3">
        <f t="shared" ca="1" si="20"/>
        <v>0</v>
      </c>
    </row>
    <row r="186" spans="8:29">
      <c r="H186" t="b">
        <f t="shared" ca="1" si="17"/>
        <v>1</v>
      </c>
      <c r="I186" t="b">
        <f t="shared" ca="1" si="14"/>
        <v>1</v>
      </c>
      <c r="J186" s="2">
        <f ca="1"/>
        <v>45562</v>
      </c>
      <c r="K186">
        <f ca="1"/>
        <v>130.24116914531868</v>
      </c>
      <c r="L186">
        <f ca="1"/>
        <v>1.8897774293659637</v>
      </c>
      <c r="M186">
        <f ca="1"/>
        <v>1.3853463422819345E-2</v>
      </c>
      <c r="N186">
        <f ca="1"/>
        <v>0.55731529397553448</v>
      </c>
      <c r="O186">
        <f ca="1"/>
        <v>0</v>
      </c>
      <c r="P186">
        <f ca="1"/>
        <v>86.397600569004808</v>
      </c>
      <c r="Q186">
        <f ca="1"/>
        <v>73.387923263247345</v>
      </c>
      <c r="R186">
        <f ca="1"/>
        <v>1.6588865951509315</v>
      </c>
      <c r="S186">
        <f ca="1"/>
        <v>1</v>
      </c>
      <c r="T186">
        <f ca="1"/>
        <v>1.8100000000000023</v>
      </c>
      <c r="U186">
        <f ca="1"/>
        <v>0</v>
      </c>
      <c r="V186">
        <f ca="1"/>
        <v>0.80555846791741803</v>
      </c>
      <c r="X186" s="2">
        <f t="shared" ca="1" si="15"/>
        <v>45562</v>
      </c>
      <c r="Y186">
        <f t="shared" ca="1" si="16"/>
        <v>0</v>
      </c>
      <c r="AA186" s="63">
        <f t="shared" ca="1" si="18"/>
        <v>133.78983316983556</v>
      </c>
      <c r="AB186" s="63">
        <f t="shared" ca="1" si="19"/>
        <v>133.78983316983556</v>
      </c>
      <c r="AC186" s="3">
        <f t="shared" ca="1" si="20"/>
        <v>0</v>
      </c>
    </row>
    <row r="187" spans="8:29">
      <c r="H187" t="b">
        <f t="shared" ca="1" si="17"/>
        <v>1</v>
      </c>
      <c r="I187" t="b">
        <f t="shared" ca="1" si="14"/>
        <v>1</v>
      </c>
      <c r="J187" s="2">
        <f ca="1"/>
        <v>45563</v>
      </c>
      <c r="K187">
        <f ca="1"/>
        <v>127.8967412970636</v>
      </c>
      <c r="L187">
        <f ca="1"/>
        <v>1.9964649947338984</v>
      </c>
      <c r="M187">
        <f ca="1"/>
        <v>1.3818503068961263E-2</v>
      </c>
      <c r="N187">
        <f ca="1"/>
        <v>0.57423331305058145</v>
      </c>
      <c r="O187">
        <f ca="1"/>
        <v>0</v>
      </c>
      <c r="P187">
        <f ca="1"/>
        <v>88.394065563738707</v>
      </c>
      <c r="Q187">
        <f ca="1"/>
        <v>75.083762254913196</v>
      </c>
      <c r="R187">
        <f ca="1"/>
        <v>0.93601466964073132</v>
      </c>
      <c r="S187">
        <f ca="1"/>
        <v>1</v>
      </c>
      <c r="T187">
        <f ca="1"/>
        <v>1.0399999999999991</v>
      </c>
      <c r="U187">
        <f ca="1"/>
        <v>0</v>
      </c>
      <c r="V187">
        <f ca="1"/>
        <v>0.81020490584675076</v>
      </c>
      <c r="X187" s="2">
        <f t="shared" ca="1" si="15"/>
        <v>45563</v>
      </c>
      <c r="Y187">
        <f t="shared" ca="1" si="16"/>
        <v>0</v>
      </c>
      <c r="AA187" s="63">
        <f t="shared" ca="1" si="18"/>
        <v>130.82922096143821</v>
      </c>
      <c r="AB187" s="63">
        <f t="shared" ca="1" si="19"/>
        <v>130.82922096143824</v>
      </c>
      <c r="AC187" s="3">
        <f t="shared" ca="1" si="20"/>
        <v>0</v>
      </c>
    </row>
    <row r="188" spans="8:29">
      <c r="H188" t="b">
        <f t="shared" ca="1" si="17"/>
        <v>1</v>
      </c>
      <c r="I188" t="b">
        <f t="shared" ca="1" si="14"/>
        <v>1</v>
      </c>
      <c r="J188" s="2">
        <f ca="1"/>
        <v>45564</v>
      </c>
      <c r="K188">
        <f ca="1"/>
        <v>124.01255107994747</v>
      </c>
      <c r="L188">
        <f ca="1"/>
        <v>1.996588387161367</v>
      </c>
      <c r="M188">
        <f ca="1"/>
        <v>1.3359437995433154E-2</v>
      </c>
      <c r="N188">
        <f ca="1"/>
        <v>0.56872572151972223</v>
      </c>
      <c r="O188">
        <f ca="1"/>
        <v>0</v>
      </c>
      <c r="P188">
        <f ca="1"/>
        <v>90.390653950900074</v>
      </c>
      <c r="Q188">
        <f ca="1"/>
        <v>76.779706058679608</v>
      </c>
      <c r="R188">
        <f ca="1"/>
        <v>2.4696869894699218</v>
      </c>
      <c r="S188">
        <f ca="1"/>
        <v>1</v>
      </c>
      <c r="T188">
        <f ca="1"/>
        <v>2.8300000000000054</v>
      </c>
      <c r="U188">
        <f ca="1"/>
        <v>0</v>
      </c>
      <c r="V188">
        <f ca="1"/>
        <v>0.81458995134097334</v>
      </c>
      <c r="X188" s="2">
        <f t="shared" ca="1" si="15"/>
        <v>45564</v>
      </c>
      <c r="Y188">
        <f t="shared" ca="1" si="16"/>
        <v>0</v>
      </c>
      <c r="AA188" s="63">
        <f t="shared" ca="1" si="18"/>
        <v>128.47882645657876</v>
      </c>
      <c r="AB188" s="63">
        <f t="shared" ca="1" si="19"/>
        <v>128.47882645657876</v>
      </c>
      <c r="AC188" s="3">
        <f t="shared" ca="1" si="20"/>
        <v>0</v>
      </c>
    </row>
    <row r="189" spans="8:29">
      <c r="H189" t="b">
        <f t="shared" ca="1" si="17"/>
        <v>1</v>
      </c>
      <c r="I189" t="b">
        <f t="shared" ca="1" si="14"/>
        <v>1</v>
      </c>
      <c r="J189" s="2">
        <f ca="1"/>
        <v>45565</v>
      </c>
      <c r="K189">
        <f ca="1"/>
        <v>118.86523545032665</v>
      </c>
      <c r="L189">
        <f ca="1"/>
        <v>1.9607410773870413</v>
      </c>
      <c r="M189">
        <f ca="1"/>
        <v>1.2796829505937524E-2</v>
      </c>
      <c r="N189">
        <f ca="1"/>
        <v>0.55632981687783534</v>
      </c>
      <c r="O189">
        <f ca="1"/>
        <v>0</v>
      </c>
      <c r="P189">
        <f ca="1"/>
        <v>92.351395028287115</v>
      </c>
      <c r="Q189">
        <f ca="1"/>
        <v>78.445200410128066</v>
      </c>
      <c r="R189">
        <f ca="1"/>
        <v>3.7557011986175448</v>
      </c>
      <c r="S189">
        <f ca="1"/>
        <v>1</v>
      </c>
      <c r="T189">
        <f ca="1"/>
        <v>4.490000000000002</v>
      </c>
      <c r="U189">
        <f ca="1"/>
        <v>0</v>
      </c>
      <c r="V189">
        <f ca="1"/>
        <v>0.81865835222221861</v>
      </c>
      <c r="X189" s="2">
        <f t="shared" ca="1" si="15"/>
        <v>45565</v>
      </c>
      <c r="Y189">
        <f t="shared" ca="1" si="16"/>
        <v>0</v>
      </c>
      <c r="AA189" s="63">
        <f t="shared" ca="1" si="18"/>
        <v>124.58167772633125</v>
      </c>
      <c r="AB189" s="63">
        <f t="shared" ca="1" si="19"/>
        <v>124.58167772633124</v>
      </c>
      <c r="AC189" s="3">
        <f t="shared" ca="1" si="20"/>
        <v>0</v>
      </c>
    </row>
    <row r="190" spans="8:29">
      <c r="H190" t="b">
        <f t="shared" ca="1" si="17"/>
        <v>1</v>
      </c>
      <c r="I190" t="b">
        <f t="shared" ca="1" si="14"/>
        <v>1</v>
      </c>
      <c r="J190" s="2">
        <f ca="1"/>
        <v>45566</v>
      </c>
      <c r="K190">
        <f ca="1"/>
        <v>115.97210932338916</v>
      </c>
      <c r="L190">
        <f ca="1"/>
        <v>1.9644703138433499</v>
      </c>
      <c r="M190">
        <f ca="1"/>
        <v>1.2408568373885487E-2</v>
      </c>
      <c r="N190">
        <f ca="1"/>
        <v>0.5523986708187375</v>
      </c>
      <c r="O190">
        <f ca="1"/>
        <v>0</v>
      </c>
      <c r="P190">
        <f ca="1"/>
        <v>94.315865342130465</v>
      </c>
      <c r="Q190">
        <f ca="1"/>
        <v>80.11386245277491</v>
      </c>
      <c r="R190">
        <f ca="1"/>
        <v>1.4934630522867547</v>
      </c>
      <c r="S190">
        <f ca="1"/>
        <v>1</v>
      </c>
      <c r="T190">
        <f ca="1"/>
        <v>1.8299999999999983</v>
      </c>
      <c r="U190">
        <f ca="1"/>
        <v>0</v>
      </c>
      <c r="V190">
        <f ca="1"/>
        <v>0.82251339873697493</v>
      </c>
      <c r="X190" s="2">
        <f t="shared" ca="1" si="15"/>
        <v>45566</v>
      </c>
      <c r="Y190">
        <f t="shared" ca="1" si="16"/>
        <v>0</v>
      </c>
      <c r="AA190" s="63">
        <f t="shared" ca="1" si="18"/>
        <v>119.43004268951927</v>
      </c>
      <c r="AB190" s="63">
        <f t="shared" ca="1" si="19"/>
        <v>119.43004268951927</v>
      </c>
      <c r="AC190" s="3">
        <f t="shared" ca="1" si="20"/>
        <v>0</v>
      </c>
    </row>
    <row r="191" spans="8:29">
      <c r="H191" t="b">
        <f t="shared" ca="1" si="17"/>
        <v>1</v>
      </c>
      <c r="I191" t="b">
        <f t="shared" ca="1" si="14"/>
        <v>1</v>
      </c>
      <c r="J191" s="2">
        <f ca="1"/>
        <v>45567</v>
      </c>
      <c r="K191">
        <f ca="1"/>
        <v>112.70455330636635</v>
      </c>
      <c r="L191">
        <f ca="1"/>
        <v>2.0626491301805601</v>
      </c>
      <c r="M191">
        <f ca="1"/>
        <v>1.2352555696509171E-2</v>
      </c>
      <c r="N191">
        <f ca="1"/>
        <v>0.56722931814538635</v>
      </c>
      <c r="O191">
        <f ca="1"/>
        <v>0</v>
      </c>
      <c r="P191">
        <f ca="1"/>
        <v>96.378514472311025</v>
      </c>
      <c r="Q191">
        <f ca="1"/>
        <v>81.865919628990056</v>
      </c>
      <c r="R191">
        <f ca="1"/>
        <v>1.7844887606841395</v>
      </c>
      <c r="S191">
        <f ca="1"/>
        <v>1</v>
      </c>
      <c r="T191">
        <f ca="1"/>
        <v>2.2500000000000071</v>
      </c>
      <c r="U191">
        <f ca="1"/>
        <v>0</v>
      </c>
      <c r="V191">
        <f ca="1"/>
        <v>0.82633840352397747</v>
      </c>
      <c r="X191" s="2">
        <f t="shared" ca="1" si="15"/>
        <v>45567</v>
      </c>
      <c r="Y191">
        <f t="shared" ca="1" si="16"/>
        <v>0</v>
      </c>
      <c r="AA191" s="63">
        <f t="shared" ca="1" si="18"/>
        <v>116.55169119723105</v>
      </c>
      <c r="AB191" s="63">
        <f t="shared" ca="1" si="19"/>
        <v>116.55169119723105</v>
      </c>
      <c r="AC191" s="3">
        <f t="shared" ca="1" si="20"/>
        <v>0</v>
      </c>
    </row>
    <row r="192" spans="8:29">
      <c r="H192" t="b">
        <f t="shared" ca="1" si="17"/>
        <v>1</v>
      </c>
      <c r="I192" t="b">
        <f t="shared" ca="1" si="14"/>
        <v>1</v>
      </c>
      <c r="J192" s="2">
        <f ca="1"/>
        <v>45568</v>
      </c>
      <c r="K192">
        <f ca="1"/>
        <v>111.27710505910515</v>
      </c>
      <c r="L192">
        <f ca="1"/>
        <v>1.9871699794525455</v>
      </c>
      <c r="M192">
        <f ca="1"/>
        <v>1.172503126048241E-2</v>
      </c>
      <c r="N192">
        <f ca="1"/>
        <v>0.54799670093086139</v>
      </c>
      <c r="O192">
        <f ca="1"/>
        <v>0</v>
      </c>
      <c r="P192">
        <f ca="1"/>
        <v>98.36568445176357</v>
      </c>
      <c r="Q192">
        <f ca="1"/>
        <v>83.553863240880275</v>
      </c>
      <c r="R192">
        <f ca="1"/>
        <v>0</v>
      </c>
      <c r="S192">
        <f ca="1"/>
        <v>0.99481481481481482</v>
      </c>
      <c r="T192">
        <f ca="1"/>
        <v>0</v>
      </c>
      <c r="U192">
        <f ca="1"/>
        <v>0</v>
      </c>
      <c r="V192">
        <f ca="1"/>
        <v>0.82982160510189418</v>
      </c>
      <c r="X192" s="2">
        <f t="shared" ca="1" si="15"/>
        <v>45568</v>
      </c>
      <c r="Y192">
        <f t="shared" ca="1" si="16"/>
        <v>0</v>
      </c>
      <c r="AA192" s="63">
        <f t="shared" ca="1" si="18"/>
        <v>113.2642750385577</v>
      </c>
      <c r="AB192" s="63">
        <f t="shared" ca="1" si="19"/>
        <v>113.2642750385577</v>
      </c>
      <c r="AC192" s="3">
        <f t="shared" ca="1" si="20"/>
        <v>0</v>
      </c>
    </row>
    <row r="193" spans="8:29">
      <c r="H193" t="b">
        <f t="shared" ca="1" si="17"/>
        <v>1</v>
      </c>
      <c r="I193" t="b">
        <f t="shared" ca="1" si="14"/>
        <v>1</v>
      </c>
      <c r="J193" s="2">
        <f ca="1"/>
        <v>45569</v>
      </c>
      <c r="K193">
        <f ca="1"/>
        <v>109.22055357889026</v>
      </c>
      <c r="L193">
        <f ca="1"/>
        <v>2.0159291060161166</v>
      </c>
      <c r="M193">
        <f ca="1"/>
        <v>1.1463334216010423E-2</v>
      </c>
      <c r="N193">
        <f ca="1"/>
        <v>0.54946160547539402</v>
      </c>
      <c r="O193">
        <f ca="1"/>
        <v>0</v>
      </c>
      <c r="P193">
        <f ca="1"/>
        <v>100.38161355777969</v>
      </c>
      <c r="Q193">
        <f ca="1"/>
        <v>85.266235454484686</v>
      </c>
      <c r="R193">
        <f ca="1"/>
        <v>0.601547313890193</v>
      </c>
      <c r="S193">
        <f ca="1"/>
        <v>1</v>
      </c>
      <c r="T193">
        <f ca="1"/>
        <v>0.78266440281815619</v>
      </c>
      <c r="U193">
        <f ca="1"/>
        <v>0</v>
      </c>
      <c r="V193">
        <f ca="1"/>
        <v>0.83316587177602042</v>
      </c>
      <c r="X193" s="2">
        <f t="shared" ca="1" si="15"/>
        <v>45569</v>
      </c>
      <c r="Y193">
        <f t="shared" ca="1" si="16"/>
        <v>0</v>
      </c>
      <c r="AA193" s="63">
        <f t="shared" ca="1" si="18"/>
        <v>111.83802999879656</v>
      </c>
      <c r="AB193" s="63">
        <f t="shared" ca="1" si="19"/>
        <v>111.83802999879657</v>
      </c>
      <c r="AC193" s="3">
        <f t="shared" ca="1" si="20"/>
        <v>0</v>
      </c>
    </row>
    <row r="194" spans="8:29">
      <c r="H194" t="b">
        <f t="shared" ca="1" si="17"/>
        <v>1</v>
      </c>
      <c r="I194" t="b">
        <f t="shared" ca="1" si="14"/>
        <v>1</v>
      </c>
      <c r="J194" s="2">
        <f ca="1"/>
        <v>45570</v>
      </c>
      <c r="K194">
        <f ca="1"/>
        <v>107.7194659424425</v>
      </c>
      <c r="L194">
        <f ca="1"/>
        <v>2.0677107694729671</v>
      </c>
      <c r="M194">
        <f ca="1"/>
        <v>1.1277716789969361E-2</v>
      </c>
      <c r="N194">
        <f ca="1"/>
        <v>0.55534541623522504</v>
      </c>
      <c r="O194">
        <f ca="1"/>
        <v>0</v>
      </c>
      <c r="P194">
        <f ca="1"/>
        <v>102.44932432725265</v>
      </c>
      <c r="Q194">
        <f ca="1"/>
        <v>87.022592092647059</v>
      </c>
      <c r="R194">
        <f ca="1"/>
        <v>0</v>
      </c>
      <c r="S194">
        <f ca="1"/>
        <v>0.99629629629629624</v>
      </c>
      <c r="T194">
        <f ca="1"/>
        <v>0</v>
      </c>
      <c r="U194">
        <f ca="1"/>
        <v>0</v>
      </c>
      <c r="V194">
        <f ca="1"/>
        <v>0.83641057035313726</v>
      </c>
      <c r="X194" s="2">
        <f t="shared" ca="1" si="15"/>
        <v>45570</v>
      </c>
      <c r="Y194">
        <f t="shared" ca="1" si="16"/>
        <v>0</v>
      </c>
      <c r="AA194" s="63">
        <f t="shared" ca="1" si="18"/>
        <v>109.78717671191545</v>
      </c>
      <c r="AB194" s="63">
        <f t="shared" ca="1" si="19"/>
        <v>109.78717671191546</v>
      </c>
      <c r="AC194" s="3">
        <f t="shared" ca="1" si="20"/>
        <v>0</v>
      </c>
    </row>
    <row r="195" spans="8:29">
      <c r="H195" t="b">
        <f t="shared" ca="1" si="17"/>
        <v>1</v>
      </c>
      <c r="I195" t="b">
        <f t="shared" ca="1" si="14"/>
        <v>1</v>
      </c>
      <c r="J195" s="2">
        <f ca="1"/>
        <v>45571</v>
      </c>
      <c r="K195">
        <f ca="1"/>
        <v>106.24854749698201</v>
      </c>
      <c r="L195">
        <f ca="1"/>
        <v>2.0253591762752023</v>
      </c>
      <c r="M195">
        <f ca="1"/>
        <v>1.0824240227755411E-2</v>
      </c>
      <c r="N195">
        <f ca="1"/>
        <v>0.54361649058695527</v>
      </c>
      <c r="O195">
        <f ca="1"/>
        <v>0</v>
      </c>
      <c r="P195">
        <f ca="1"/>
        <v>104.47468350352786</v>
      </c>
      <c r="Q195">
        <f ca="1"/>
        <v>88.742974404541059</v>
      </c>
      <c r="R195">
        <f ca="1"/>
        <v>0</v>
      </c>
      <c r="S195">
        <f ca="1"/>
        <v>0.99243846642028133</v>
      </c>
      <c r="T195">
        <f ca="1"/>
        <v>0</v>
      </c>
      <c r="U195">
        <f ca="1"/>
        <v>0</v>
      </c>
      <c r="V195">
        <f ca="1"/>
        <v>0.83941829514079991</v>
      </c>
      <c r="X195" s="2">
        <f t="shared" ca="1" si="15"/>
        <v>45571</v>
      </c>
      <c r="Y195">
        <f t="shared" ca="1" si="16"/>
        <v>0</v>
      </c>
      <c r="AA195" s="63">
        <f t="shared" ca="1" si="18"/>
        <v>108.2739066732572</v>
      </c>
      <c r="AB195" s="63">
        <f t="shared" ca="1" si="19"/>
        <v>108.27390667325722</v>
      </c>
      <c r="AC195" s="3">
        <f t="shared" ca="1" si="20"/>
        <v>0</v>
      </c>
    </row>
    <row r="196" spans="8:29">
      <c r="H196" t="b">
        <f t="shared" ca="1" si="17"/>
        <v>1</v>
      </c>
      <c r="I196" t="b">
        <f t="shared" ca="1" si="14"/>
        <v>1</v>
      </c>
      <c r="J196" s="2">
        <f ca="1"/>
        <v>45572</v>
      </c>
      <c r="K196">
        <f ca="1"/>
        <v>103.89150018588379</v>
      </c>
      <c r="L196">
        <f ca="1"/>
        <v>2.2346934975707171</v>
      </c>
      <c r="M196">
        <f ca="1"/>
        <v>1.1100809494351438E-2</v>
      </c>
      <c r="N196">
        <f ca="1"/>
        <v>0.57926857152879407</v>
      </c>
      <c r="O196">
        <f ca="1"/>
        <v>0</v>
      </c>
      <c r="P196">
        <f ca="1"/>
        <v>106.70937700109857</v>
      </c>
      <c r="Q196">
        <f ca="1"/>
        <v>90.641169653442816</v>
      </c>
      <c r="R196">
        <f ca="1"/>
        <v>0.71272319455065525</v>
      </c>
      <c r="S196">
        <f ca="1"/>
        <v>1</v>
      </c>
      <c r="T196">
        <f ca="1"/>
        <v>0.97487972489705044</v>
      </c>
      <c r="U196">
        <f ca="1"/>
        <v>0</v>
      </c>
      <c r="V196">
        <f ca="1"/>
        <v>0.84255381068154611</v>
      </c>
      <c r="X196" s="2">
        <f t="shared" ca="1" si="15"/>
        <v>45572</v>
      </c>
      <c r="Y196">
        <f t="shared" ca="1" si="16"/>
        <v>0</v>
      </c>
      <c r="AA196" s="63">
        <f t="shared" ca="1" si="18"/>
        <v>106.83891687800516</v>
      </c>
      <c r="AB196" s="63">
        <f t="shared" ca="1" si="19"/>
        <v>106.83891687800516</v>
      </c>
      <c r="AC196" s="3">
        <f t="shared" ca="1" si="20"/>
        <v>0</v>
      </c>
    </row>
    <row r="197" spans="8:29">
      <c r="H197" t="b">
        <f t="shared" ca="1" si="17"/>
        <v>1</v>
      </c>
      <c r="I197" t="b">
        <f t="shared" ca="1" si="14"/>
        <v>1</v>
      </c>
      <c r="J197" s="2">
        <f ca="1"/>
        <v>45573</v>
      </c>
      <c r="K197">
        <f ca="1"/>
        <v>101.09866764894396</v>
      </c>
      <c r="L197">
        <f ca="1"/>
        <v>2.3123637108226944</v>
      </c>
      <c r="M197">
        <f ca="1"/>
        <v>1.0981840798876874E-2</v>
      </c>
      <c r="N197">
        <f ca="1"/>
        <v>0.58993063741787721</v>
      </c>
      <c r="O197">
        <f ca="1"/>
        <v>0</v>
      </c>
      <c r="P197">
        <f ca="1"/>
        <v>109.02174071192127</v>
      </c>
      <c r="Q197">
        <f ca="1"/>
        <v>92.605339600859793</v>
      </c>
      <c r="R197">
        <f ca="1"/>
        <v>1.0813813043338916</v>
      </c>
      <c r="S197">
        <f ca="1"/>
        <v>1</v>
      </c>
      <c r="T197">
        <f ca="1"/>
        <v>1.5200000000000031</v>
      </c>
      <c r="U197">
        <f ca="1"/>
        <v>0</v>
      </c>
      <c r="V197">
        <f ca="1"/>
        <v>0.84560958989482826</v>
      </c>
      <c r="X197" s="2">
        <f t="shared" ca="1" si="15"/>
        <v>45573</v>
      </c>
      <c r="Y197">
        <f t="shared" ca="1" si="16"/>
        <v>0</v>
      </c>
      <c r="AA197" s="63">
        <f t="shared" ca="1" si="18"/>
        <v>104.49241266410054</v>
      </c>
      <c r="AB197" s="63">
        <f t="shared" ca="1" si="19"/>
        <v>104.49241266410054</v>
      </c>
      <c r="AC197" s="3">
        <f t="shared" ca="1" si="20"/>
        <v>0</v>
      </c>
    </row>
    <row r="198" spans="8:29">
      <c r="H198" t="b">
        <f t="shared" ca="1" si="17"/>
        <v>1</v>
      </c>
      <c r="I198" t="b">
        <f t="shared" ca="1" si="14"/>
        <v>1</v>
      </c>
      <c r="J198" s="2">
        <f ca="1"/>
        <v>45574</v>
      </c>
      <c r="K198">
        <f ca="1"/>
        <v>98.348558178808901</v>
      </c>
      <c r="L198">
        <f ca="1"/>
        <v>2.1371339979466057</v>
      </c>
      <c r="M198">
        <f ca="1"/>
        <v>1.0184843337057714E-2</v>
      </c>
      <c r="N198">
        <f ca="1"/>
        <v>0.55337984342839253</v>
      </c>
      <c r="O198">
        <f ca="1"/>
        <v>0</v>
      </c>
      <c r="P198">
        <f ca="1"/>
        <v>111.15887470986787</v>
      </c>
      <c r="Q198">
        <f ca="1"/>
        <v>94.420665776721762</v>
      </c>
      <c r="R198">
        <f ca="1"/>
        <v>1.1765401589539008</v>
      </c>
      <c r="S198">
        <f ca="1"/>
        <v>1</v>
      </c>
      <c r="T198">
        <f ca="1"/>
        <v>1.7000000000000028</v>
      </c>
      <c r="U198">
        <f ca="1"/>
        <v>0</v>
      </c>
      <c r="V198">
        <f ca="1"/>
        <v>0.84827458343565487</v>
      </c>
      <c r="X198" s="2">
        <f t="shared" ca="1" si="15"/>
        <v>45574</v>
      </c>
      <c r="Y198">
        <f t="shared" ca="1" si="16"/>
        <v>0</v>
      </c>
      <c r="AA198" s="63">
        <f t="shared" ca="1" si="18"/>
        <v>101.6622323357094</v>
      </c>
      <c r="AB198" s="63">
        <f t="shared" ca="1" si="19"/>
        <v>101.6622323357094</v>
      </c>
      <c r="AC198" s="3">
        <f t="shared" ca="1" si="20"/>
        <v>0</v>
      </c>
    </row>
    <row r="199" spans="8:29">
      <c r="H199" t="b">
        <f t="shared" ca="1" si="17"/>
        <v>1</v>
      </c>
      <c r="I199" t="b">
        <f t="shared" ca="1" si="14"/>
        <v>1</v>
      </c>
      <c r="J199" s="2">
        <f ca="1"/>
        <v>45575</v>
      </c>
      <c r="K199">
        <f ca="1"/>
        <v>96.697517985210382</v>
      </c>
      <c r="L199">
        <f ca="1"/>
        <v>2.2279004051337523</v>
      </c>
      <c r="M199">
        <f ca="1"/>
        <v>1.0129155059679817E-2</v>
      </c>
      <c r="N199">
        <f ca="1"/>
        <v>0.56673105647554523</v>
      </c>
      <c r="O199">
        <f ca="1"/>
        <v>0</v>
      </c>
      <c r="P199">
        <f ca="1"/>
        <v>113.38677511500163</v>
      </c>
      <c r="Q199">
        <f ca="1"/>
        <v>96.313090831275545</v>
      </c>
      <c r="R199">
        <f ca="1"/>
        <v>0</v>
      </c>
      <c r="S199">
        <f ca="1"/>
        <v>0.99037037037037035</v>
      </c>
      <c r="T199">
        <f ca="1"/>
        <v>0</v>
      </c>
      <c r="U199">
        <f ca="1"/>
        <v>0</v>
      </c>
      <c r="V199">
        <f ca="1"/>
        <v>0.85090072041497622</v>
      </c>
      <c r="X199" s="2">
        <f t="shared" ca="1" si="15"/>
        <v>45575</v>
      </c>
      <c r="Y199">
        <f t="shared" ca="1" si="16"/>
        <v>0</v>
      </c>
      <c r="AA199" s="63">
        <f t="shared" ca="1" si="18"/>
        <v>98.92541839034412</v>
      </c>
      <c r="AB199" s="63">
        <f t="shared" ca="1" si="19"/>
        <v>98.925418390344134</v>
      </c>
      <c r="AC199" s="3">
        <f t="shared" ca="1" si="20"/>
        <v>0</v>
      </c>
    </row>
    <row r="200" spans="8:29">
      <c r="H200" t="b">
        <f t="shared" ca="1" si="17"/>
        <v>1</v>
      </c>
      <c r="I200" t="b">
        <f t="shared" ca="1" si="14"/>
        <v>1</v>
      </c>
      <c r="J200" s="2">
        <f ca="1"/>
        <v>45576</v>
      </c>
      <c r="K200">
        <f ca="1"/>
        <v>93.627430158687289</v>
      </c>
      <c r="L200">
        <f ca="1"/>
        <v>2.3853225777250344</v>
      </c>
      <c r="M200">
        <f ca="1"/>
        <v>1.0237455803036255E-2</v>
      </c>
      <c r="N200">
        <f ca="1"/>
        <v>0.59248682153273702</v>
      </c>
      <c r="O200">
        <f ca="1"/>
        <v>0</v>
      </c>
      <c r="P200">
        <f ca="1"/>
        <v>115.77209769272666</v>
      </c>
      <c r="Q200">
        <f ca="1"/>
        <v>98.339233561389463</v>
      </c>
      <c r="R200">
        <f ca="1"/>
        <v>1.2874895261338293</v>
      </c>
      <c r="S200">
        <f ca="1"/>
        <v>1</v>
      </c>
      <c r="T200">
        <f ca="1"/>
        <v>1.9541179076920869</v>
      </c>
      <c r="U200">
        <f ca="1"/>
        <v>0</v>
      </c>
      <c r="V200">
        <f ca="1"/>
        <v>0.85355175489142399</v>
      </c>
      <c r="X200" s="2">
        <f t="shared" ca="1" si="15"/>
        <v>45576</v>
      </c>
      <c r="Y200">
        <f t="shared" ca="1" si="16"/>
        <v>0</v>
      </c>
      <c r="AA200" s="63">
        <f t="shared" ca="1" si="18"/>
        <v>97.300242262546149</v>
      </c>
      <c r="AB200" s="63">
        <f t="shared" ca="1" si="19"/>
        <v>97.300242262546149</v>
      </c>
      <c r="AC200" s="3">
        <f t="shared" ca="1" si="20"/>
        <v>0</v>
      </c>
    </row>
    <row r="201" spans="8:29">
      <c r="H201" t="b">
        <f t="shared" ca="1" si="17"/>
        <v>1</v>
      </c>
      <c r="I201" t="b">
        <f t="shared" ca="1" si="14"/>
        <v>1</v>
      </c>
      <c r="J201" s="2">
        <f ca="1"/>
        <v>45577</v>
      </c>
      <c r="K201">
        <f ca="1"/>
        <v>90.587845562096433</v>
      </c>
      <c r="L201">
        <f ca="1"/>
        <v>2.3820989725824973</v>
      </c>
      <c r="M201">
        <f ca="1"/>
        <v>9.9301465197783045E-3</v>
      </c>
      <c r="N201">
        <f ca="1"/>
        <v>0.58840017739380723</v>
      </c>
      <c r="O201">
        <f ca="1"/>
        <v>0</v>
      </c>
      <c r="P201">
        <f ca="1"/>
        <v>118.15419666530916</v>
      </c>
      <c r="Q201">
        <f ca="1"/>
        <v>100.36263809408503</v>
      </c>
      <c r="R201">
        <f ca="1"/>
        <v>1.2558159479219508</v>
      </c>
      <c r="S201">
        <f ca="1"/>
        <v>1</v>
      </c>
      <c r="T201">
        <f ca="1"/>
        <v>1.9699999999999989</v>
      </c>
      <c r="U201">
        <f ca="1"/>
        <v>0</v>
      </c>
      <c r="V201">
        <f ca="1"/>
        <v>0.85604461518212538</v>
      </c>
      <c r="X201" s="2">
        <f t="shared" ca="1" si="15"/>
        <v>45577</v>
      </c>
      <c r="Y201">
        <f t="shared" ca="1" si="16"/>
        <v>0</v>
      </c>
      <c r="AA201" s="63">
        <f t="shared" ca="1" si="18"/>
        <v>94.225760482600876</v>
      </c>
      <c r="AB201" s="63">
        <f t="shared" ca="1" si="19"/>
        <v>94.225760482600876</v>
      </c>
      <c r="AC201" s="3">
        <f t="shared" ca="1" si="20"/>
        <v>0</v>
      </c>
    </row>
    <row r="202" spans="8:29">
      <c r="H202" t="b">
        <f t="shared" ca="1" si="17"/>
        <v>1</v>
      </c>
      <c r="I202" t="b">
        <f t="shared" ca="1" si="14"/>
        <v>1</v>
      </c>
      <c r="J202" s="2">
        <f ca="1"/>
        <v>45578</v>
      </c>
      <c r="K202">
        <f ca="1"/>
        <v>87.168271219718577</v>
      </c>
      <c r="L202">
        <f ca="1"/>
        <v>2.307769938885599</v>
      </c>
      <c r="M202">
        <f ca="1"/>
        <v>9.4713175773009084E-3</v>
      </c>
      <c r="N202">
        <f ca="1"/>
        <v>0.57172581328676308</v>
      </c>
      <c r="O202">
        <f ca="1"/>
        <v>0</v>
      </c>
      <c r="P202">
        <f ca="1"/>
        <v>120.46196660419476</v>
      </c>
      <c r="Q202">
        <f ca="1"/>
        <v>102.32290599584111</v>
      </c>
      <c r="R202">
        <f ca="1"/>
        <v>1.6930015343563107</v>
      </c>
      <c r="S202">
        <f ca="1"/>
        <v>1</v>
      </c>
      <c r="T202">
        <f ca="1"/>
        <v>2.759999999999998</v>
      </c>
      <c r="U202">
        <f ca="1"/>
        <v>0</v>
      </c>
      <c r="V202">
        <f ca="1"/>
        <v>0.85832232220561699</v>
      </c>
      <c r="X202" s="2">
        <f t="shared" ca="1" si="15"/>
        <v>45578</v>
      </c>
      <c r="Y202">
        <f t="shared" ca="1" si="16"/>
        <v>0</v>
      </c>
      <c r="AA202" s="63">
        <f t="shared" ca="1" si="18"/>
        <v>91.169042692960502</v>
      </c>
      <c r="AB202" s="63">
        <f t="shared" ca="1" si="19"/>
        <v>91.169042692960488</v>
      </c>
      <c r="AC202" s="3">
        <f t="shared" ca="1" si="20"/>
        <v>0</v>
      </c>
    </row>
    <row r="203" spans="8:29">
      <c r="H203" t="b">
        <f t="shared" ca="1" si="17"/>
        <v>1</v>
      </c>
      <c r="I203" t="b">
        <f t="shared" ref="I203:I266" ca="1" si="21">AND(IF(J203&gt;($J$7-1),TRUE,FALSE),IF(J203&lt;($J$8+1),TRUE,FALSE))</f>
        <v>1</v>
      </c>
      <c r="J203" s="2">
        <f ca="1"/>
        <v>45579</v>
      </c>
      <c r="K203">
        <f ca="1"/>
        <v>83.869860565647869</v>
      </c>
      <c r="L203">
        <f ca="1"/>
        <v>2.2417536203656709</v>
      </c>
      <c r="M203">
        <f ca="1"/>
        <v>9.0647888213268857E-3</v>
      </c>
      <c r="N203">
        <f ca="1"/>
        <v>0.55731529397553448</v>
      </c>
      <c r="O203">
        <f ca="1"/>
        <v>0</v>
      </c>
      <c r="P203">
        <f ca="1"/>
        <v>122.70372022456043</v>
      </c>
      <c r="Q203">
        <f ca="1"/>
        <v>104.22709826024439</v>
      </c>
      <c r="R203">
        <f ca="1"/>
        <v>1.6230371165018895</v>
      </c>
      <c r="S203">
        <f ca="1"/>
        <v>1</v>
      </c>
      <c r="T203">
        <f ca="1"/>
        <v>2.75</v>
      </c>
      <c r="U203">
        <f ca="1"/>
        <v>0</v>
      </c>
      <c r="V203">
        <f ca="1"/>
        <v>0.86041390867460088</v>
      </c>
      <c r="X203" s="2">
        <f t="shared" ref="X203:X266" ca="1" si="22">IFERROR(J203,$X$9)</f>
        <v>45579</v>
      </c>
      <c r="Y203">
        <f t="shared" ref="Y203:Y266" ca="1" si="23">IFERROR(O203,0)</f>
        <v>0</v>
      </c>
      <c r="AA203" s="63">
        <f t="shared" ca="1" si="18"/>
        <v>87.734651302515431</v>
      </c>
      <c r="AB203" s="63">
        <f t="shared" ca="1" si="19"/>
        <v>87.734651302515431</v>
      </c>
      <c r="AC203" s="3">
        <f t="shared" ca="1" si="20"/>
        <v>0</v>
      </c>
    </row>
    <row r="204" spans="8:29">
      <c r="H204" t="b">
        <f t="shared" ref="H204:H267" ca="1" si="24">IF(J204&lt;$J$8,TRUE,FALSE)</f>
        <v>1</v>
      </c>
      <c r="I204" t="b">
        <f t="shared" ca="1" si="21"/>
        <v>1</v>
      </c>
      <c r="J204" s="2">
        <f ca="1"/>
        <v>45580</v>
      </c>
      <c r="K204">
        <f ca="1"/>
        <v>82.106037179606147</v>
      </c>
      <c r="L204">
        <f ca="1"/>
        <v>2.2689365471083107</v>
      </c>
      <c r="M204">
        <f ca="1"/>
        <v>8.8856181150092084E-3</v>
      </c>
      <c r="N204">
        <f ca="1"/>
        <v>0.55978369765728064</v>
      </c>
      <c r="O204">
        <f ca="1"/>
        <v>0</v>
      </c>
      <c r="P204">
        <f ca="1"/>
        <v>124.97265677166874</v>
      </c>
      <c r="Q204">
        <f ca="1"/>
        <v>106.15438026937116</v>
      </c>
      <c r="R204">
        <f ca="1"/>
        <v>6.3556154705694798E-2</v>
      </c>
      <c r="S204">
        <f ca="1"/>
        <v>1</v>
      </c>
      <c r="T204">
        <f ca="1"/>
        <v>0.10999999999999943</v>
      </c>
      <c r="U204">
        <f ca="1"/>
        <v>0</v>
      </c>
      <c r="V204">
        <f ca="1"/>
        <v>0.86241720518859744</v>
      </c>
      <c r="X204" s="2">
        <f t="shared" ca="1" si="22"/>
        <v>45580</v>
      </c>
      <c r="Y204">
        <f t="shared" ca="1" si="23"/>
        <v>0</v>
      </c>
      <c r="AA204" s="63">
        <f t="shared" ca="1" si="18"/>
        <v>84.438529881420152</v>
      </c>
      <c r="AB204" s="63">
        <f t="shared" ca="1" si="19"/>
        <v>84.438529881420152</v>
      </c>
      <c r="AC204" s="3">
        <f t="shared" ca="1" si="20"/>
        <v>0</v>
      </c>
    </row>
    <row r="205" spans="8:29">
      <c r="H205" t="b">
        <f t="shared" ca="1" si="24"/>
        <v>1</v>
      </c>
      <c r="I205" t="b">
        <f t="shared" ca="1" si="21"/>
        <v>1</v>
      </c>
      <c r="J205" s="2">
        <f ca="1"/>
        <v>45581</v>
      </c>
      <c r="K205">
        <f ca="1"/>
        <v>80.149270307135225</v>
      </c>
      <c r="L205">
        <f ca="1"/>
        <v>2.4480632540969367</v>
      </c>
      <c r="M205">
        <f ca="1"/>
        <v>9.0387112634147115E-3</v>
      </c>
      <c r="N205">
        <f ca="1"/>
        <v>0.5894202132547437</v>
      </c>
      <c r="O205">
        <f ca="1"/>
        <v>0</v>
      </c>
      <c r="P205">
        <f ca="1"/>
        <v>127.42072002576568</v>
      </c>
      <c r="Q205">
        <f ca="1"/>
        <v>108.23381623810214</v>
      </c>
      <c r="R205">
        <f ca="1"/>
        <v>0.10716254289213538</v>
      </c>
      <c r="S205">
        <f ca="1"/>
        <v>1</v>
      </c>
      <c r="T205">
        <f ca="1"/>
        <v>0.19000000000000483</v>
      </c>
      <c r="U205">
        <f ca="1"/>
        <v>0</v>
      </c>
      <c r="V205">
        <f ca="1"/>
        <v>0.86445865410804734</v>
      </c>
      <c r="X205" s="2">
        <f t="shared" ca="1" si="22"/>
        <v>45581</v>
      </c>
      <c r="Y205">
        <f t="shared" ca="1" si="23"/>
        <v>0</v>
      </c>
      <c r="AA205" s="63">
        <f ca="1">K204+M205+N205+O205</f>
        <v>82.704496104124303</v>
      </c>
      <c r="AB205" s="63">
        <f ca="1">K205+L205+R205</f>
        <v>82.704496104124303</v>
      </c>
      <c r="AC205" s="3">
        <f ca="1">AB205-AA205</f>
        <v>0</v>
      </c>
    </row>
    <row r="206" spans="8:29">
      <c r="H206" t="b">
        <f t="shared" ca="1" si="24"/>
        <v>1</v>
      </c>
      <c r="I206" t="b">
        <f t="shared" ca="1" si="21"/>
        <v>1</v>
      </c>
      <c r="J206" s="2">
        <f ca="1"/>
        <v>45582</v>
      </c>
      <c r="K206">
        <f ca="1"/>
        <v>78.032897244791215</v>
      </c>
      <c r="L206">
        <f ca="1"/>
        <v>2.3217349062184525</v>
      </c>
      <c r="M206">
        <f ca="1"/>
        <v>8.5317974850909195E-3</v>
      </c>
      <c r="N206">
        <f ca="1"/>
        <v>0.56474070636201867</v>
      </c>
      <c r="O206">
        <f ca="1"/>
        <v>0</v>
      </c>
      <c r="P206">
        <f ca="1"/>
        <v>129.74245493198413</v>
      </c>
      <c r="Q206">
        <f ca="1"/>
        <v>110.20594627427224</v>
      </c>
      <c r="R206">
        <f ca="1"/>
        <v>0.36791065997266464</v>
      </c>
      <c r="S206">
        <f ca="1"/>
        <v>1</v>
      </c>
      <c r="T206">
        <f ca="1"/>
        <v>0.67000000000000171</v>
      </c>
      <c r="U206">
        <f ca="1"/>
        <v>0</v>
      </c>
      <c r="V206">
        <f ca="1"/>
        <v>0.8662870572885657</v>
      </c>
      <c r="X206" s="2">
        <f t="shared" ca="1" si="22"/>
        <v>45582</v>
      </c>
      <c r="Y206">
        <f t="shared" ca="1" si="23"/>
        <v>0</v>
      </c>
      <c r="AA206" s="63">
        <f ca="1">K205+M206+N206+O206</f>
        <v>80.722542810982333</v>
      </c>
      <c r="AB206" s="63">
        <f ca="1">K206+L206+R206</f>
        <v>80.722542810982333</v>
      </c>
      <c r="AC206" s="3">
        <f ca="1">AB206-AA206</f>
        <v>0</v>
      </c>
    </row>
    <row r="207" spans="8:29">
      <c r="H207" t="b">
        <f t="shared" ca="1" si="24"/>
        <v>1</v>
      </c>
      <c r="I207" t="b">
        <f t="shared" ca="1" si="21"/>
        <v>1</v>
      </c>
      <c r="J207" s="2">
        <f ca="1"/>
        <v>45583</v>
      </c>
      <c r="K207">
        <f ca="1"/>
        <v>76.332651600435213</v>
      </c>
      <c r="L207">
        <f ca="1"/>
        <v>2.2608388264163182</v>
      </c>
      <c r="M207">
        <f ca="1"/>
        <v>8.1945112415908739E-3</v>
      </c>
      <c r="N207">
        <f ca="1"/>
        <v>0.5523986708187375</v>
      </c>
      <c r="O207">
        <f ca="1"/>
        <v>0</v>
      </c>
      <c r="P207">
        <f ca="1"/>
        <v>132.00329375840045</v>
      </c>
      <c r="Q207">
        <f ca="1"/>
        <v>112.12634991061044</v>
      </c>
      <c r="R207">
        <f ca="1"/>
        <v>0</v>
      </c>
      <c r="S207">
        <f ca="1"/>
        <v>0.98148148148148151</v>
      </c>
      <c r="T207">
        <f ca="1"/>
        <v>0</v>
      </c>
      <c r="U207">
        <f ca="1"/>
        <v>0</v>
      </c>
      <c r="V207">
        <f ca="1"/>
        <v>0.86797313124193098</v>
      </c>
      <c r="X207" s="2">
        <f t="shared" ca="1" si="22"/>
        <v>45583</v>
      </c>
      <c r="Y207">
        <f t="shared" ca="1" si="23"/>
        <v>0</v>
      </c>
      <c r="AA207" s="63">
        <f ca="1">K206+M207+N207+O207</f>
        <v>78.593490426851545</v>
      </c>
      <c r="AB207" s="63">
        <f ca="1">K207+L207+R207</f>
        <v>78.593490426851531</v>
      </c>
      <c r="AC207" s="3">
        <f ca="1">AB207-AA207</f>
        <v>0</v>
      </c>
    </row>
    <row r="208" spans="8:29">
      <c r="H208" t="b">
        <f t="shared" ca="1" si="24"/>
        <v>1</v>
      </c>
      <c r="I208" t="b">
        <f t="shared" ca="1" si="21"/>
        <v>1</v>
      </c>
      <c r="J208" s="2">
        <f ca="1"/>
        <v>45584</v>
      </c>
      <c r="K208">
        <f ca="1"/>
        <v>74.644912244753243</v>
      </c>
      <c r="L208">
        <f ca="1"/>
        <v>2.2352971576927416</v>
      </c>
      <c r="M208">
        <f ca="1"/>
        <v>7.9452159729740401E-3</v>
      </c>
      <c r="N208">
        <f ca="1"/>
        <v>0.5396125860377925</v>
      </c>
      <c r="O208">
        <f ca="1"/>
        <v>0</v>
      </c>
      <c r="P208">
        <f ca="1"/>
        <v>134.23859091609319</v>
      </c>
      <c r="Q208">
        <f ca="1"/>
        <v>114.02505792100581</v>
      </c>
      <c r="R208">
        <f ca="1"/>
        <v>0</v>
      </c>
      <c r="S208">
        <f ca="1"/>
        <v>0.95033280905963713</v>
      </c>
      <c r="T208">
        <f ca="1"/>
        <v>0</v>
      </c>
      <c r="U208">
        <f ca="1"/>
        <v>0</v>
      </c>
      <c r="V208">
        <f ca="1"/>
        <v>0.86955417639338783</v>
      </c>
      <c r="X208" s="2">
        <f t="shared" ca="1" si="22"/>
        <v>45584</v>
      </c>
      <c r="Y208">
        <f t="shared" ca="1" si="23"/>
        <v>0</v>
      </c>
      <c r="AA208" s="63">
        <f t="shared" ref="AA208:AA271" ca="1" si="25">K207+M208+N208+O208</f>
        <v>76.880209402445971</v>
      </c>
      <c r="AB208" s="63">
        <f t="shared" ref="AB208:AB271" ca="1" si="26">K208+L208+R208</f>
        <v>76.880209402445985</v>
      </c>
      <c r="AC208" s="3">
        <f t="shared" ref="AC208:AC271" ca="1" si="27">AB208-AA208</f>
        <v>0</v>
      </c>
    </row>
    <row r="209" spans="8:29">
      <c r="H209" t="b">
        <f t="shared" ca="1" si="24"/>
        <v>1</v>
      </c>
      <c r="I209" t="b">
        <f t="shared" ca="1" si="21"/>
        <v>1</v>
      </c>
      <c r="J209" s="2">
        <f ca="1"/>
        <v>45585</v>
      </c>
      <c r="K209">
        <f ca="1"/>
        <v>72.839886629325946</v>
      </c>
      <c r="L209">
        <f ca="1"/>
        <v>2.3750447400567509</v>
      </c>
      <c r="M209">
        <f ca="1"/>
        <v>8.0184611847897713E-3</v>
      </c>
      <c r="N209">
        <f ca="1"/>
        <v>0.56200066344467092</v>
      </c>
      <c r="O209">
        <f ca="1"/>
        <v>0</v>
      </c>
      <c r="P209">
        <f ca="1"/>
        <v>136.61363565614994</v>
      </c>
      <c r="Q209">
        <f ca="1"/>
        <v>116.04247044151734</v>
      </c>
      <c r="R209">
        <f ca="1"/>
        <v>0</v>
      </c>
      <c r="S209">
        <f ca="1"/>
        <v>0.95031087296339212</v>
      </c>
      <c r="T209">
        <f ca="1"/>
        <v>0</v>
      </c>
      <c r="U209">
        <f ca="1"/>
        <v>0</v>
      </c>
      <c r="V209">
        <f ca="1"/>
        <v>0.87114606086940038</v>
      </c>
      <c r="X209" s="2">
        <f t="shared" ca="1" si="22"/>
        <v>45585</v>
      </c>
      <c r="Y209">
        <f t="shared" ca="1" si="23"/>
        <v>0</v>
      </c>
      <c r="AA209" s="63">
        <f t="shared" ca="1" si="25"/>
        <v>75.214931369382697</v>
      </c>
      <c r="AB209" s="63">
        <f t="shared" ca="1" si="26"/>
        <v>75.214931369382697</v>
      </c>
      <c r="AC209" s="3">
        <f t="shared" ca="1" si="27"/>
        <v>0</v>
      </c>
    </row>
    <row r="210" spans="8:29">
      <c r="H210" t="b">
        <f t="shared" ca="1" si="24"/>
        <v>1</v>
      </c>
      <c r="I210" t="b">
        <f t="shared" ca="1" si="21"/>
        <v>1</v>
      </c>
      <c r="J210" s="2">
        <f ca="1"/>
        <v>45586</v>
      </c>
      <c r="K210">
        <f ca="1"/>
        <v>70.966834317115371</v>
      </c>
      <c r="L210">
        <f ca="1"/>
        <v>2.463085039556546</v>
      </c>
      <c r="M210">
        <f ca="1"/>
        <v>7.988476151702173E-3</v>
      </c>
      <c r="N210">
        <f ca="1"/>
        <v>0.58204425119428016</v>
      </c>
      <c r="O210">
        <f ca="1"/>
        <v>0</v>
      </c>
      <c r="P210">
        <f ca="1"/>
        <v>139.07672069570648</v>
      </c>
      <c r="Q210">
        <f ca="1"/>
        <v>118.13466622801324</v>
      </c>
      <c r="R210">
        <f ca="1"/>
        <v>0</v>
      </c>
      <c r="S210">
        <f ca="1"/>
        <v>0.95879987234744712</v>
      </c>
      <c r="T210">
        <f ca="1"/>
        <v>0</v>
      </c>
      <c r="U210">
        <f ca="1"/>
        <v>0</v>
      </c>
      <c r="V210">
        <f ca="1"/>
        <v>0.8727070717888693</v>
      </c>
      <c r="X210" s="2">
        <f t="shared" ca="1" si="22"/>
        <v>45586</v>
      </c>
      <c r="Y210">
        <f t="shared" ca="1" si="23"/>
        <v>0</v>
      </c>
      <c r="AA210" s="63">
        <f t="shared" ca="1" si="25"/>
        <v>73.429919356671917</v>
      </c>
      <c r="AB210" s="63">
        <f t="shared" ca="1" si="26"/>
        <v>73.429919356671917</v>
      </c>
      <c r="AC210" s="3">
        <f t="shared" ca="1" si="27"/>
        <v>0</v>
      </c>
    </row>
    <row r="211" spans="8:29">
      <c r="H211" t="b">
        <f t="shared" ca="1" si="24"/>
        <v>1</v>
      </c>
      <c r="I211" t="b">
        <f t="shared" ca="1" si="21"/>
        <v>1</v>
      </c>
      <c r="J211" s="2">
        <f ca="1"/>
        <v>45587</v>
      </c>
      <c r="K211">
        <f ca="1"/>
        <v>69.000565403809986</v>
      </c>
      <c r="L211">
        <f ca="1"/>
        <v>2.5765364099675878</v>
      </c>
      <c r="M211">
        <f ca="1"/>
        <v>8.0053677770308695E-3</v>
      </c>
      <c r="N211">
        <f ca="1"/>
        <v>0.60226212888517028</v>
      </c>
      <c r="O211">
        <f ca="1"/>
        <v>0</v>
      </c>
      <c r="P211">
        <f ca="1"/>
        <v>141.65325710567407</v>
      </c>
      <c r="Q211">
        <f ca="1"/>
        <v>120.32322997393167</v>
      </c>
      <c r="R211">
        <f ca="1"/>
        <v>0</v>
      </c>
      <c r="S211">
        <f ca="1"/>
        <v>0.97913855538052752</v>
      </c>
      <c r="T211">
        <f ca="1"/>
        <v>0</v>
      </c>
      <c r="U211">
        <f ca="1"/>
        <v>0</v>
      </c>
      <c r="V211">
        <f ca="1"/>
        <v>0.87424828019940182</v>
      </c>
      <c r="X211" s="2">
        <f t="shared" ca="1" si="22"/>
        <v>45587</v>
      </c>
      <c r="Y211">
        <f t="shared" ca="1" si="23"/>
        <v>0</v>
      </c>
      <c r="AA211" s="63">
        <f t="shared" ca="1" si="25"/>
        <v>71.577101813777574</v>
      </c>
      <c r="AB211" s="63">
        <f t="shared" ca="1" si="26"/>
        <v>71.577101813777574</v>
      </c>
      <c r="AC211" s="3">
        <f t="shared" ca="1" si="27"/>
        <v>0</v>
      </c>
    </row>
    <row r="212" spans="8:29">
      <c r="H212" t="b">
        <f t="shared" ca="1" si="24"/>
        <v>1</v>
      </c>
      <c r="I212" t="b">
        <f t="shared" ca="1" si="21"/>
        <v>1</v>
      </c>
      <c r="J212" s="2">
        <f ca="1"/>
        <v>45588</v>
      </c>
      <c r="K212">
        <f ca="1"/>
        <v>67.168844239535929</v>
      </c>
      <c r="L212">
        <f ca="1"/>
        <v>2.4114561851395422</v>
      </c>
      <c r="M212">
        <f ca="1"/>
        <v>7.5082476234697992E-3</v>
      </c>
      <c r="N212">
        <f ca="1"/>
        <v>0.57222677324200433</v>
      </c>
      <c r="O212">
        <f ca="1"/>
        <v>0</v>
      </c>
      <c r="P212">
        <f ca="1"/>
        <v>144.06471329081361</v>
      </c>
      <c r="Q212">
        <f ca="1"/>
        <v>122.37157113505404</v>
      </c>
      <c r="R212">
        <f ca="1"/>
        <v>0</v>
      </c>
      <c r="S212">
        <f ca="1"/>
        <v>0.98022113823802781</v>
      </c>
      <c r="T212">
        <f ca="1"/>
        <v>0</v>
      </c>
      <c r="U212">
        <f ca="1"/>
        <v>0</v>
      </c>
      <c r="V212">
        <f ca="1"/>
        <v>0.8756111661611663</v>
      </c>
      <c r="X212" s="2">
        <f t="shared" ca="1" si="22"/>
        <v>45588</v>
      </c>
      <c r="Y212">
        <f t="shared" ca="1" si="23"/>
        <v>0</v>
      </c>
      <c r="AA212" s="63">
        <f t="shared" ca="1" si="25"/>
        <v>69.580300424675457</v>
      </c>
      <c r="AB212" s="63">
        <f t="shared" ca="1" si="26"/>
        <v>69.580300424675471</v>
      </c>
      <c r="AC212" s="3">
        <f t="shared" ca="1" si="27"/>
        <v>0</v>
      </c>
    </row>
    <row r="213" spans="8:29">
      <c r="H213" t="b">
        <f t="shared" ca="1" si="24"/>
        <v>1</v>
      </c>
      <c r="I213" t="b">
        <f t="shared" ca="1" si="21"/>
        <v>1</v>
      </c>
      <c r="J213" s="2">
        <f ca="1"/>
        <v>45589</v>
      </c>
      <c r="K213">
        <f ca="1"/>
        <v>65.218787411841831</v>
      </c>
      <c r="L213">
        <f ca="1"/>
        <v>2.5455796018957528</v>
      </c>
      <c r="M213">
        <f ca="1"/>
        <v>7.5703776245035215E-3</v>
      </c>
      <c r="N213">
        <f ca="1"/>
        <v>0.58795239657714538</v>
      </c>
      <c r="O213">
        <f ca="1"/>
        <v>0</v>
      </c>
      <c r="P213">
        <f ca="1"/>
        <v>146.61029289270937</v>
      </c>
      <c r="Q213">
        <f ca="1"/>
        <v>124.53383952276472</v>
      </c>
      <c r="R213">
        <f ca="1"/>
        <v>0</v>
      </c>
      <c r="S213">
        <f ca="1"/>
        <v>0.95093035602146425</v>
      </c>
      <c r="T213">
        <f ca="1"/>
        <v>0</v>
      </c>
      <c r="U213">
        <f ca="1"/>
        <v>0</v>
      </c>
      <c r="V213">
        <f ca="1"/>
        <v>0.8769716466646168</v>
      </c>
      <c r="X213" s="2">
        <f t="shared" ca="1" si="22"/>
        <v>45589</v>
      </c>
      <c r="Y213">
        <f t="shared" ca="1" si="23"/>
        <v>0</v>
      </c>
      <c r="AA213" s="63">
        <f t="shared" ca="1" si="25"/>
        <v>67.764367013737584</v>
      </c>
      <c r="AB213" s="63">
        <f t="shared" ca="1" si="26"/>
        <v>67.764367013737584</v>
      </c>
      <c r="AC213" s="3">
        <f t="shared" ca="1" si="27"/>
        <v>0</v>
      </c>
    </row>
    <row r="214" spans="8:29">
      <c r="H214" t="b">
        <f t="shared" ca="1" si="24"/>
        <v>1</v>
      </c>
      <c r="I214" t="b">
        <f t="shared" ca="1" si="21"/>
        <v>1</v>
      </c>
      <c r="J214" s="2">
        <f ca="1"/>
        <v>45590</v>
      </c>
      <c r="K214">
        <f ca="1"/>
        <v>63.163008494947462</v>
      </c>
      <c r="L214">
        <f ca="1"/>
        <v>2.6323834820049399</v>
      </c>
      <c r="M214">
        <f ca="1"/>
        <v>7.5454746140408702E-3</v>
      </c>
      <c r="N214">
        <f ca="1"/>
        <v>0.56905909049652093</v>
      </c>
      <c r="O214">
        <f ca="1"/>
        <v>0</v>
      </c>
      <c r="P214">
        <f ca="1"/>
        <v>149.24267637471431</v>
      </c>
      <c r="Q214">
        <f ca="1"/>
        <v>126.7698409360508</v>
      </c>
      <c r="R214">
        <f ca="1"/>
        <v>0</v>
      </c>
      <c r="S214">
        <f ca="1"/>
        <v>0.90518197693479652</v>
      </c>
      <c r="T214">
        <f ca="1"/>
        <v>0</v>
      </c>
      <c r="U214">
        <f ca="1"/>
        <v>0</v>
      </c>
      <c r="V214">
        <f ca="1"/>
        <v>0.87829934690162881</v>
      </c>
      <c r="X214" s="2">
        <f t="shared" ca="1" si="22"/>
        <v>45590</v>
      </c>
      <c r="Y214">
        <f t="shared" ca="1" si="23"/>
        <v>0</v>
      </c>
      <c r="AA214" s="63">
        <f t="shared" ca="1" si="25"/>
        <v>65.795391976952402</v>
      </c>
      <c r="AB214" s="63">
        <f t="shared" ca="1" si="26"/>
        <v>65.795391976952402</v>
      </c>
      <c r="AC214" s="3">
        <f t="shared" ca="1" si="27"/>
        <v>0</v>
      </c>
    </row>
    <row r="215" spans="8:29">
      <c r="H215" t="b">
        <f t="shared" ca="1" si="24"/>
        <v>1</v>
      </c>
      <c r="I215" t="b">
        <f t="shared" ca="1" si="21"/>
        <v>1</v>
      </c>
      <c r="J215" s="2">
        <f ca="1"/>
        <v>45591</v>
      </c>
      <c r="K215">
        <f ca="1"/>
        <v>60.925634988466612</v>
      </c>
      <c r="L215">
        <f ca="1"/>
        <v>2.8541234620611533</v>
      </c>
      <c r="M215">
        <f ca="1"/>
        <v>7.7641575540354779E-3</v>
      </c>
      <c r="N215">
        <f ca="1"/>
        <v>0.60898579802627006</v>
      </c>
      <c r="O215">
        <f ca="1"/>
        <v>0</v>
      </c>
      <c r="P215">
        <f ca="1"/>
        <v>152.09679983677546</v>
      </c>
      <c r="Q215">
        <f ca="1"/>
        <v>129.19419291154674</v>
      </c>
      <c r="R215">
        <f ca="1"/>
        <v>0</v>
      </c>
      <c r="S215">
        <f ca="1"/>
        <v>0.90810153682839423</v>
      </c>
      <c r="T215">
        <f ca="1"/>
        <v>0</v>
      </c>
      <c r="U215">
        <f ca="1"/>
        <v>0</v>
      </c>
      <c r="V215">
        <f ca="1"/>
        <v>0.87965389165300234</v>
      </c>
      <c r="X215" s="2">
        <f t="shared" ca="1" si="22"/>
        <v>45591</v>
      </c>
      <c r="Y215">
        <f t="shared" ca="1" si="23"/>
        <v>0</v>
      </c>
      <c r="AA215" s="63">
        <f t="shared" ca="1" si="25"/>
        <v>63.779758450527765</v>
      </c>
      <c r="AB215" s="63">
        <f t="shared" ca="1" si="26"/>
        <v>63.779758450527765</v>
      </c>
      <c r="AC215" s="3">
        <f t="shared" ca="1" si="27"/>
        <v>0</v>
      </c>
    </row>
    <row r="216" spans="8:29">
      <c r="H216" t="b">
        <f t="shared" ca="1" si="24"/>
        <v>1</v>
      </c>
      <c r="I216" t="b">
        <f t="shared" ca="1" si="21"/>
        <v>1</v>
      </c>
      <c r="J216" s="2">
        <f ca="1"/>
        <v>45592</v>
      </c>
      <c r="K216">
        <f ca="1"/>
        <v>58.842273416143179</v>
      </c>
      <c r="L216">
        <f ca="1"/>
        <v>2.6883609974329943</v>
      </c>
      <c r="M216">
        <f ca="1"/>
        <v>7.2856061718624687E-3</v>
      </c>
      <c r="N216">
        <f ca="1"/>
        <v>0.59771381893769526</v>
      </c>
      <c r="O216">
        <f ca="1"/>
        <v>0</v>
      </c>
      <c r="P216">
        <f ca="1"/>
        <v>154.78516083420845</v>
      </c>
      <c r="Q216">
        <f ca="1"/>
        <v>131.47774279353618</v>
      </c>
      <c r="R216">
        <f ca="1"/>
        <v>0</v>
      </c>
      <c r="S216">
        <f ca="1"/>
        <v>0.93129025874373705</v>
      </c>
      <c r="T216">
        <f ca="1"/>
        <v>0</v>
      </c>
      <c r="U216">
        <f ca="1"/>
        <v>0</v>
      </c>
      <c r="V216">
        <f ca="1"/>
        <v>0.88085421982644185</v>
      </c>
      <c r="X216" s="2">
        <f t="shared" ca="1" si="22"/>
        <v>45592</v>
      </c>
      <c r="Y216">
        <f t="shared" ca="1" si="23"/>
        <v>0</v>
      </c>
      <c r="AA216" s="63">
        <f t="shared" ca="1" si="25"/>
        <v>61.530634413576173</v>
      </c>
      <c r="AB216" s="63">
        <f t="shared" ca="1" si="26"/>
        <v>61.530634413576173</v>
      </c>
      <c r="AC216" s="3">
        <f t="shared" ca="1" si="27"/>
        <v>0</v>
      </c>
    </row>
    <row r="217" spans="8:29">
      <c r="H217" t="b">
        <f t="shared" ca="1" si="24"/>
        <v>1</v>
      </c>
      <c r="I217" t="b">
        <f t="shared" ca="1" si="21"/>
        <v>1</v>
      </c>
      <c r="J217" s="2">
        <f ca="1"/>
        <v>45593</v>
      </c>
      <c r="K217">
        <f ca="1"/>
        <v>56.746922503504386</v>
      </c>
      <c r="L217">
        <f ca="1"/>
        <v>2.6920038491812477</v>
      </c>
      <c r="M217">
        <f ca="1"/>
        <v>7.1263463947843775E-3</v>
      </c>
      <c r="N217">
        <f ca="1"/>
        <v>0.58952659014767117</v>
      </c>
      <c r="O217">
        <f ca="1"/>
        <v>0</v>
      </c>
      <c r="P217">
        <f ca="1"/>
        <v>157.4771646833897</v>
      </c>
      <c r="Q217">
        <f ca="1"/>
        <v>133.7643869897519</v>
      </c>
      <c r="R217">
        <f ca="1"/>
        <v>0</v>
      </c>
      <c r="S217">
        <f ca="1"/>
        <v>0.91898998769040485</v>
      </c>
      <c r="T217">
        <f ca="1"/>
        <v>0</v>
      </c>
      <c r="U217">
        <f ca="1"/>
        <v>0</v>
      </c>
      <c r="V217">
        <f ca="1"/>
        <v>0.88198755217991986</v>
      </c>
      <c r="X217" s="2">
        <f t="shared" ca="1" si="22"/>
        <v>45593</v>
      </c>
      <c r="Y217">
        <f t="shared" ca="1" si="23"/>
        <v>0</v>
      </c>
      <c r="AA217" s="63">
        <f t="shared" ca="1" si="25"/>
        <v>59.438926352685634</v>
      </c>
      <c r="AB217" s="63">
        <f t="shared" ca="1" si="26"/>
        <v>59.438926352685634</v>
      </c>
      <c r="AC217" s="3">
        <f t="shared" ca="1" si="27"/>
        <v>0</v>
      </c>
    </row>
    <row r="218" spans="8:29">
      <c r="H218" t="b">
        <f t="shared" ca="1" si="24"/>
        <v>1</v>
      </c>
      <c r="I218" t="b">
        <f t="shared" ca="1" si="21"/>
        <v>1</v>
      </c>
      <c r="J218" s="2">
        <f ca="1"/>
        <v>45594</v>
      </c>
      <c r="K218">
        <f ca="1"/>
        <v>54.534995927348859</v>
      </c>
      <c r="L218">
        <f ca="1"/>
        <v>2.812447802351727</v>
      </c>
      <c r="M218">
        <f ca="1"/>
        <v>7.1699879177558046E-3</v>
      </c>
      <c r="N218">
        <f ca="1"/>
        <v>0.59335123827844527</v>
      </c>
      <c r="O218">
        <f ca="1"/>
        <v>0</v>
      </c>
      <c r="P218">
        <f ca="1"/>
        <v>160.28961248574143</v>
      </c>
      <c r="Q218">
        <f ca="1"/>
        <v>136.1533387909773</v>
      </c>
      <c r="R218">
        <f ca="1"/>
        <v>0</v>
      </c>
      <c r="S218">
        <f ca="1"/>
        <v>0.89549287177724235</v>
      </c>
      <c r="T218">
        <f ca="1"/>
        <v>0</v>
      </c>
      <c r="U218">
        <f ca="1"/>
        <v>0</v>
      </c>
      <c r="V218">
        <f ca="1"/>
        <v>0.88310296805617439</v>
      </c>
      <c r="X218" s="2">
        <f t="shared" ca="1" si="22"/>
        <v>45594</v>
      </c>
      <c r="Y218">
        <f t="shared" ca="1" si="23"/>
        <v>0</v>
      </c>
      <c r="AA218" s="63">
        <f t="shared" ca="1" si="25"/>
        <v>57.347443729700586</v>
      </c>
      <c r="AB218" s="63">
        <f t="shared" ca="1" si="26"/>
        <v>57.347443729700586</v>
      </c>
      <c r="AC218" s="3">
        <f t="shared" ca="1" si="27"/>
        <v>0</v>
      </c>
    </row>
    <row r="219" spans="8:29">
      <c r="H219" t="b">
        <f t="shared" ca="1" si="24"/>
        <v>1</v>
      </c>
      <c r="I219" t="b">
        <f t="shared" ca="1" si="21"/>
        <v>1</v>
      </c>
      <c r="J219" s="2">
        <f ca="1"/>
        <v>45595</v>
      </c>
      <c r="K219">
        <f ca="1"/>
        <v>52.34746085730032</v>
      </c>
      <c r="L219">
        <f ca="1"/>
        <v>2.7515028939402555</v>
      </c>
      <c r="M219">
        <f ca="1"/>
        <v>6.9101822722430484E-3</v>
      </c>
      <c r="N219">
        <f ca="1"/>
        <v>0.55705764161947458</v>
      </c>
      <c r="O219">
        <f ca="1"/>
        <v>0</v>
      </c>
      <c r="P219">
        <f ca="1"/>
        <v>163.04111537968168</v>
      </c>
      <c r="Q219">
        <f ca="1"/>
        <v>138.49052271633195</v>
      </c>
      <c r="R219">
        <f ca="1"/>
        <v>0</v>
      </c>
      <c r="S219">
        <f ca="1"/>
        <v>0.85856497818087141</v>
      </c>
      <c r="T219">
        <f ca="1"/>
        <v>0</v>
      </c>
      <c r="U219">
        <f ca="1"/>
        <v>0</v>
      </c>
      <c r="V219">
        <f ca="1"/>
        <v>0.88413070034436392</v>
      </c>
      <c r="X219" s="2">
        <f t="shared" ca="1" si="22"/>
        <v>45595</v>
      </c>
      <c r="Y219">
        <f t="shared" ca="1" si="23"/>
        <v>0</v>
      </c>
      <c r="AA219" s="63">
        <f t="shared" ca="1" si="25"/>
        <v>55.098963751240575</v>
      </c>
      <c r="AB219" s="63">
        <f t="shared" ca="1" si="26"/>
        <v>55.098963751240575</v>
      </c>
      <c r="AC219" s="3">
        <f t="shared" ca="1" si="27"/>
        <v>0</v>
      </c>
    </row>
    <row r="220" spans="8:29">
      <c r="H220" t="b">
        <f t="shared" ca="1" si="24"/>
        <v>1</v>
      </c>
      <c r="I220" t="b">
        <f t="shared" ca="1" si="21"/>
        <v>1</v>
      </c>
      <c r="J220" s="2">
        <f ca="1"/>
        <v>45596</v>
      </c>
      <c r="K220">
        <f ca="1"/>
        <v>50.266043185331071</v>
      </c>
      <c r="L220">
        <f ca="1"/>
        <v>2.6029131062423971</v>
      </c>
      <c r="M220">
        <f ca="1"/>
        <v>6.5273214797088031E-3</v>
      </c>
      <c r="N220">
        <f ca="1"/>
        <v>0.51496811279344334</v>
      </c>
      <c r="O220">
        <f ca="1"/>
        <v>0</v>
      </c>
      <c r="P220">
        <f ca="1"/>
        <v>165.64402848592408</v>
      </c>
      <c r="Q220">
        <f ca="1"/>
        <v>140.70149137800504</v>
      </c>
      <c r="R220">
        <f ca="1"/>
        <v>0</v>
      </c>
      <c r="S220">
        <f ca="1"/>
        <v>0.82987317895022794</v>
      </c>
      <c r="T220">
        <f ca="1"/>
        <v>0</v>
      </c>
      <c r="U220">
        <f ca="1"/>
        <v>0</v>
      </c>
      <c r="V220">
        <f ca="1"/>
        <v>0.88504873649097893</v>
      </c>
      <c r="X220" s="2">
        <f t="shared" ca="1" si="22"/>
        <v>45596</v>
      </c>
      <c r="Y220">
        <f t="shared" ca="1" si="23"/>
        <v>0</v>
      </c>
      <c r="AA220" s="63">
        <f t="shared" ca="1" si="25"/>
        <v>52.868956291573468</v>
      </c>
      <c r="AB220" s="63">
        <f t="shared" ca="1" si="26"/>
        <v>52.868956291573468</v>
      </c>
      <c r="AC220" s="3">
        <f t="shared" ca="1" si="27"/>
        <v>0</v>
      </c>
    </row>
    <row r="221" spans="8:29">
      <c r="H221" t="b">
        <f t="shared" ca="1" si="24"/>
        <v>1</v>
      </c>
      <c r="I221" t="b">
        <f t="shared" ca="1" si="21"/>
        <v>1</v>
      </c>
      <c r="J221" s="2">
        <f ca="1"/>
        <v>45597</v>
      </c>
      <c r="K221">
        <f ca="1"/>
        <v>48.145393923725997</v>
      </c>
      <c r="L221">
        <f ca="1"/>
        <v>2.6116167813245283</v>
      </c>
      <c r="M221">
        <f ca="1"/>
        <v>6.4084289325450072E-3</v>
      </c>
      <c r="N221">
        <f ca="1"/>
        <v>0.48455909078690973</v>
      </c>
      <c r="O221">
        <f ca="1"/>
        <v>0</v>
      </c>
      <c r="P221">
        <f ca="1"/>
        <v>168.25564526724861</v>
      </c>
      <c r="Q221">
        <f ca="1"/>
        <v>142.91985312275949</v>
      </c>
      <c r="R221">
        <f ca="1"/>
        <v>0</v>
      </c>
      <c r="S221">
        <f ca="1"/>
        <v>0.77918392334732622</v>
      </c>
      <c r="T221">
        <f ca="1"/>
        <v>0</v>
      </c>
      <c r="U221">
        <f ca="1"/>
        <v>0</v>
      </c>
      <c r="V221">
        <f ca="1"/>
        <v>0.88592008872092853</v>
      </c>
      <c r="X221" s="2">
        <f t="shared" ca="1" si="22"/>
        <v>45597</v>
      </c>
      <c r="Y221">
        <f t="shared" ca="1" si="23"/>
        <v>0</v>
      </c>
      <c r="AA221" s="63">
        <f t="shared" ca="1" si="25"/>
        <v>50.757010705050526</v>
      </c>
      <c r="AB221" s="63">
        <f t="shared" ca="1" si="26"/>
        <v>50.757010705050526</v>
      </c>
      <c r="AC221" s="3">
        <f t="shared" ca="1" si="27"/>
        <v>0</v>
      </c>
    </row>
    <row r="222" spans="8:29">
      <c r="H222" t="b">
        <f t="shared" ca="1" si="24"/>
        <v>1</v>
      </c>
      <c r="I222" t="b">
        <f t="shared" ca="1" si="21"/>
        <v>1</v>
      </c>
      <c r="J222" s="2">
        <f ca="1"/>
        <v>45598</v>
      </c>
      <c r="K222">
        <f ca="1"/>
        <v>46.052884283050247</v>
      </c>
      <c r="L222">
        <f ca="1"/>
        <v>2.570102233391907</v>
      </c>
      <c r="M222">
        <f ca="1"/>
        <v>6.2191374562416968E-3</v>
      </c>
      <c r="N222">
        <f ca="1"/>
        <v>0.47137345525991708</v>
      </c>
      <c r="O222">
        <f ca="1"/>
        <v>0</v>
      </c>
      <c r="P222">
        <f ca="1"/>
        <v>170.82574750064052</v>
      </c>
      <c r="Q222">
        <f ca="1"/>
        <v>145.10295154494563</v>
      </c>
      <c r="R222">
        <f ca="1"/>
        <v>0</v>
      </c>
      <c r="S222">
        <f ca="1"/>
        <v>0.7653188713754927</v>
      </c>
      <c r="T222">
        <f ca="1"/>
        <v>0</v>
      </c>
      <c r="U222">
        <f ca="1"/>
        <v>0</v>
      </c>
      <c r="V222">
        <f ca="1"/>
        <v>0.88673177904684475</v>
      </c>
      <c r="X222" s="2">
        <f t="shared" ca="1" si="22"/>
        <v>45598</v>
      </c>
      <c r="Y222">
        <f t="shared" ca="1" si="23"/>
        <v>0</v>
      </c>
      <c r="AA222" s="63">
        <f t="shared" ca="1" si="25"/>
        <v>48.622986516442154</v>
      </c>
      <c r="AB222" s="63">
        <f t="shared" ca="1" si="26"/>
        <v>48.622986516442154</v>
      </c>
      <c r="AC222" s="3">
        <f t="shared" ca="1" si="27"/>
        <v>0</v>
      </c>
    </row>
    <row r="223" spans="8:29">
      <c r="H223" t="b">
        <f t="shared" ca="1" si="24"/>
        <v>1</v>
      </c>
      <c r="I223" t="b">
        <f t="shared" ca="1" si="21"/>
        <v>1</v>
      </c>
      <c r="J223" s="2">
        <f ca="1"/>
        <v>45599</v>
      </c>
      <c r="K223">
        <f ca="1"/>
        <v>43.919643069210117</v>
      </c>
      <c r="L223">
        <f ca="1"/>
        <v>2.6183753675021535</v>
      </c>
      <c r="M223">
        <f ca="1"/>
        <v>6.1712183028959089E-3</v>
      </c>
      <c r="N223">
        <f ca="1"/>
        <v>0.47896293535912493</v>
      </c>
      <c r="O223">
        <f ca="1"/>
        <v>0</v>
      </c>
      <c r="P223">
        <f ca="1"/>
        <v>173.44412286814267</v>
      </c>
      <c r="Q223">
        <f ca="1"/>
        <v>147.32705417371196</v>
      </c>
      <c r="R223">
        <f ca="1"/>
        <v>0</v>
      </c>
      <c r="S223">
        <f ca="1"/>
        <v>0.76382794228814344</v>
      </c>
      <c r="T223">
        <f ca="1"/>
        <v>0</v>
      </c>
      <c r="U223">
        <f ca="1"/>
        <v>0</v>
      </c>
      <c r="V223">
        <f ca="1"/>
        <v>0.88751468904097652</v>
      </c>
      <c r="X223" s="2">
        <f t="shared" ca="1" si="22"/>
        <v>45599</v>
      </c>
      <c r="Y223">
        <f t="shared" ca="1" si="23"/>
        <v>0</v>
      </c>
      <c r="AA223" s="63">
        <f t="shared" ca="1" si="25"/>
        <v>46.538018436712271</v>
      </c>
      <c r="AB223" s="63">
        <f t="shared" ca="1" si="26"/>
        <v>46.538018436712271</v>
      </c>
      <c r="AC223" s="3">
        <f t="shared" ca="1" si="27"/>
        <v>0</v>
      </c>
    </row>
    <row r="224" spans="8:29">
      <c r="H224" t="b">
        <f t="shared" ca="1" si="24"/>
        <v>1</v>
      </c>
      <c r="I224" t="b">
        <f t="shared" ca="1" si="21"/>
        <v>1</v>
      </c>
      <c r="J224" s="2">
        <f ca="1"/>
        <v>45600</v>
      </c>
      <c r="K224">
        <f ca="1"/>
        <v>41.750265645843996</v>
      </c>
      <c r="L224">
        <f ca="1"/>
        <v>2.7037697317025788</v>
      </c>
      <c r="M224">
        <f ca="1"/>
        <v>6.1815881589666333E-3</v>
      </c>
      <c r="N224">
        <f ca="1"/>
        <v>0.52821072017748993</v>
      </c>
      <c r="O224">
        <f ca="1"/>
        <v>0</v>
      </c>
      <c r="P224">
        <f ca="1"/>
        <v>176.14789259984525</v>
      </c>
      <c r="Q224">
        <f ca="1"/>
        <v>149.62369255585313</v>
      </c>
      <c r="R224">
        <f ca="1"/>
        <v>0</v>
      </c>
      <c r="S224">
        <f ca="1"/>
        <v>0.8160887720311214</v>
      </c>
      <c r="T224">
        <f ca="1"/>
        <v>0</v>
      </c>
      <c r="U224">
        <f ca="1"/>
        <v>0</v>
      </c>
      <c r="V224">
        <f ca="1"/>
        <v>0.88827919982431314</v>
      </c>
      <c r="X224" s="2">
        <f t="shared" ca="1" si="22"/>
        <v>45600</v>
      </c>
      <c r="Y224">
        <f t="shared" ca="1" si="23"/>
        <v>0</v>
      </c>
      <c r="AA224" s="63">
        <f t="shared" ca="1" si="25"/>
        <v>44.454035377546575</v>
      </c>
      <c r="AB224" s="63">
        <f t="shared" ca="1" si="26"/>
        <v>44.454035377546575</v>
      </c>
      <c r="AC224" s="3">
        <f t="shared" ca="1" si="27"/>
        <v>0</v>
      </c>
    </row>
    <row r="225" spans="8:29">
      <c r="H225" t="b">
        <f t="shared" ca="1" si="24"/>
        <v>1</v>
      </c>
      <c r="I225" t="b">
        <f t="shared" ca="1" si="21"/>
        <v>1</v>
      </c>
      <c r="J225" s="2">
        <f ca="1"/>
        <v>45601</v>
      </c>
      <c r="K225">
        <f ca="1"/>
        <v>39.696963493031795</v>
      </c>
      <c r="L225">
        <f ca="1"/>
        <v>2.5782078637289771</v>
      </c>
      <c r="M225">
        <f ca="1"/>
        <v>5.8834083909786727E-3</v>
      </c>
      <c r="N225">
        <f ca="1"/>
        <v>0.51902230252579429</v>
      </c>
      <c r="O225">
        <f ca="1"/>
        <v>0</v>
      </c>
      <c r="P225">
        <f ca="1"/>
        <v>178.72610046357423</v>
      </c>
      <c r="Q225">
        <f ca="1"/>
        <v>151.81367606944534</v>
      </c>
      <c r="R225">
        <f ca="1"/>
        <v>0</v>
      </c>
      <c r="S225">
        <f ca="1"/>
        <v>0.82801699493045888</v>
      </c>
      <c r="T225">
        <f ca="1"/>
        <v>0</v>
      </c>
      <c r="U225">
        <f ca="1"/>
        <v>0</v>
      </c>
      <c r="V225">
        <f ca="1"/>
        <v>0.88896901505661141</v>
      </c>
      <c r="X225" s="2">
        <f t="shared" ca="1" si="22"/>
        <v>45601</v>
      </c>
      <c r="Y225">
        <f t="shared" ca="1" si="23"/>
        <v>0</v>
      </c>
      <c r="AA225" s="63">
        <f t="shared" ca="1" si="25"/>
        <v>42.275171356760765</v>
      </c>
      <c r="AB225" s="63">
        <f t="shared" ca="1" si="26"/>
        <v>42.275171356760772</v>
      </c>
      <c r="AC225" s="3">
        <f t="shared" ca="1" si="27"/>
        <v>0</v>
      </c>
    </row>
    <row r="226" spans="8:29">
      <c r="H226" t="b">
        <f t="shared" ca="1" si="24"/>
        <v>1</v>
      </c>
      <c r="I226" t="b">
        <f t="shared" ca="1" si="21"/>
        <v>1</v>
      </c>
      <c r="J226" s="2">
        <f ca="1"/>
        <v>45602</v>
      </c>
      <c r="K226">
        <f ca="1"/>
        <v>37.599270017530358</v>
      </c>
      <c r="L226">
        <f ca="1"/>
        <v>2.6483097441173697</v>
      </c>
      <c r="M226">
        <f ca="1"/>
        <v>5.8792406579897261E-3</v>
      </c>
      <c r="N226">
        <f ca="1"/>
        <v>0.54473702795794632</v>
      </c>
      <c r="O226">
        <f ca="1"/>
        <v>0</v>
      </c>
      <c r="P226">
        <f ca="1"/>
        <v>181.3744102076916</v>
      </c>
      <c r="Q226">
        <f ca="1"/>
        <v>154.06320558182298</v>
      </c>
      <c r="R226">
        <f ca="1"/>
        <v>0</v>
      </c>
      <c r="S226">
        <f ca="1"/>
        <v>0.84510984190350069</v>
      </c>
      <c r="T226">
        <f ca="1"/>
        <v>0</v>
      </c>
      <c r="U226">
        <f ca="1"/>
        <v>0</v>
      </c>
      <c r="V226">
        <f ca="1"/>
        <v>0.88964001925589442</v>
      </c>
      <c r="X226" s="2">
        <f t="shared" ca="1" si="22"/>
        <v>45602</v>
      </c>
      <c r="Y226">
        <f t="shared" ca="1" si="23"/>
        <v>0</v>
      </c>
      <c r="AA226" s="63">
        <f t="shared" ca="1" si="25"/>
        <v>40.247579761647728</v>
      </c>
      <c r="AB226" s="63">
        <f t="shared" ca="1" si="26"/>
        <v>40.247579761647728</v>
      </c>
      <c r="AC226" s="3">
        <f t="shared" ca="1" si="27"/>
        <v>0</v>
      </c>
    </row>
    <row r="227" spans="8:29">
      <c r="H227" t="b">
        <f t="shared" ca="1" si="24"/>
        <v>1</v>
      </c>
      <c r="I227" t="b">
        <f t="shared" ca="1" si="21"/>
        <v>1</v>
      </c>
      <c r="J227" s="2">
        <f ca="1"/>
        <v>45603</v>
      </c>
      <c r="K227">
        <f ca="1"/>
        <v>35.460253188637864</v>
      </c>
      <c r="L227">
        <f ca="1"/>
        <v>2.7012403525680213</v>
      </c>
      <c r="M227">
        <f ca="1"/>
        <v>5.853020055781144E-3</v>
      </c>
      <c r="N227">
        <f ca="1"/>
        <v>0.55637050361974638</v>
      </c>
      <c r="O227">
        <f ca="1"/>
        <v>0</v>
      </c>
      <c r="P227">
        <f ca="1"/>
        <v>184.07565056025962</v>
      </c>
      <c r="Q227">
        <f ca="1"/>
        <v>156.35769545659119</v>
      </c>
      <c r="R227">
        <f ca="1"/>
        <v>0</v>
      </c>
      <c r="S227">
        <f ca="1"/>
        <v>0.84456662770332669</v>
      </c>
      <c r="T227">
        <f ca="1"/>
        <v>0</v>
      </c>
      <c r="U227">
        <f ca="1"/>
        <v>0</v>
      </c>
      <c r="V227">
        <f ca="1"/>
        <v>0.89028742134639727</v>
      </c>
      <c r="X227" s="2">
        <f t="shared" ca="1" si="22"/>
        <v>45603</v>
      </c>
      <c r="Y227">
        <f t="shared" ca="1" si="23"/>
        <v>0</v>
      </c>
      <c r="AA227" s="63">
        <f t="shared" ca="1" si="25"/>
        <v>38.161493541205886</v>
      </c>
      <c r="AB227" s="63">
        <f t="shared" ca="1" si="26"/>
        <v>38.161493541205886</v>
      </c>
      <c r="AC227" s="3">
        <f t="shared" ca="1" si="27"/>
        <v>0</v>
      </c>
    </row>
    <row r="228" spans="8:29">
      <c r="H228" t="b">
        <f t="shared" ca="1" si="24"/>
        <v>1</v>
      </c>
      <c r="I228" t="b">
        <f t="shared" ca="1" si="21"/>
        <v>1</v>
      </c>
      <c r="J228" s="2">
        <f ca="1"/>
        <v>45604</v>
      </c>
      <c r="K228">
        <f ca="1"/>
        <v>33.424791375297097</v>
      </c>
      <c r="L228">
        <f ca="1"/>
        <v>2.5808356084839374</v>
      </c>
      <c r="M228">
        <f ca="1"/>
        <v>5.5830415453002047E-3</v>
      </c>
      <c r="N228">
        <f ca="1"/>
        <v>0.53979075359786788</v>
      </c>
      <c r="O228">
        <f ca="1"/>
        <v>0</v>
      </c>
      <c r="P228">
        <f ca="1"/>
        <v>186.65648616874356</v>
      </c>
      <c r="Q228">
        <f ca="1"/>
        <v>158.54991103136521</v>
      </c>
      <c r="R228">
        <f ca="1"/>
        <v>0</v>
      </c>
      <c r="S228">
        <f ca="1"/>
        <v>0.84458631516364513</v>
      </c>
      <c r="T228">
        <f ca="1"/>
        <v>0</v>
      </c>
      <c r="U228">
        <f ca="1"/>
        <v>0</v>
      </c>
      <c r="V228">
        <f ca="1"/>
        <v>0.89087299386987695</v>
      </c>
      <c r="X228" s="2">
        <f t="shared" ca="1" si="22"/>
        <v>45604</v>
      </c>
      <c r="Y228">
        <f t="shared" ca="1" si="23"/>
        <v>0</v>
      </c>
      <c r="AA228" s="63">
        <f t="shared" ca="1" si="25"/>
        <v>36.005626983781035</v>
      </c>
      <c r="AB228" s="63">
        <f t="shared" ca="1" si="26"/>
        <v>36.005626983781035</v>
      </c>
      <c r="AC228" s="3">
        <f t="shared" ca="1" si="27"/>
        <v>0</v>
      </c>
    </row>
    <row r="229" spans="8:29">
      <c r="H229" t="b">
        <f t="shared" ca="1" si="24"/>
        <v>1</v>
      </c>
      <c r="I229" t="b">
        <f t="shared" ca="1" si="21"/>
        <v>1</v>
      </c>
      <c r="J229" s="2">
        <f ca="1"/>
        <v>45605</v>
      </c>
      <c r="K229">
        <f ca="1"/>
        <v>31.319652844828362</v>
      </c>
      <c r="L229">
        <f ca="1"/>
        <v>2.6544936485221342</v>
      </c>
      <c r="M229">
        <f ca="1"/>
        <v>5.5950244862970067E-3</v>
      </c>
      <c r="N229">
        <f ca="1"/>
        <v>0.54376009356709853</v>
      </c>
      <c r="O229">
        <f ca="1"/>
        <v>0</v>
      </c>
      <c r="P229">
        <f ca="1"/>
        <v>189.31097981726569</v>
      </c>
      <c r="Q229">
        <f ca="1"/>
        <v>160.80469328107512</v>
      </c>
      <c r="R229">
        <f ca="1"/>
        <v>0</v>
      </c>
      <c r="S229">
        <f ca="1"/>
        <v>0.82746833040237955</v>
      </c>
      <c r="T229">
        <f ca="1"/>
        <v>0</v>
      </c>
      <c r="U229">
        <f ca="1"/>
        <v>0</v>
      </c>
      <c r="V229">
        <f ca="1"/>
        <v>0.89144351918011733</v>
      </c>
      <c r="X229" s="2">
        <f t="shared" ca="1" si="22"/>
        <v>45605</v>
      </c>
      <c r="Y229">
        <f t="shared" ca="1" si="23"/>
        <v>0</v>
      </c>
      <c r="AA229" s="63">
        <f t="shared" ca="1" si="25"/>
        <v>33.974146493350496</v>
      </c>
      <c r="AB229" s="63">
        <f t="shared" ca="1" si="26"/>
        <v>33.974146493350496</v>
      </c>
      <c r="AC229" s="3">
        <f t="shared" ca="1" si="27"/>
        <v>0</v>
      </c>
    </row>
    <row r="230" spans="8:29">
      <c r="H230" t="b">
        <f t="shared" ca="1" si="24"/>
        <v>1</v>
      </c>
      <c r="I230" t="b">
        <f t="shared" ca="1" si="21"/>
        <v>1</v>
      </c>
      <c r="J230" s="2">
        <f ca="1"/>
        <v>45606</v>
      </c>
      <c r="K230">
        <f ca="1"/>
        <v>29.192519877683861</v>
      </c>
      <c r="L230">
        <f ca="1"/>
        <v>2.6567552054241048</v>
      </c>
      <c r="M230">
        <f ca="1"/>
        <v>5.5095989099172016E-3</v>
      </c>
      <c r="N230">
        <f ca="1"/>
        <v>0.52411263936968566</v>
      </c>
      <c r="O230">
        <f ca="1"/>
        <v>0</v>
      </c>
      <c r="P230">
        <f ca="1"/>
        <v>191.96773502268979</v>
      </c>
      <c r="Q230">
        <f ca="1"/>
        <v>163.06139654436976</v>
      </c>
      <c r="R230">
        <f ca="1"/>
        <v>0</v>
      </c>
      <c r="S230">
        <f ca="1"/>
        <v>0.79274340243784147</v>
      </c>
      <c r="T230">
        <f ca="1"/>
        <v>0</v>
      </c>
      <c r="U230">
        <f ca="1"/>
        <v>0</v>
      </c>
      <c r="V230">
        <f ca="1"/>
        <v>0.89198403222795009</v>
      </c>
      <c r="X230" s="2">
        <f t="shared" ca="1" si="22"/>
        <v>45606</v>
      </c>
      <c r="Y230">
        <f t="shared" ca="1" si="23"/>
        <v>0</v>
      </c>
      <c r="AA230" s="63">
        <f t="shared" ca="1" si="25"/>
        <v>31.849275083107965</v>
      </c>
      <c r="AB230" s="63">
        <f t="shared" ca="1" si="26"/>
        <v>31.849275083107965</v>
      </c>
      <c r="AC230" s="3">
        <f t="shared" ca="1" si="27"/>
        <v>0</v>
      </c>
    </row>
    <row r="231" spans="8:29">
      <c r="H231" t="b">
        <f t="shared" ca="1" si="24"/>
        <v>1</v>
      </c>
      <c r="I231" t="b">
        <f t="shared" ca="1" si="21"/>
        <v>1</v>
      </c>
      <c r="J231" s="2">
        <f ca="1"/>
        <v>45607</v>
      </c>
      <c r="K231">
        <f ca="1"/>
        <v>27.100990557828869</v>
      </c>
      <c r="L231">
        <f ca="1"/>
        <v>2.6220901039561682</v>
      </c>
      <c r="M231">
        <f ca="1"/>
        <v>5.3772985439834997E-3</v>
      </c>
      <c r="N231">
        <f ca="1"/>
        <v>0.52518348555719208</v>
      </c>
      <c r="O231">
        <f ca="1"/>
        <v>0</v>
      </c>
      <c r="P231">
        <f ca="1"/>
        <v>194.58982512664596</v>
      </c>
      <c r="Q231">
        <f ca="1"/>
        <v>165.2886545477302</v>
      </c>
      <c r="R231">
        <f ca="1"/>
        <v>0</v>
      </c>
      <c r="S231">
        <f ca="1"/>
        <v>0.79622466421926452</v>
      </c>
      <c r="T231">
        <f ca="1"/>
        <v>0</v>
      </c>
      <c r="U231">
        <f ca="1"/>
        <v>0</v>
      </c>
      <c r="V231">
        <f ca="1"/>
        <v>0.89248919026094187</v>
      </c>
      <c r="X231" s="2">
        <f t="shared" ca="1" si="22"/>
        <v>45607</v>
      </c>
      <c r="Y231">
        <f t="shared" ca="1" si="23"/>
        <v>0</v>
      </c>
      <c r="AA231" s="63">
        <f t="shared" ca="1" si="25"/>
        <v>29.723080661785037</v>
      </c>
      <c r="AB231" s="63">
        <f t="shared" ca="1" si="26"/>
        <v>29.723080661785037</v>
      </c>
      <c r="AC231" s="3">
        <f t="shared" ca="1" si="27"/>
        <v>0</v>
      </c>
    </row>
    <row r="232" spans="8:29">
      <c r="H232" t="b">
        <f t="shared" ca="1" si="24"/>
        <v>1</v>
      </c>
      <c r="I232" t="b">
        <f t="shared" ca="1" si="21"/>
        <v>1</v>
      </c>
      <c r="J232" s="2">
        <f ca="1"/>
        <v>45608</v>
      </c>
      <c r="K232">
        <f ca="1"/>
        <v>25.079181810506011</v>
      </c>
      <c r="L232">
        <f ca="1"/>
        <v>2.5335447077821698</v>
      </c>
      <c r="M232">
        <f ca="1"/>
        <v>5.1776822520110954E-3</v>
      </c>
      <c r="N232">
        <f ca="1"/>
        <v>0.50655827820730226</v>
      </c>
      <c r="O232">
        <f ca="1"/>
        <v>0</v>
      </c>
      <c r="P232">
        <f ca="1"/>
        <v>197.12336983442813</v>
      </c>
      <c r="Q232">
        <f ca="1"/>
        <v>167.44070024546022</v>
      </c>
      <c r="R232">
        <f ca="1"/>
        <v>0</v>
      </c>
      <c r="S232">
        <f ca="1"/>
        <v>0.78333141941308115</v>
      </c>
      <c r="T232">
        <f ca="1"/>
        <v>0</v>
      </c>
      <c r="U232">
        <f ca="1"/>
        <v>0</v>
      </c>
      <c r="V232">
        <f ca="1"/>
        <v>0.8929519864145008</v>
      </c>
      <c r="X232" s="2">
        <f t="shared" ca="1" si="22"/>
        <v>45608</v>
      </c>
      <c r="Y232">
        <f t="shared" ca="1" si="23"/>
        <v>0</v>
      </c>
      <c r="AA232" s="63">
        <f t="shared" ca="1" si="25"/>
        <v>27.612726518288181</v>
      </c>
      <c r="AB232" s="63">
        <f t="shared" ca="1" si="26"/>
        <v>27.612726518288181</v>
      </c>
      <c r="AC232" s="3">
        <f t="shared" ca="1" si="27"/>
        <v>0</v>
      </c>
    </row>
    <row r="233" spans="8:29">
      <c r="H233" t="b">
        <f t="shared" ca="1" si="24"/>
        <v>1</v>
      </c>
      <c r="I233" t="b">
        <f t="shared" ca="1" si="21"/>
        <v>1</v>
      </c>
      <c r="J233" s="2">
        <f ca="1"/>
        <v>45609</v>
      </c>
      <c r="K233">
        <f ca="1"/>
        <v>23.089249748206971</v>
      </c>
      <c r="L233">
        <f ca="1"/>
        <v>2.4926208739955484</v>
      </c>
      <c r="M233">
        <f ca="1"/>
        <v>5.0498361236250844E-3</v>
      </c>
      <c r="N233">
        <f ca="1"/>
        <v>0.49763897557288211</v>
      </c>
      <c r="O233">
        <f ca="1"/>
        <v>0</v>
      </c>
      <c r="P233">
        <f ca="1"/>
        <v>199.61599070842368</v>
      </c>
      <c r="Q233">
        <f ca="1"/>
        <v>169.55798438553362</v>
      </c>
      <c r="R233">
        <f ca="1"/>
        <v>0</v>
      </c>
      <c r="S233">
        <f ca="1"/>
        <v>0.77297984707720158</v>
      </c>
      <c r="T233">
        <f ca="1"/>
        <v>0</v>
      </c>
      <c r="U233">
        <f ca="1"/>
        <v>0</v>
      </c>
      <c r="V233">
        <f ca="1"/>
        <v>0.89338427580268787</v>
      </c>
      <c r="X233" s="2">
        <f t="shared" ca="1" si="22"/>
        <v>45609</v>
      </c>
      <c r="Y233">
        <f t="shared" ca="1" si="23"/>
        <v>0</v>
      </c>
      <c r="AA233" s="63">
        <f t="shared" ca="1" si="25"/>
        <v>25.581870622202519</v>
      </c>
      <c r="AB233" s="63">
        <f t="shared" ca="1" si="26"/>
        <v>25.581870622202519</v>
      </c>
      <c r="AC233" s="3">
        <f t="shared" ca="1" si="27"/>
        <v>0</v>
      </c>
    </row>
    <row r="234" spans="8:29">
      <c r="H234" t="b">
        <f t="shared" ca="1" si="24"/>
        <v>1</v>
      </c>
      <c r="I234" t="b">
        <f t="shared" ca="1" si="21"/>
        <v>1</v>
      </c>
      <c r="J234" s="2">
        <f ca="1"/>
        <v>45610</v>
      </c>
      <c r="K234">
        <f ca="1"/>
        <v>21.032519045998637</v>
      </c>
      <c r="L234">
        <f ca="1"/>
        <v>2.5539555453349863</v>
      </c>
      <c r="M234">
        <f ca="1"/>
        <v>5.0631657213173753E-3</v>
      </c>
      <c r="N234">
        <f ca="1"/>
        <v>0.4921616774053344</v>
      </c>
      <c r="O234">
        <f ca="1"/>
        <v>0</v>
      </c>
      <c r="P234">
        <f ca="1"/>
        <v>202.16994625375867</v>
      </c>
      <c r="Q234">
        <f ca="1"/>
        <v>171.72736747423519</v>
      </c>
      <c r="R234">
        <f ca="1"/>
        <v>0</v>
      </c>
      <c r="S234">
        <f ca="1"/>
        <v>0.74227789101775343</v>
      </c>
      <c r="T234">
        <f ca="1"/>
        <v>0</v>
      </c>
      <c r="U234">
        <f ca="1"/>
        <v>0</v>
      </c>
      <c r="V234">
        <f ca="1"/>
        <v>0.89380469424447073</v>
      </c>
      <c r="X234" s="2">
        <f t="shared" ca="1" si="22"/>
        <v>45610</v>
      </c>
      <c r="Y234">
        <f t="shared" ca="1" si="23"/>
        <v>0</v>
      </c>
      <c r="AA234" s="63">
        <f t="shared" ca="1" si="25"/>
        <v>23.586474591333623</v>
      </c>
      <c r="AB234" s="63">
        <f t="shared" ca="1" si="26"/>
        <v>23.586474591333623</v>
      </c>
      <c r="AC234" s="3">
        <f t="shared" ca="1" si="27"/>
        <v>0</v>
      </c>
    </row>
    <row r="235" spans="8:29">
      <c r="H235" t="b">
        <f t="shared" ca="1" si="24"/>
        <v>1</v>
      </c>
      <c r="I235" t="b">
        <f t="shared" ca="1" si="21"/>
        <v>1</v>
      </c>
      <c r="J235" s="2">
        <f ca="1"/>
        <v>45611</v>
      </c>
      <c r="K235">
        <f ca="1"/>
        <v>18.947040532140292</v>
      </c>
      <c r="L235">
        <f ca="1"/>
        <v>2.6056116337092021</v>
      </c>
      <c r="M235">
        <f ca="1"/>
        <v>5.0675991579041124E-3</v>
      </c>
      <c r="N235">
        <f ca="1"/>
        <v>0.51506552069295242</v>
      </c>
      <c r="O235">
        <f ca="1"/>
        <v>0</v>
      </c>
      <c r="P235">
        <f ca="1"/>
        <v>204.77555788746787</v>
      </c>
      <c r="Q235">
        <f ca="1"/>
        <v>173.94062832140131</v>
      </c>
      <c r="R235">
        <f ca="1"/>
        <v>0</v>
      </c>
      <c r="S235">
        <f ca="1"/>
        <v>0.75606689787709469</v>
      </c>
      <c r="T235">
        <f ca="1"/>
        <v>0</v>
      </c>
      <c r="U235">
        <f ca="1"/>
        <v>0</v>
      </c>
      <c r="V235">
        <f ca="1"/>
        <v>0.89421131234063533</v>
      </c>
      <c r="X235" s="2">
        <f t="shared" ca="1" si="22"/>
        <v>45611</v>
      </c>
      <c r="Y235">
        <f t="shared" ca="1" si="23"/>
        <v>0</v>
      </c>
      <c r="AA235" s="63">
        <f t="shared" ca="1" si="25"/>
        <v>21.552652165849494</v>
      </c>
      <c r="AB235" s="63">
        <f t="shared" ca="1" si="26"/>
        <v>21.552652165849494</v>
      </c>
      <c r="AC235" s="3">
        <f t="shared" ca="1" si="27"/>
        <v>0</v>
      </c>
    </row>
    <row r="236" spans="8:29">
      <c r="H236" t="b">
        <f t="shared" ca="1" si="24"/>
        <v>1</v>
      </c>
      <c r="I236" t="b">
        <f t="shared" ca="1" si="21"/>
        <v>1</v>
      </c>
      <c r="J236" s="2">
        <f ca="1"/>
        <v>45612</v>
      </c>
      <c r="K236">
        <f ca="1"/>
        <v>16.957945667807984</v>
      </c>
      <c r="L236">
        <f ca="1"/>
        <v>2.4747839570004828</v>
      </c>
      <c r="M236">
        <f ca="1"/>
        <v>4.8293133207977235E-3</v>
      </c>
      <c r="N236">
        <f ca="1"/>
        <v>0.48085977934737828</v>
      </c>
      <c r="O236">
        <f ca="1"/>
        <v>0</v>
      </c>
      <c r="P236">
        <f ca="1"/>
        <v>207.25034184446835</v>
      </c>
      <c r="Q236">
        <f ca="1"/>
        <v>176.04276141228974</v>
      </c>
      <c r="R236">
        <f ca="1"/>
        <v>0</v>
      </c>
      <c r="S236">
        <f ca="1"/>
        <v>0.72783844400176345</v>
      </c>
      <c r="T236">
        <f ca="1"/>
        <v>0</v>
      </c>
      <c r="U236">
        <f ca="1"/>
        <v>0</v>
      </c>
      <c r="V236">
        <f ca="1"/>
        <v>0.89457768581431996</v>
      </c>
      <c r="X236" s="2">
        <f t="shared" ca="1" si="22"/>
        <v>45612</v>
      </c>
      <c r="Y236">
        <f t="shared" ca="1" si="23"/>
        <v>0</v>
      </c>
      <c r="AA236" s="63">
        <f t="shared" ca="1" si="25"/>
        <v>19.432729624808466</v>
      </c>
      <c r="AB236" s="63">
        <f t="shared" ca="1" si="26"/>
        <v>19.432729624808466</v>
      </c>
      <c r="AC236" s="3">
        <f t="shared" ca="1" si="27"/>
        <v>0</v>
      </c>
    </row>
    <row r="237" spans="8:29">
      <c r="H237" t="b">
        <f t="shared" ca="1" si="24"/>
        <v>1</v>
      </c>
      <c r="I237" t="b">
        <f t="shared" ca="1" si="21"/>
        <v>1</v>
      </c>
      <c r="J237" s="2">
        <f ca="1"/>
        <v>45613</v>
      </c>
      <c r="K237">
        <f ca="1"/>
        <v>15.062298325732304</v>
      </c>
      <c r="L237">
        <f ca="1"/>
        <v>2.3492595944405252</v>
      </c>
      <c r="M237">
        <f ca="1"/>
        <v>4.6086157196683075E-3</v>
      </c>
      <c r="N237">
        <f ca="1"/>
        <v>0.44900363664517584</v>
      </c>
      <c r="O237">
        <f ca="1"/>
        <v>0</v>
      </c>
      <c r="P237">
        <f ca="1"/>
        <v>209.59960143890888</v>
      </c>
      <c r="Q237">
        <f ca="1"/>
        <v>178.03827149250949</v>
      </c>
      <c r="R237">
        <f ca="1"/>
        <v>0</v>
      </c>
      <c r="S237">
        <f ca="1"/>
        <v>0.69952846820384151</v>
      </c>
      <c r="T237">
        <f ca="1"/>
        <v>0</v>
      </c>
      <c r="U237">
        <f ca="1"/>
        <v>0</v>
      </c>
      <c r="V237">
        <f ca="1"/>
        <v>0.89490845509500394</v>
      </c>
      <c r="X237" s="2">
        <f t="shared" ca="1" si="22"/>
        <v>45613</v>
      </c>
      <c r="Y237">
        <f t="shared" ca="1" si="23"/>
        <v>0</v>
      </c>
      <c r="AA237" s="63">
        <f t="shared" ca="1" si="25"/>
        <v>17.411557920172829</v>
      </c>
      <c r="AB237" s="63">
        <f t="shared" ca="1" si="26"/>
        <v>17.411557920172829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1</v>
      </c>
      <c r="J238" s="2">
        <f ca="1"/>
        <v>45614</v>
      </c>
      <c r="K238">
        <f ca="1"/>
        <v>13.182322969874184</v>
      </c>
      <c r="L238">
        <f ca="1"/>
        <v>2.309489470182001</v>
      </c>
      <c r="M238">
        <f ca="1"/>
        <v>4.5047755002016743E-3</v>
      </c>
      <c r="N238">
        <f ca="1"/>
        <v>0.4250093388236787</v>
      </c>
      <c r="O238">
        <f ca="1"/>
        <v>0</v>
      </c>
      <c r="P238">
        <f ca="1"/>
        <v>211.90909090909088</v>
      </c>
      <c r="Q238">
        <f ca="1"/>
        <v>180</v>
      </c>
      <c r="R238">
        <f ca="1"/>
        <v>0</v>
      </c>
      <c r="S238">
        <f ca="1"/>
        <v>0.66014147262903033</v>
      </c>
      <c r="T238">
        <f ca="1"/>
        <v>0</v>
      </c>
      <c r="U238">
        <f ca="1"/>
        <v>0</v>
      </c>
      <c r="V238">
        <f ca="1"/>
        <v>0.89521819789393153</v>
      </c>
      <c r="X238" s="2">
        <f t="shared" ca="1" si="22"/>
        <v>45614</v>
      </c>
      <c r="Y238">
        <f t="shared" ca="1" si="23"/>
        <v>0</v>
      </c>
      <c r="AA238" s="63">
        <f t="shared" ca="1" si="25"/>
        <v>15.491812440056185</v>
      </c>
      <c r="AB238" s="63">
        <f t="shared" ca="1" si="26"/>
        <v>15.491812440056185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45615</v>
      </c>
      <c r="K239">
        <f ca="1"/>
        <v>12.832866081482575</v>
      </c>
      <c r="L239">
        <f ca="1"/>
        <v>0</v>
      </c>
      <c r="M239">
        <f ca="1"/>
        <v>-0.78903759022072251</v>
      </c>
      <c r="N239">
        <f ca="1"/>
        <v>0.43958070182911374</v>
      </c>
      <c r="O239">
        <f ca="1"/>
        <v>0</v>
      </c>
      <c r="P239">
        <f ca="1"/>
        <v>0</v>
      </c>
      <c r="Q239">
        <f ca="1"/>
        <v>0</v>
      </c>
      <c r="R239">
        <f ca="1"/>
        <v>0</v>
      </c>
      <c r="S239">
        <f ca="1"/>
        <v>0.65899088120152749</v>
      </c>
      <c r="T239">
        <f ca="1"/>
        <v>0</v>
      </c>
      <c r="U239">
        <f ca="1"/>
        <v>0</v>
      </c>
      <c r="V239">
        <f ca="1"/>
        <v>0</v>
      </c>
      <c r="X239" s="2">
        <f t="shared" ca="1" si="22"/>
        <v>45615</v>
      </c>
      <c r="Y239">
        <f t="shared" ca="1" si="23"/>
        <v>0</v>
      </c>
      <c r="AA239" s="63">
        <f t="shared" ca="1" si="25"/>
        <v>12.832866081482575</v>
      </c>
      <c r="AB239" s="63">
        <f t="shared" ca="1" si="26"/>
        <v>12.832866081482575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45616</v>
      </c>
      <c r="K240">
        <f ca="1"/>
        <v>12.531584064602043</v>
      </c>
      <c r="L240">
        <f ca="1"/>
        <v>0</v>
      </c>
      <c r="M240">
        <f ca="1"/>
        <v>-0.74892488685564729</v>
      </c>
      <c r="N240">
        <f ca="1"/>
        <v>0.44764286997511654</v>
      </c>
      <c r="O240">
        <f ca="1"/>
        <v>0</v>
      </c>
      <c r="P240">
        <f ca="1"/>
        <v>0</v>
      </c>
      <c r="Q240">
        <f ca="1"/>
        <v>0</v>
      </c>
      <c r="R240">
        <f ca="1"/>
        <v>0</v>
      </c>
      <c r="S240">
        <f ca="1"/>
        <v>0.6682609251225381</v>
      </c>
      <c r="T240">
        <f ca="1"/>
        <v>0</v>
      </c>
      <c r="U240">
        <f ca="1"/>
        <v>0</v>
      </c>
      <c r="V240">
        <f ca="1"/>
        <v>0</v>
      </c>
      <c r="X240" s="2">
        <f t="shared" ca="1" si="22"/>
        <v>45616</v>
      </c>
      <c r="Y240">
        <f t="shared" ca="1" si="23"/>
        <v>0</v>
      </c>
      <c r="AA240" s="63">
        <f t="shared" ca="1" si="25"/>
        <v>12.531584064602043</v>
      </c>
      <c r="AB240" s="63">
        <f t="shared" ca="1" si="26"/>
        <v>12.531584064602043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45617</v>
      </c>
      <c r="K241">
        <f ca="1"/>
        <v>12.28855882816905</v>
      </c>
      <c r="L241">
        <f ca="1"/>
        <v>0</v>
      </c>
      <c r="M241">
        <f ca="1"/>
        <v>-0.71793186884691806</v>
      </c>
      <c r="N241">
        <f ca="1"/>
        <v>0.47490663241392461</v>
      </c>
      <c r="O241">
        <f ca="1"/>
        <v>0</v>
      </c>
      <c r="P241">
        <f ca="1"/>
        <v>0</v>
      </c>
      <c r="Q241">
        <f ca="1"/>
        <v>0</v>
      </c>
      <c r="R241">
        <f ca="1"/>
        <v>0</v>
      </c>
      <c r="S241">
        <f ca="1"/>
        <v>0.69839860247525321</v>
      </c>
      <c r="T241">
        <f ca="1"/>
        <v>0</v>
      </c>
      <c r="U241">
        <f ca="1"/>
        <v>0</v>
      </c>
      <c r="V241">
        <f ca="1"/>
        <v>0</v>
      </c>
      <c r="X241" s="2">
        <f t="shared" ca="1" si="22"/>
        <v>45617</v>
      </c>
      <c r="Y241">
        <f t="shared" ca="1" si="23"/>
        <v>0</v>
      </c>
      <c r="AA241" s="63">
        <f t="shared" ca="1" si="25"/>
        <v>12.28855882816905</v>
      </c>
      <c r="AB241" s="63">
        <f t="shared" ca="1" si="26"/>
        <v>12.28855882816905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45618</v>
      </c>
      <c r="K242">
        <f ca="1"/>
        <v>12.088830126363538</v>
      </c>
      <c r="L242">
        <f ca="1"/>
        <v>0</v>
      </c>
      <c r="M242">
        <f ca="1"/>
        <v>-0.68714133637809027</v>
      </c>
      <c r="N242">
        <f ca="1"/>
        <v>0.48741263457257911</v>
      </c>
      <c r="O242">
        <f ca="1"/>
        <v>0</v>
      </c>
      <c r="P242">
        <f ca="1"/>
        <v>0</v>
      </c>
      <c r="Q242">
        <f ca="1"/>
        <v>0</v>
      </c>
      <c r="R242">
        <f ca="1"/>
        <v>0</v>
      </c>
      <c r="S242">
        <f ca="1"/>
        <v>0.70373766740576249</v>
      </c>
      <c r="T242">
        <f ca="1"/>
        <v>0</v>
      </c>
      <c r="U242">
        <f ca="1"/>
        <v>0</v>
      </c>
      <c r="V242">
        <f ca="1"/>
        <v>0</v>
      </c>
      <c r="X242" s="2">
        <f t="shared" ca="1" si="22"/>
        <v>45618</v>
      </c>
      <c r="Y242">
        <f t="shared" ca="1" si="23"/>
        <v>0</v>
      </c>
      <c r="AA242" s="63">
        <f t="shared" ca="1" si="25"/>
        <v>12.088830126363538</v>
      </c>
      <c r="AB242" s="63">
        <f t="shared" ca="1" si="26"/>
        <v>12.088830126363538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45619</v>
      </c>
      <c r="K243">
        <f ca="1"/>
        <v>11.928252746750934</v>
      </c>
      <c r="L243">
        <f ca="1"/>
        <v>0</v>
      </c>
      <c r="M243">
        <f ca="1"/>
        <v>-0.64002904677778361</v>
      </c>
      <c r="N243">
        <f ca="1"/>
        <v>0.47945166716517917</v>
      </c>
      <c r="O243">
        <f ca="1"/>
        <v>0</v>
      </c>
      <c r="P243">
        <f ca="1"/>
        <v>0</v>
      </c>
      <c r="Q243">
        <f ca="1"/>
        <v>0</v>
      </c>
      <c r="R243">
        <f ca="1"/>
        <v>0</v>
      </c>
      <c r="S243">
        <f ca="1"/>
        <v>0.70060773679888078</v>
      </c>
      <c r="T243">
        <f ca="1"/>
        <v>0</v>
      </c>
      <c r="U243">
        <f ca="1"/>
        <v>0</v>
      </c>
      <c r="V243">
        <f ca="1"/>
        <v>0</v>
      </c>
      <c r="X243" s="2">
        <f t="shared" ca="1" si="22"/>
        <v>45619</v>
      </c>
      <c r="Y243">
        <f t="shared" ca="1" si="23"/>
        <v>0</v>
      </c>
      <c r="AA243" s="63">
        <f t="shared" ca="1" si="25"/>
        <v>11.928252746750934</v>
      </c>
      <c r="AB243" s="63">
        <f t="shared" ca="1" si="26"/>
        <v>11.928252746750934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45620</v>
      </c>
      <c r="K244">
        <f ca="1"/>
        <v>11.803824129736338</v>
      </c>
      <c r="L244">
        <f ca="1"/>
        <v>0</v>
      </c>
      <c r="M244">
        <f ca="1"/>
        <v>-0.62773798828986571</v>
      </c>
      <c r="N244">
        <f ca="1"/>
        <v>0.50330937127526942</v>
      </c>
      <c r="O244">
        <f ca="1"/>
        <v>0</v>
      </c>
      <c r="P244">
        <f ca="1"/>
        <v>0</v>
      </c>
      <c r="Q244">
        <f ca="1"/>
        <v>0</v>
      </c>
      <c r="R244">
        <f ca="1"/>
        <v>0</v>
      </c>
      <c r="S244">
        <f ca="1"/>
        <v>0.69913555534992888</v>
      </c>
      <c r="T244">
        <f ca="1"/>
        <v>0</v>
      </c>
      <c r="U244">
        <f ca="1"/>
        <v>0</v>
      </c>
      <c r="V244">
        <f ca="1"/>
        <v>0</v>
      </c>
      <c r="X244" s="2">
        <f t="shared" ca="1" si="22"/>
        <v>45620</v>
      </c>
      <c r="Y244">
        <f t="shared" ca="1" si="23"/>
        <v>0</v>
      </c>
      <c r="AA244" s="63">
        <f t="shared" ca="1" si="25"/>
        <v>11.803824129736338</v>
      </c>
      <c r="AB244" s="63">
        <f t="shared" ca="1" si="26"/>
        <v>11.803824129736338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45621</v>
      </c>
      <c r="K245">
        <f ca="1"/>
        <v>11.711495705496722</v>
      </c>
      <c r="L245">
        <f ca="1"/>
        <v>0</v>
      </c>
      <c r="M245">
        <f ca="1"/>
        <v>-0.59048202727612775</v>
      </c>
      <c r="N245">
        <f ca="1"/>
        <v>0.49815360303651163</v>
      </c>
      <c r="O245">
        <f ca="1"/>
        <v>0</v>
      </c>
      <c r="P245">
        <f ca="1"/>
        <v>0</v>
      </c>
      <c r="Q245">
        <f ca="1"/>
        <v>0</v>
      </c>
      <c r="R245">
        <f ca="1"/>
        <v>0</v>
      </c>
      <c r="S245">
        <f ca="1"/>
        <v>0.6883490170938602</v>
      </c>
      <c r="T245">
        <f ca="1"/>
        <v>0</v>
      </c>
      <c r="U245">
        <f ca="1"/>
        <v>0</v>
      </c>
      <c r="V245">
        <f ca="1"/>
        <v>0</v>
      </c>
      <c r="X245" s="2">
        <f t="shared" ca="1" si="22"/>
        <v>45621</v>
      </c>
      <c r="Y245">
        <f t="shared" ca="1" si="23"/>
        <v>0</v>
      </c>
      <c r="AA245" s="63">
        <f t="shared" ca="1" si="25"/>
        <v>11.711495705496722</v>
      </c>
      <c r="AB245" s="63">
        <f t="shared" ca="1" si="26"/>
        <v>11.711495705496722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45622</v>
      </c>
      <c r="K246">
        <f ca="1"/>
        <v>11.66432878967556</v>
      </c>
      <c r="L246">
        <f ca="1"/>
        <v>0</v>
      </c>
      <c r="M246">
        <f ca="1"/>
        <v>-0.53976932734286009</v>
      </c>
      <c r="N246">
        <f ca="1"/>
        <v>0.49260241152169898</v>
      </c>
      <c r="O246">
        <f ca="1"/>
        <v>0</v>
      </c>
      <c r="P246">
        <f ca="1"/>
        <v>0</v>
      </c>
      <c r="Q246">
        <f ca="1"/>
        <v>0</v>
      </c>
      <c r="R246">
        <f ca="1"/>
        <v>0</v>
      </c>
      <c r="S246">
        <f ca="1"/>
        <v>0.7018693731400899</v>
      </c>
      <c r="T246">
        <f ca="1"/>
        <v>0</v>
      </c>
      <c r="U246">
        <f ca="1"/>
        <v>0</v>
      </c>
      <c r="V246">
        <f ca="1"/>
        <v>0</v>
      </c>
      <c r="X246" s="2">
        <f t="shared" ca="1" si="22"/>
        <v>45622</v>
      </c>
      <c r="Y246">
        <f t="shared" ca="1" si="23"/>
        <v>0</v>
      </c>
      <c r="AA246" s="63">
        <f t="shared" ca="1" si="25"/>
        <v>11.66432878967556</v>
      </c>
      <c r="AB246" s="63">
        <f t="shared" ca="1" si="26"/>
        <v>11.66432878967556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45623</v>
      </c>
      <c r="K247">
        <f ca="1"/>
        <v>11.674307125330346</v>
      </c>
      <c r="L247">
        <f ca="1"/>
        <v>0</v>
      </c>
      <c r="M247">
        <f ca="1"/>
        <v>-0.50312486494274822</v>
      </c>
      <c r="N247">
        <f ca="1"/>
        <v>0.51310320059753478</v>
      </c>
      <c r="O247">
        <f ca="1"/>
        <v>0</v>
      </c>
      <c r="P247">
        <f ca="1"/>
        <v>0</v>
      </c>
      <c r="Q247">
        <f ca="1"/>
        <v>0</v>
      </c>
      <c r="R247">
        <f ca="1"/>
        <v>0</v>
      </c>
      <c r="S247">
        <f ca="1"/>
        <v>0.73760854121044284</v>
      </c>
      <c r="T247">
        <f ca="1"/>
        <v>0</v>
      </c>
      <c r="U247">
        <f ca="1"/>
        <v>0</v>
      </c>
      <c r="V247">
        <f ca="1"/>
        <v>0</v>
      </c>
      <c r="X247" s="2">
        <f t="shared" ca="1" si="22"/>
        <v>45623</v>
      </c>
      <c r="Y247">
        <f t="shared" ca="1" si="23"/>
        <v>0</v>
      </c>
      <c r="AA247" s="63">
        <f t="shared" ca="1" si="25"/>
        <v>11.674307125330346</v>
      </c>
      <c r="AB247" s="63">
        <f t="shared" ca="1" si="26"/>
        <v>11.674307125330346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45624</v>
      </c>
      <c r="K248">
        <f ca="1"/>
        <v>11.714129301919613</v>
      </c>
      <c r="L248">
        <f ca="1"/>
        <v>0</v>
      </c>
      <c r="M248">
        <f ca="1"/>
        <v>-0.47469801704315628</v>
      </c>
      <c r="N248">
        <f ca="1"/>
        <v>0.51452019363242274</v>
      </c>
      <c r="O248">
        <f ca="1"/>
        <v>0</v>
      </c>
      <c r="P248">
        <f ca="1"/>
        <v>0</v>
      </c>
      <c r="Q248">
        <f ca="1"/>
        <v>0</v>
      </c>
      <c r="R248">
        <f ca="1"/>
        <v>0</v>
      </c>
      <c r="S248">
        <f ca="1"/>
        <v>0.73290392276353855</v>
      </c>
      <c r="T248">
        <f ca="1"/>
        <v>0</v>
      </c>
      <c r="U248">
        <f ca="1"/>
        <v>0</v>
      </c>
      <c r="V248">
        <f ca="1"/>
        <v>0</v>
      </c>
      <c r="X248" s="2">
        <f t="shared" ca="1" si="22"/>
        <v>45624</v>
      </c>
      <c r="Y248">
        <f t="shared" ca="1" si="23"/>
        <v>0</v>
      </c>
      <c r="AA248" s="63">
        <f t="shared" ca="1" si="25"/>
        <v>11.714129301919613</v>
      </c>
      <c r="AB248" s="63">
        <f t="shared" ca="1" si="26"/>
        <v>11.714129301919613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45625</v>
      </c>
      <c r="K249">
        <f ca="1"/>
        <v>11.786995849381036</v>
      </c>
      <c r="L249">
        <f ca="1"/>
        <v>0</v>
      </c>
      <c r="M249">
        <f ca="1"/>
        <v>-0.45230503600587113</v>
      </c>
      <c r="N249">
        <f ca="1"/>
        <v>0.52517158346729431</v>
      </c>
      <c r="O249">
        <f ca="1"/>
        <v>0</v>
      </c>
      <c r="P249">
        <f ca="1"/>
        <v>0</v>
      </c>
      <c r="Q249">
        <f ca="1"/>
        <v>0</v>
      </c>
      <c r="R249">
        <f ca="1"/>
        <v>0</v>
      </c>
      <c r="S249">
        <f ca="1"/>
        <v>0.73124055594635984</v>
      </c>
      <c r="T249">
        <f ca="1"/>
        <v>0</v>
      </c>
      <c r="U249">
        <f ca="1"/>
        <v>0</v>
      </c>
      <c r="V249">
        <f ca="1"/>
        <v>0</v>
      </c>
      <c r="X249" s="2">
        <f t="shared" ca="1" si="22"/>
        <v>45625</v>
      </c>
      <c r="Y249">
        <f t="shared" ca="1" si="23"/>
        <v>0</v>
      </c>
      <c r="AA249" s="63">
        <f t="shared" ca="1" si="25"/>
        <v>11.786995849381036</v>
      </c>
      <c r="AB249" s="63">
        <f t="shared" ca="1" si="26"/>
        <v>11.786995849381036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45626</v>
      </c>
      <c r="K250">
        <f ca="1"/>
        <v>11.878368444040495</v>
      </c>
      <c r="L250">
        <f ca="1"/>
        <v>0</v>
      </c>
      <c r="M250">
        <f ca="1"/>
        <v>-0.42903185800603794</v>
      </c>
      <c r="N250">
        <f ca="1"/>
        <v>0.52040445266549717</v>
      </c>
      <c r="O250">
        <f ca="1"/>
        <v>0</v>
      </c>
      <c r="P250">
        <f ca="1"/>
        <v>0</v>
      </c>
      <c r="Q250">
        <f ca="1"/>
        <v>0</v>
      </c>
      <c r="R250">
        <f ca="1"/>
        <v>0</v>
      </c>
      <c r="S250">
        <f ca="1"/>
        <v>0.70917529202816065</v>
      </c>
      <c r="T250">
        <f ca="1"/>
        <v>0</v>
      </c>
      <c r="U250">
        <f ca="1"/>
        <v>0</v>
      </c>
      <c r="V250">
        <f ca="1"/>
        <v>0</v>
      </c>
      <c r="X250" s="2">
        <f t="shared" ca="1" si="22"/>
        <v>45626</v>
      </c>
      <c r="Y250">
        <f t="shared" ca="1" si="23"/>
        <v>0</v>
      </c>
      <c r="AA250" s="63">
        <f t="shared" ca="1" si="25"/>
        <v>11.878368444040495</v>
      </c>
      <c r="AB250" s="63">
        <f t="shared" ca="1" si="26"/>
        <v>11.878368444040495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45627</v>
      </c>
      <c r="K251">
        <f ca="1"/>
        <v>12.041412166981823</v>
      </c>
      <c r="L251">
        <f ca="1"/>
        <v>0</v>
      </c>
      <c r="M251">
        <f ca="1"/>
        <v>-0.41028667299961086</v>
      </c>
      <c r="N251">
        <f ca="1"/>
        <v>0.5733303959409386</v>
      </c>
      <c r="O251">
        <f ca="1"/>
        <v>0</v>
      </c>
      <c r="P251">
        <f ca="1"/>
        <v>0</v>
      </c>
      <c r="Q251">
        <f ca="1"/>
        <v>0</v>
      </c>
      <c r="R251">
        <f ca="1"/>
        <v>0</v>
      </c>
      <c r="S251">
        <f ca="1"/>
        <v>0.75783985643374274</v>
      </c>
      <c r="T251">
        <f ca="1"/>
        <v>0</v>
      </c>
      <c r="U251">
        <f ca="1"/>
        <v>0</v>
      </c>
      <c r="V251">
        <f ca="1"/>
        <v>0</v>
      </c>
      <c r="X251" s="2">
        <f t="shared" ca="1" si="22"/>
        <v>45627</v>
      </c>
      <c r="Y251">
        <f t="shared" ca="1" si="23"/>
        <v>0</v>
      </c>
      <c r="AA251" s="63">
        <f t="shared" ca="1" si="25"/>
        <v>12.041412166981823</v>
      </c>
      <c r="AB251" s="63">
        <f t="shared" ca="1" si="26"/>
        <v>12.041412166981823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45628</v>
      </c>
      <c r="K252">
        <f ca="1"/>
        <v>12.222778176231419</v>
      </c>
      <c r="L252">
        <f ca="1"/>
        <v>0</v>
      </c>
      <c r="M252">
        <f ca="1"/>
        <v>-0.38783320500201768</v>
      </c>
      <c r="N252">
        <f ca="1"/>
        <v>0.56919921425161246</v>
      </c>
      <c r="O252">
        <f ca="1"/>
        <v>0</v>
      </c>
      <c r="P252">
        <f ca="1"/>
        <v>0</v>
      </c>
      <c r="Q252">
        <f ca="1"/>
        <v>0</v>
      </c>
      <c r="R252">
        <f ca="1"/>
        <v>0</v>
      </c>
      <c r="S252">
        <f ca="1"/>
        <v>0.7350543260085034</v>
      </c>
      <c r="T252">
        <f ca="1"/>
        <v>0</v>
      </c>
      <c r="U252">
        <f ca="1"/>
        <v>0</v>
      </c>
      <c r="V252">
        <f ca="1"/>
        <v>0</v>
      </c>
      <c r="X252" s="2">
        <f t="shared" ca="1" si="22"/>
        <v>45628</v>
      </c>
      <c r="Y252">
        <f t="shared" ca="1" si="23"/>
        <v>0</v>
      </c>
      <c r="AA252" s="63">
        <f t="shared" ca="1" si="25"/>
        <v>12.222778176231419</v>
      </c>
      <c r="AB252" s="63">
        <f t="shared" ca="1" si="26"/>
        <v>12.222778176231419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45629</v>
      </c>
      <c r="K253">
        <f ca="1"/>
        <v>12.483276968364258</v>
      </c>
      <c r="L253">
        <f ca="1"/>
        <v>0</v>
      </c>
      <c r="M253">
        <f ca="1"/>
        <v>-0.35963066861217285</v>
      </c>
      <c r="N253">
        <f ca="1"/>
        <v>0.62012946074501174</v>
      </c>
      <c r="O253">
        <f ca="1"/>
        <v>0</v>
      </c>
      <c r="P253">
        <f ca="1"/>
        <v>1.539611058845207</v>
      </c>
      <c r="Q253">
        <f ca="1"/>
        <v>1.4246401031522209</v>
      </c>
      <c r="R253">
        <f ca="1"/>
        <v>0</v>
      </c>
      <c r="S253">
        <f ca="1"/>
        <v>0.79736095853044464</v>
      </c>
      <c r="T253">
        <f ca="1"/>
        <v>0</v>
      </c>
      <c r="U253">
        <f ca="1"/>
        <v>0</v>
      </c>
      <c r="V253">
        <f ca="1"/>
        <v>7.480758496174974E-3</v>
      </c>
      <c r="X253" s="2">
        <f t="shared" ca="1" si="22"/>
        <v>45629</v>
      </c>
      <c r="Y253">
        <f t="shared" ca="1" si="23"/>
        <v>0</v>
      </c>
      <c r="AA253" s="63">
        <f t="shared" ca="1" si="25"/>
        <v>12.483276968364258</v>
      </c>
      <c r="AB253" s="63">
        <f t="shared" ca="1" si="26"/>
        <v>12.483276968364258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45630</v>
      </c>
      <c r="K254">
        <f ca="1"/>
        <v>12.725473632291617</v>
      </c>
      <c r="L254">
        <f ca="1"/>
        <v>6.9316915062593409E-2</v>
      </c>
      <c r="M254">
        <f ca="1"/>
        <v>-0.32771959899735137</v>
      </c>
      <c r="N254">
        <f ca="1"/>
        <v>0.63923317798730472</v>
      </c>
      <c r="O254">
        <f ca="1"/>
        <v>0</v>
      </c>
      <c r="P254">
        <f ca="1"/>
        <v>1.6089279739078004</v>
      </c>
      <c r="Q254">
        <f ca="1"/>
        <v>1.4887807550770233</v>
      </c>
      <c r="R254">
        <f ca="1"/>
        <v>0</v>
      </c>
      <c r="S254">
        <f ca="1"/>
        <v>0.83157608840240949</v>
      </c>
      <c r="T254">
        <f ca="1"/>
        <v>0</v>
      </c>
      <c r="U254">
        <f ca="1"/>
        <v>0</v>
      </c>
      <c r="V254">
        <f ca="1"/>
        <v>8.3507077059718146E-3</v>
      </c>
      <c r="X254" s="2">
        <f t="shared" ca="1" si="22"/>
        <v>45630</v>
      </c>
      <c r="Y254">
        <f t="shared" ca="1" si="23"/>
        <v>0</v>
      </c>
      <c r="AA254" s="63">
        <f t="shared" ca="1" si="25"/>
        <v>12.794790547354211</v>
      </c>
      <c r="AB254" s="63">
        <f t="shared" ca="1" si="26"/>
        <v>12.794790547354211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45631</v>
      </c>
      <c r="K255">
        <f ca="1"/>
        <v>12.997500466895152</v>
      </c>
      <c r="L255">
        <f ca="1"/>
        <v>7.2547060404126951E-2</v>
      </c>
      <c r="M255">
        <f ca="1"/>
        <v>-0.30254722362927211</v>
      </c>
      <c r="N255">
        <f ca="1"/>
        <v>0.64712111863693267</v>
      </c>
      <c r="O255">
        <f ca="1"/>
        <v>0</v>
      </c>
      <c r="P255">
        <f ca="1"/>
        <v>1.6814750343119274</v>
      </c>
      <c r="Q255">
        <f ca="1"/>
        <v>1.5559103401912313</v>
      </c>
      <c r="R255">
        <f ca="1"/>
        <v>0</v>
      </c>
      <c r="S255">
        <f ca="1"/>
        <v>0.839244197584601</v>
      </c>
      <c r="T255">
        <f ca="1"/>
        <v>0</v>
      </c>
      <c r="U255">
        <f ca="1"/>
        <v>0</v>
      </c>
      <c r="V255">
        <f ca="1"/>
        <v>9.3227197358512273E-3</v>
      </c>
      <c r="X255" s="2">
        <f t="shared" ca="1" si="22"/>
        <v>45631</v>
      </c>
      <c r="Y255">
        <f t="shared" ca="1" si="23"/>
        <v>0</v>
      </c>
      <c r="AA255" s="63">
        <f t="shared" ca="1" si="25"/>
        <v>13.070047527299279</v>
      </c>
      <c r="AB255" s="63">
        <f t="shared" ca="1" si="26"/>
        <v>13.070047527299279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45632</v>
      </c>
      <c r="K256">
        <f ca="1"/>
        <v>13.285550293942228</v>
      </c>
      <c r="L256">
        <f ca="1"/>
        <v>7.3378692069285822E-2</v>
      </c>
      <c r="M256">
        <f ca="1"/>
        <v>-0.26865464197258859</v>
      </c>
      <c r="N256">
        <f ca="1"/>
        <v>0.63008316108894835</v>
      </c>
      <c r="O256">
        <f ca="1"/>
        <v>0</v>
      </c>
      <c r="P256">
        <f ca="1"/>
        <v>1.7548537263812132</v>
      </c>
      <c r="Q256">
        <f ca="1"/>
        <v>1.6238094546059927</v>
      </c>
      <c r="R256">
        <f ca="1"/>
        <v>0</v>
      </c>
      <c r="S256">
        <f ca="1"/>
        <v>0.85047298210711664</v>
      </c>
      <c r="T256">
        <f ca="1"/>
        <v>0</v>
      </c>
      <c r="U256">
        <f ca="1"/>
        <v>0</v>
      </c>
      <c r="V256">
        <f ca="1"/>
        <v>1.0371080461088526E-2</v>
      </c>
      <c r="X256" s="2">
        <f t="shared" ca="1" si="22"/>
        <v>45632</v>
      </c>
      <c r="Y256">
        <f t="shared" ca="1" si="23"/>
        <v>0</v>
      </c>
      <c r="AA256" s="63">
        <f t="shared" ca="1" si="25"/>
        <v>13.358928986011513</v>
      </c>
      <c r="AB256" s="63">
        <f t="shared" ca="1" si="26"/>
        <v>13.358928986011513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45633</v>
      </c>
      <c r="K257">
        <f ca="1"/>
        <v>13.575120043380965</v>
      </c>
      <c r="L257">
        <f ca="1"/>
        <v>7.6312142821862494E-2</v>
      </c>
      <c r="M257">
        <f ca="1"/>
        <v>-0.24630946743975457</v>
      </c>
      <c r="N257">
        <f ca="1"/>
        <v>0.61219135970035343</v>
      </c>
      <c r="O257">
        <f ca="1"/>
        <v>0</v>
      </c>
      <c r="P257">
        <f ca="1"/>
        <v>1.8311658692030757</v>
      </c>
      <c r="Q257">
        <f ca="1"/>
        <v>1.6944229633859629</v>
      </c>
      <c r="R257">
        <f ca="1"/>
        <v>0</v>
      </c>
      <c r="S257">
        <f ca="1"/>
        <v>0.8312425520614235</v>
      </c>
      <c r="T257">
        <f ca="1"/>
        <v>0</v>
      </c>
      <c r="U257">
        <f ca="1"/>
        <v>0</v>
      </c>
      <c r="V257">
        <f ca="1"/>
        <v>1.1532162379629205E-2</v>
      </c>
      <c r="X257" s="2">
        <f t="shared" ca="1" si="22"/>
        <v>45633</v>
      </c>
      <c r="Y257">
        <f t="shared" ca="1" si="23"/>
        <v>0</v>
      </c>
      <c r="AA257" s="63">
        <f t="shared" ca="1" si="25"/>
        <v>13.651432186202827</v>
      </c>
      <c r="AB257" s="63">
        <f t="shared" ca="1" si="26"/>
        <v>13.651432186202827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45634</v>
      </c>
      <c r="K258">
        <f ca="1"/>
        <v>13.864808241398443</v>
      </c>
      <c r="L258">
        <f ca="1"/>
        <v>8.1924219704523571E-2</v>
      </c>
      <c r="M258">
        <f ca="1"/>
        <v>-0.23308269623450073</v>
      </c>
      <c r="N258">
        <f ca="1"/>
        <v>0.60469511395650322</v>
      </c>
      <c r="O258">
        <f ca="1"/>
        <v>0</v>
      </c>
      <c r="P258">
        <f ca="1"/>
        <v>1.9130900889075992</v>
      </c>
      <c r="Q258">
        <f ca="1"/>
        <v>1.7702294653852781</v>
      </c>
      <c r="R258">
        <f ca="1"/>
        <v>0</v>
      </c>
      <c r="S258">
        <f ca="1"/>
        <v>0.79367444862388092</v>
      </c>
      <c r="T258">
        <f ca="1"/>
        <v>0</v>
      </c>
      <c r="U258">
        <f ca="1"/>
        <v>0</v>
      </c>
      <c r="V258">
        <f ca="1"/>
        <v>1.2860382118872835E-2</v>
      </c>
      <c r="X258" s="2">
        <f t="shared" ca="1" si="22"/>
        <v>45634</v>
      </c>
      <c r="Y258">
        <f t="shared" ca="1" si="23"/>
        <v>0</v>
      </c>
      <c r="AA258" s="63">
        <f t="shared" ca="1" si="25"/>
        <v>13.946732461102966</v>
      </c>
      <c r="AB258" s="63">
        <f t="shared" ca="1" si="26"/>
        <v>13.946732461102966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45635</v>
      </c>
      <c r="K259">
        <f ca="1"/>
        <v>14.164966977884312</v>
      </c>
      <c r="L259">
        <f ca="1"/>
        <v>8.5081053219843827E-2</v>
      </c>
      <c r="M259">
        <f ca="1"/>
        <v>-0.21146683374133346</v>
      </c>
      <c r="N259">
        <f ca="1"/>
        <v>0.5967066234470455</v>
      </c>
      <c r="O259">
        <f ca="1"/>
        <v>0</v>
      </c>
      <c r="P259">
        <f ca="1"/>
        <v>1.9981711421274431</v>
      </c>
      <c r="Q259">
        <f ca="1"/>
        <v>1.8489570633322117</v>
      </c>
      <c r="R259">
        <f ca="1"/>
        <v>0</v>
      </c>
      <c r="S259">
        <f ca="1"/>
        <v>0.78892710279676237</v>
      </c>
      <c r="T259">
        <f ca="1"/>
        <v>0</v>
      </c>
      <c r="U259">
        <f ca="1"/>
        <v>0</v>
      </c>
      <c r="V259">
        <f ca="1"/>
        <v>1.4330891405897276E-2</v>
      </c>
      <c r="X259" s="2">
        <f t="shared" ca="1" si="22"/>
        <v>45635</v>
      </c>
      <c r="Y259">
        <f t="shared" ca="1" si="23"/>
        <v>0</v>
      </c>
      <c r="AA259" s="63">
        <f t="shared" ca="1" si="25"/>
        <v>14.250048031104155</v>
      </c>
      <c r="AB259" s="63">
        <f t="shared" ca="1" si="26"/>
        <v>14.250048031104155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45636</v>
      </c>
      <c r="K260">
        <f ca="1"/>
        <v>14.464375796086877</v>
      </c>
      <c r="L260">
        <f ca="1"/>
        <v>9.1804560868905982E-2</v>
      </c>
      <c r="M260">
        <f ca="1"/>
        <v>-0.19946918322830598</v>
      </c>
      <c r="N260">
        <f ca="1"/>
        <v>0.590682562299778</v>
      </c>
      <c r="O260">
        <f ca="1"/>
        <v>0</v>
      </c>
      <c r="P260">
        <f ca="1"/>
        <v>2.089975702996349</v>
      </c>
      <c r="Q260">
        <f ca="1"/>
        <v>1.9339060888115569</v>
      </c>
      <c r="R260">
        <f ca="1"/>
        <v>0</v>
      </c>
      <c r="S260">
        <f ca="1"/>
        <v>0.7489625983454189</v>
      </c>
      <c r="T260">
        <f ca="1"/>
        <v>0</v>
      </c>
      <c r="U260">
        <f ca="1"/>
        <v>0</v>
      </c>
      <c r="V260">
        <f ca="1"/>
        <v>1.6023429799157173E-2</v>
      </c>
      <c r="X260" s="2">
        <f t="shared" ca="1" si="22"/>
        <v>45636</v>
      </c>
      <c r="Y260">
        <f t="shared" ca="1" si="23"/>
        <v>0</v>
      </c>
      <c r="AA260" s="63">
        <f t="shared" ca="1" si="25"/>
        <v>14.556180356955783</v>
      </c>
      <c r="AB260" s="63">
        <f t="shared" ca="1" si="26"/>
        <v>14.556180356955783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45637</v>
      </c>
      <c r="K261">
        <f ca="1"/>
        <v>14.777074226858678</v>
      </c>
      <c r="L261">
        <f ca="1"/>
        <v>9.8633903213775298E-2</v>
      </c>
      <c r="M261">
        <f ca="1"/>
        <v>-0.18573782286970442</v>
      </c>
      <c r="N261">
        <f ca="1"/>
        <v>0.59707015685528098</v>
      </c>
      <c r="O261">
        <f ca="1"/>
        <v>0</v>
      </c>
      <c r="P261">
        <f ca="1"/>
        <v>2.1886096062101243</v>
      </c>
      <c r="Q261">
        <f ca="1"/>
        <v>2.0251744732788488</v>
      </c>
      <c r="R261">
        <f ca="1"/>
        <v>0</v>
      </c>
      <c r="S261">
        <f ca="1"/>
        <v>0.73024020679915846</v>
      </c>
      <c r="T261">
        <f ca="1"/>
        <v>0</v>
      </c>
      <c r="U261">
        <f ca="1"/>
        <v>0</v>
      </c>
      <c r="V261">
        <f ca="1"/>
        <v>1.7966204065575874E-2</v>
      </c>
      <c r="X261" s="2">
        <f t="shared" ca="1" si="22"/>
        <v>45637</v>
      </c>
      <c r="Y261">
        <f t="shared" ca="1" si="23"/>
        <v>0</v>
      </c>
      <c r="AA261" s="63">
        <f t="shared" ca="1" si="25"/>
        <v>14.875708130072454</v>
      </c>
      <c r="AB261" s="63">
        <f t="shared" ca="1" si="26"/>
        <v>14.875708130072454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45638</v>
      </c>
      <c r="K262">
        <f ca="1"/>
        <v>15.079584014903389</v>
      </c>
      <c r="L262">
        <f ca="1"/>
        <v>0.10185064158443247</v>
      </c>
      <c r="M262">
        <f ca="1"/>
        <v>-0.163963198646222</v>
      </c>
      <c r="N262">
        <f ca="1"/>
        <v>0.56832362827536531</v>
      </c>
      <c r="O262">
        <f ca="1"/>
        <v>0</v>
      </c>
      <c r="P262">
        <f ca="1"/>
        <v>2.2904602477945568</v>
      </c>
      <c r="Q262">
        <f ca="1"/>
        <v>2.1194193851345733</v>
      </c>
      <c r="R262">
        <f ca="1"/>
        <v>0</v>
      </c>
      <c r="S262">
        <f ca="1"/>
        <v>0.70631034665482428</v>
      </c>
      <c r="T262">
        <f ca="1"/>
        <v>0</v>
      </c>
      <c r="U262">
        <f ca="1"/>
        <v>0</v>
      </c>
      <c r="V262">
        <f ca="1"/>
        <v>2.0109503922754547E-2</v>
      </c>
      <c r="X262" s="2">
        <f t="shared" ca="1" si="22"/>
        <v>45638</v>
      </c>
      <c r="Y262">
        <f t="shared" ca="1" si="23"/>
        <v>0</v>
      </c>
      <c r="AA262" s="63">
        <f t="shared" ca="1" si="25"/>
        <v>15.181434656487822</v>
      </c>
      <c r="AB262" s="63">
        <f t="shared" ca="1" si="26"/>
        <v>15.181434656487822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ca="1" si="21"/>
        <v>0</v>
      </c>
      <c r="J263" s="2">
        <f ca="1"/>
        <v>45639</v>
      </c>
      <c r="K263">
        <f ca="1"/>
        <v>15.41026922921637</v>
      </c>
      <c r="L263">
        <f ca="1"/>
        <v>0.1060330465297521</v>
      </c>
      <c r="M263">
        <f ca="1"/>
        <v>-0.14564150093827521</v>
      </c>
      <c r="N263">
        <f ca="1"/>
        <v>0.58235976178100868</v>
      </c>
      <c r="O263">
        <f ca="1"/>
        <v>0</v>
      </c>
      <c r="P263">
        <f ca="1"/>
        <v>2.3964932943243089</v>
      </c>
      <c r="Q263">
        <f ca="1"/>
        <v>2.217534379488403</v>
      </c>
      <c r="R263">
        <f ca="1"/>
        <v>0</v>
      </c>
      <c r="S263">
        <f ca="1"/>
        <v>0.72940200860805737</v>
      </c>
      <c r="T263">
        <f ca="1"/>
        <v>0</v>
      </c>
      <c r="U263">
        <f ca="1"/>
        <v>0</v>
      </c>
      <c r="V263">
        <f ca="1"/>
        <v>2.2490915774366568E-2</v>
      </c>
      <c r="X263" s="2">
        <f t="shared" ca="1" si="22"/>
        <v>45639</v>
      </c>
      <c r="Y263">
        <f t="shared" ca="1" si="23"/>
        <v>0</v>
      </c>
      <c r="AA263" s="63">
        <f t="shared" ca="1" si="25"/>
        <v>15.516302275746122</v>
      </c>
      <c r="AB263" s="63">
        <f t="shared" ca="1" si="26"/>
        <v>15.516302275746122</v>
      </c>
      <c r="AC263" s="3">
        <f t="shared" ca="1" si="27"/>
        <v>0</v>
      </c>
    </row>
    <row r="264" spans="8:29">
      <c r="H264" t="b">
        <f t="shared" ca="1" si="24"/>
        <v>0</v>
      </c>
      <c r="I264" t="b">
        <f t="shared" ca="1" si="21"/>
        <v>0</v>
      </c>
      <c r="J264" s="2">
        <f ca="1"/>
        <v>45640</v>
      </c>
      <c r="K264">
        <f ca="1"/>
        <v>15.740681460003652</v>
      </c>
      <c r="L264">
        <f ca="1"/>
        <v>0.10982879680156765</v>
      </c>
      <c r="M264">
        <f ca="1"/>
        <v>-0.12798124617893691</v>
      </c>
      <c r="N264">
        <f ca="1"/>
        <v>0.56822227376778556</v>
      </c>
      <c r="O264">
        <f ca="1"/>
        <v>0</v>
      </c>
      <c r="P264">
        <f ca="1"/>
        <v>2.5063220911258766</v>
      </c>
      <c r="Q264">
        <f ca="1"/>
        <v>2.3191616752301125</v>
      </c>
      <c r="R264">
        <f ca="1"/>
        <v>0</v>
      </c>
      <c r="S264">
        <f ca="1"/>
        <v>0.72019247637011918</v>
      </c>
      <c r="T264">
        <f ca="1"/>
        <v>0</v>
      </c>
      <c r="U264">
        <f ca="1"/>
        <v>0</v>
      </c>
      <c r="V264">
        <f ca="1"/>
        <v>2.5120992674773912E-2</v>
      </c>
      <c r="X264" s="2">
        <f t="shared" ca="1" si="22"/>
        <v>45640</v>
      </c>
      <c r="Y264">
        <f t="shared" ca="1" si="23"/>
        <v>0</v>
      </c>
      <c r="AA264" s="63">
        <f t="shared" ca="1" si="25"/>
        <v>15.850510256805219</v>
      </c>
      <c r="AB264" s="63">
        <f t="shared" ca="1" si="26"/>
        <v>15.850510256805219</v>
      </c>
      <c r="AC264" s="3">
        <f t="shared" ca="1" si="27"/>
        <v>0</v>
      </c>
    </row>
    <row r="265" spans="8:29">
      <c r="H265" t="b">
        <f t="shared" ca="1" si="24"/>
        <v>0</v>
      </c>
      <c r="I265" t="b">
        <f t="shared" ca="1" si="21"/>
        <v>0</v>
      </c>
      <c r="J265" s="2">
        <f ca="1"/>
        <v>45641</v>
      </c>
      <c r="K265">
        <f ca="1"/>
        <v>16.119391670934878</v>
      </c>
      <c r="L265">
        <f ca="1"/>
        <v>0.11549155167843095</v>
      </c>
      <c r="M265">
        <f ca="1"/>
        <v>-0.11371353374407889</v>
      </c>
      <c r="N265">
        <f ca="1"/>
        <v>0.60791529635373565</v>
      </c>
      <c r="O265">
        <f ca="1"/>
        <v>0</v>
      </c>
      <c r="P265">
        <f ca="1"/>
        <v>2.6218136428043075</v>
      </c>
      <c r="Q265">
        <f ca="1"/>
        <v>2.4260288577897002</v>
      </c>
      <c r="R265">
        <f ca="1"/>
        <v>0</v>
      </c>
      <c r="S265">
        <f ca="1"/>
        <v>0.76552239454204796</v>
      </c>
      <c r="T265">
        <f ca="1"/>
        <v>0</v>
      </c>
      <c r="U265">
        <f ca="1"/>
        <v>0</v>
      </c>
      <c r="V265">
        <f ca="1"/>
        <v>2.8067966890093513E-2</v>
      </c>
      <c r="X265" s="2">
        <f t="shared" ca="1" si="22"/>
        <v>45641</v>
      </c>
      <c r="Y265">
        <f t="shared" ca="1" si="23"/>
        <v>0</v>
      </c>
      <c r="AA265" s="63">
        <f t="shared" ca="1" si="25"/>
        <v>16.234883222613309</v>
      </c>
      <c r="AB265" s="63">
        <f t="shared" ca="1" si="26"/>
        <v>16.234883222613309</v>
      </c>
      <c r="AC265" s="3">
        <f t="shared" ca="1" si="27"/>
        <v>0</v>
      </c>
    </row>
    <row r="266" spans="8:29">
      <c r="H266" t="b">
        <f t="shared" ca="1" si="24"/>
        <v>0</v>
      </c>
      <c r="I266" t="b">
        <f t="shared" ca="1" si="21"/>
        <v>0</v>
      </c>
      <c r="J266" s="2">
        <f ca="1"/>
        <v>45642</v>
      </c>
      <c r="K266">
        <f ca="1"/>
        <v>16.53229361277225</v>
      </c>
      <c r="L266">
        <f ca="1"/>
        <v>0.12103493050291725</v>
      </c>
      <c r="M266">
        <f ca="1"/>
        <v>-9.9684716768472015E-2</v>
      </c>
      <c r="N266">
        <f ca="1"/>
        <v>0.63362158910876487</v>
      </c>
      <c r="O266">
        <f ca="1"/>
        <v>0</v>
      </c>
      <c r="P266">
        <f ca="1"/>
        <v>2.7428485733072248</v>
      </c>
      <c r="Q266">
        <f ca="1"/>
        <v>2.5380254655602568</v>
      </c>
      <c r="R266">
        <f ca="1"/>
        <v>0</v>
      </c>
      <c r="S266">
        <f ca="1"/>
        <v>0.79479593204993082</v>
      </c>
      <c r="T266">
        <f ca="1"/>
        <v>0</v>
      </c>
      <c r="U266">
        <f ca="1"/>
        <v>0</v>
      </c>
      <c r="V266">
        <f ca="1"/>
        <v>3.1357627723820149E-2</v>
      </c>
      <c r="X266" s="2">
        <f t="shared" ca="1" si="22"/>
        <v>45642</v>
      </c>
      <c r="Y266">
        <f t="shared" ca="1" si="23"/>
        <v>0</v>
      </c>
      <c r="AA266" s="63">
        <f t="shared" ca="1" si="25"/>
        <v>16.653328543275169</v>
      </c>
      <c r="AB266" s="63">
        <f t="shared" ca="1" si="26"/>
        <v>16.653328543275165</v>
      </c>
      <c r="AC266" s="3">
        <f t="shared" ca="1" si="27"/>
        <v>0</v>
      </c>
    </row>
    <row r="267" spans="8:29">
      <c r="H267" t="b">
        <f t="shared" ca="1" si="24"/>
        <v>0</v>
      </c>
      <c r="I267" t="b">
        <f t="shared" ref="I267:I330" ca="1" si="28">AND(IF(J267&gt;($J$7-1),TRUE,FALSE),IF(J267&lt;($J$8+1),TRUE,FALSE))</f>
        <v>0</v>
      </c>
      <c r="J267" s="2">
        <f ca="1"/>
        <v>45643</v>
      </c>
      <c r="K267">
        <f ca="1"/>
        <v>16.962390927602701</v>
      </c>
      <c r="L267">
        <f ca="1"/>
        <v>0.12428627429727435</v>
      </c>
      <c r="M267">
        <f ca="1"/>
        <v>-8.4560712732784538E-2</v>
      </c>
      <c r="N267">
        <f ca="1"/>
        <v>0.63894430186050888</v>
      </c>
      <c r="O267">
        <f ca="1"/>
        <v>0</v>
      </c>
      <c r="P267">
        <f ca="1"/>
        <v>2.8671348476044991</v>
      </c>
      <c r="Q267">
        <f ca="1"/>
        <v>2.6530306219716957</v>
      </c>
      <c r="R267">
        <f ca="1"/>
        <v>0</v>
      </c>
      <c r="S267">
        <f ca="1"/>
        <v>0.81913672923565761</v>
      </c>
      <c r="T267">
        <f ca="1"/>
        <v>0</v>
      </c>
      <c r="U267">
        <f ca="1"/>
        <v>0</v>
      </c>
      <c r="V267">
        <f ca="1"/>
        <v>3.4951501176038485E-2</v>
      </c>
      <c r="X267" s="2">
        <f t="shared" ref="X267:X330" ca="1" si="29">IFERROR(J267,$X$9)</f>
        <v>45643</v>
      </c>
      <c r="Y267">
        <f t="shared" ref="Y267:Y330" ca="1" si="30">IFERROR(O267,0)</f>
        <v>0</v>
      </c>
      <c r="AA267" s="63">
        <f t="shared" ca="1" si="25"/>
        <v>17.086677201899974</v>
      </c>
      <c r="AB267" s="63">
        <f t="shared" ca="1" si="26"/>
        <v>17.086677201899974</v>
      </c>
      <c r="AC267" s="3">
        <f t="shared" ca="1" si="27"/>
        <v>0</v>
      </c>
    </row>
    <row r="268" spans="8:29">
      <c r="H268" t="b">
        <f t="shared" ref="H268:H331" ca="1" si="31">IF(J268&lt;$J$8,TRUE,FALSE)</f>
        <v>0</v>
      </c>
      <c r="I268" t="b">
        <f t="shared" ca="1" si="28"/>
        <v>0</v>
      </c>
      <c r="J268" s="2">
        <f ca="1"/>
        <v>45644</v>
      </c>
      <c r="K268">
        <f ca="1"/>
        <v>17.419733426150415</v>
      </c>
      <c r="L268">
        <f ca="1"/>
        <v>0.13125822282100907</v>
      </c>
      <c r="M268">
        <f ca="1"/>
        <v>-7.3252930664075677E-2</v>
      </c>
      <c r="N268">
        <f ca="1"/>
        <v>0.661853652032799</v>
      </c>
      <c r="O268">
        <f ca="1"/>
        <v>0</v>
      </c>
      <c r="P268">
        <f ca="1"/>
        <v>2.9983930704255082</v>
      </c>
      <c r="Q268">
        <f ca="1"/>
        <v>2.7744870943872399</v>
      </c>
      <c r="R268">
        <f ca="1"/>
        <v>0</v>
      </c>
      <c r="S268">
        <f ca="1"/>
        <v>0.83552185717460337</v>
      </c>
      <c r="T268">
        <f ca="1"/>
        <v>0</v>
      </c>
      <c r="U268">
        <f ca="1"/>
        <v>0</v>
      </c>
      <c r="V268">
        <f ca="1"/>
        <v>3.8985596204612401E-2</v>
      </c>
      <c r="X268" s="2">
        <f t="shared" ca="1" si="29"/>
        <v>45644</v>
      </c>
      <c r="Y268">
        <f t="shared" ca="1" si="30"/>
        <v>0</v>
      </c>
      <c r="AA268" s="63">
        <f t="shared" ca="1" si="25"/>
        <v>17.550991648971426</v>
      </c>
      <c r="AB268" s="63">
        <f t="shared" ca="1" si="26"/>
        <v>17.550991648971426</v>
      </c>
      <c r="AC268" s="3">
        <f t="shared" ca="1" si="27"/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45645</v>
      </c>
      <c r="K269">
        <f ca="1"/>
        <v>17.859183652950392</v>
      </c>
      <c r="L269">
        <f ca="1"/>
        <v>0.13948688306724621</v>
      </c>
      <c r="M269">
        <f ca="1"/>
        <v>-6.2673094442679655E-2</v>
      </c>
      <c r="N269">
        <f ca="1"/>
        <v>0.64161020430990345</v>
      </c>
      <c r="O269">
        <f ca="1"/>
        <v>0</v>
      </c>
      <c r="P269">
        <f ca="1"/>
        <v>3.1378799534927544</v>
      </c>
      <c r="Q269">
        <f ca="1"/>
        <v>2.9035577491734905</v>
      </c>
      <c r="R269">
        <f ca="1"/>
        <v>0</v>
      </c>
      <c r="S269">
        <f ca="1"/>
        <v>0.79494028124087901</v>
      </c>
      <c r="T269">
        <f ca="1"/>
        <v>0</v>
      </c>
      <c r="U269">
        <f ca="1"/>
        <v>0</v>
      </c>
      <c r="V269">
        <f ca="1"/>
        <v>4.3541930512084444E-2</v>
      </c>
      <c r="X269" s="2">
        <f t="shared" ca="1" si="29"/>
        <v>45645</v>
      </c>
      <c r="Y269">
        <f t="shared" ca="1" si="30"/>
        <v>0</v>
      </c>
      <c r="AA269" s="63">
        <f t="shared" ca="1" si="25"/>
        <v>17.998670536017638</v>
      </c>
      <c r="AB269" s="63">
        <f t="shared" ca="1" si="26"/>
        <v>17.998670536017638</v>
      </c>
      <c r="AC269" s="3">
        <f t="shared" ca="1" si="27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45646</v>
      </c>
      <c r="K270">
        <f ca="1"/>
        <v>18.311594353027242</v>
      </c>
      <c r="L270">
        <f ca="1"/>
        <v>0.14587770362796704</v>
      </c>
      <c r="M270">
        <f ca="1"/>
        <v>-5.1313353287266494E-2</v>
      </c>
      <c r="N270">
        <f ca="1"/>
        <v>0.64960175699208478</v>
      </c>
      <c r="O270">
        <f ca="1"/>
        <v>0</v>
      </c>
      <c r="P270">
        <f ca="1"/>
        <v>3.2837576571207214</v>
      </c>
      <c r="Q270">
        <f ca="1"/>
        <v>3.0385419879201483</v>
      </c>
      <c r="R270">
        <f ca="1"/>
        <v>0</v>
      </c>
      <c r="S270">
        <f ca="1"/>
        <v>0.80443683201583605</v>
      </c>
      <c r="T270">
        <f ca="1"/>
        <v>0</v>
      </c>
      <c r="U270">
        <f ca="1"/>
        <v>0</v>
      </c>
      <c r="V270">
        <f ca="1"/>
        <v>4.8603841914375383E-2</v>
      </c>
      <c r="X270" s="2">
        <f t="shared" ca="1" si="29"/>
        <v>45646</v>
      </c>
      <c r="Y270">
        <f t="shared" ca="1" si="30"/>
        <v>0</v>
      </c>
      <c r="AA270" s="63">
        <f t="shared" ca="1" si="25"/>
        <v>18.45747205665521</v>
      </c>
      <c r="AB270" s="63">
        <f t="shared" ca="1" si="26"/>
        <v>18.45747205665521</v>
      </c>
      <c r="AC270" s="3">
        <f t="shared" ca="1" si="27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45647</v>
      </c>
      <c r="K271">
        <f ca="1"/>
        <v>18.747276837527536</v>
      </c>
      <c r="L271">
        <f ca="1"/>
        <v>0.15399411280894704</v>
      </c>
      <c r="M271">
        <f ca="1"/>
        <v>-4.1085493096510106E-2</v>
      </c>
      <c r="N271">
        <f ca="1"/>
        <v>0.63076209040575448</v>
      </c>
      <c r="O271">
        <f ca="1"/>
        <v>0</v>
      </c>
      <c r="P271">
        <f ca="1"/>
        <v>3.4377517699296685</v>
      </c>
      <c r="Q271">
        <f ca="1"/>
        <v>3.1810365403569985</v>
      </c>
      <c r="R271">
        <f ca="1"/>
        <v>0</v>
      </c>
      <c r="S271">
        <f ca="1"/>
        <v>0.77251788919116671</v>
      </c>
      <c r="T271">
        <f ca="1"/>
        <v>0</v>
      </c>
      <c r="U271">
        <f ca="1"/>
        <v>0</v>
      </c>
      <c r="V271">
        <f ca="1"/>
        <v>5.4275530618214052E-2</v>
      </c>
      <c r="X271" s="2">
        <f t="shared" ca="1" si="29"/>
        <v>45647</v>
      </c>
      <c r="Y271">
        <f t="shared" ca="1" si="30"/>
        <v>0</v>
      </c>
      <c r="AA271" s="63">
        <f t="shared" ca="1" si="25"/>
        <v>18.901270950336485</v>
      </c>
      <c r="AB271" s="63">
        <f t="shared" ca="1" si="26"/>
        <v>18.901270950336482</v>
      </c>
      <c r="AC271" s="3">
        <f t="shared" ca="1" si="27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45648</v>
      </c>
      <c r="K272">
        <f ca="1"/>
        <v>19.15684098995871</v>
      </c>
      <c r="L272">
        <f ca="1"/>
        <v>0.15751402070730114</v>
      </c>
      <c r="M272">
        <f ca="1"/>
        <v>-3.0259777121393938E-2</v>
      </c>
      <c r="N272">
        <f ca="1"/>
        <v>0.59733795025986658</v>
      </c>
      <c r="O272">
        <f ca="1"/>
        <v>0</v>
      </c>
      <c r="P272">
        <f ca="1"/>
        <v>3.5952657906369696</v>
      </c>
      <c r="Q272">
        <f ca="1"/>
        <v>3.3267881504270655</v>
      </c>
      <c r="R272">
        <f ca="1"/>
        <v>0</v>
      </c>
      <c r="S272">
        <f ca="1"/>
        <v>0.75334883229684602</v>
      </c>
      <c r="T272">
        <f ca="1"/>
        <v>0</v>
      </c>
      <c r="U272">
        <f ca="1"/>
        <v>0</v>
      </c>
      <c r="V272">
        <f ca="1"/>
        <v>6.0423088656840603E-2</v>
      </c>
      <c r="X272" s="2">
        <f t="shared" ca="1" si="29"/>
        <v>45648</v>
      </c>
      <c r="Y272">
        <f t="shared" ca="1" si="30"/>
        <v>0</v>
      </c>
      <c r="AA272" s="63">
        <f t="shared" ref="AA272:AA335" ca="1" si="32">K271+M272+N272+O272</f>
        <v>19.314355010666009</v>
      </c>
      <c r="AB272" s="63">
        <f t="shared" ref="AB272:AB335" ca="1" si="33">K272+L272+R272</f>
        <v>19.314355010666009</v>
      </c>
      <c r="AC272" s="3">
        <f t="shared" ref="AC272:AC335" ca="1" si="34">AB272-AA272</f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45649</v>
      </c>
      <c r="K273">
        <f ca="1"/>
        <v>19.575617668678344</v>
      </c>
      <c r="L273">
        <f ca="1"/>
        <v>0.16598441766327321</v>
      </c>
      <c r="M273">
        <f ca="1"/>
        <v>-2.1429432500838175E-2</v>
      </c>
      <c r="N273">
        <f ca="1"/>
        <v>0.60619052888374558</v>
      </c>
      <c r="O273">
        <f ca="1"/>
        <v>0</v>
      </c>
      <c r="P273">
        <f ca="1"/>
        <v>3.7612502083002428</v>
      </c>
      <c r="Q273">
        <f ca="1"/>
        <v>3.4803776278102894</v>
      </c>
      <c r="R273">
        <f ca="1"/>
        <v>0</v>
      </c>
      <c r="S273">
        <f ca="1"/>
        <v>0.7563047074974264</v>
      </c>
      <c r="T273">
        <f ca="1"/>
        <v>0</v>
      </c>
      <c r="U273">
        <f ca="1"/>
        <v>0</v>
      </c>
      <c r="V273">
        <f ca="1"/>
        <v>6.7275948649538675E-2</v>
      </c>
      <c r="X273" s="2">
        <f t="shared" ca="1" si="29"/>
        <v>45649</v>
      </c>
      <c r="Y273">
        <f t="shared" ca="1" si="30"/>
        <v>0</v>
      </c>
      <c r="AA273" s="63">
        <f t="shared" ca="1" si="32"/>
        <v>19.741602086341619</v>
      </c>
      <c r="AB273" s="63">
        <f t="shared" ca="1" si="33"/>
        <v>19.741602086341619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45650</v>
      </c>
      <c r="K274">
        <f ca="1"/>
        <v>20.027564561069735</v>
      </c>
      <c r="L274">
        <f ca="1"/>
        <v>0.17608269229172713</v>
      </c>
      <c r="M274">
        <f ca="1"/>
        <v>-1.3021506040143294E-2</v>
      </c>
      <c r="N274">
        <f ca="1"/>
        <v>0.64105109072326449</v>
      </c>
      <c r="O274">
        <f ca="1"/>
        <v>0</v>
      </c>
      <c r="P274">
        <f ca="1"/>
        <v>3.9373329005919699</v>
      </c>
      <c r="Q274">
        <f ca="1"/>
        <v>3.6433112878854264</v>
      </c>
      <c r="R274">
        <f ca="1"/>
        <v>0</v>
      </c>
      <c r="S274">
        <f ca="1"/>
        <v>0.78428868961580256</v>
      </c>
      <c r="T274">
        <f ca="1"/>
        <v>0</v>
      </c>
      <c r="U274">
        <f ca="1"/>
        <v>0</v>
      </c>
      <c r="V274">
        <f ca="1"/>
        <v>7.4959482559366589E-2</v>
      </c>
      <c r="X274" s="2">
        <f t="shared" ca="1" si="29"/>
        <v>45650</v>
      </c>
      <c r="Y274">
        <f t="shared" ca="1" si="30"/>
        <v>0</v>
      </c>
      <c r="AA274" s="63">
        <f t="shared" ca="1" si="32"/>
        <v>20.203647253361467</v>
      </c>
      <c r="AB274" s="63">
        <f t="shared" ca="1" si="33"/>
        <v>20.20364725336146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45651</v>
      </c>
      <c r="K275">
        <f ca="1"/>
        <v>20.433212704451076</v>
      </c>
      <c r="L275">
        <f ca="1"/>
        <v>0.18104559010100685</v>
      </c>
      <c r="M275">
        <f ca="1"/>
        <v>-4.7497802916502962E-3</v>
      </c>
      <c r="N275">
        <f ca="1"/>
        <v>0.5914435137739984</v>
      </c>
      <c r="O275">
        <f ca="1"/>
        <v>0</v>
      </c>
      <c r="P275">
        <f ca="1"/>
        <v>4.1183784906929768</v>
      </c>
      <c r="Q275">
        <f ca="1"/>
        <v>3.8108372397646053</v>
      </c>
      <c r="R275">
        <f ca="1"/>
        <v>0</v>
      </c>
      <c r="S275">
        <f ca="1"/>
        <v>0.73995335675265916</v>
      </c>
      <c r="T275">
        <f ca="1"/>
        <v>0</v>
      </c>
      <c r="U275">
        <f ca="1"/>
        <v>0</v>
      </c>
      <c r="V275">
        <f ca="1"/>
        <v>8.3294448885076131E-2</v>
      </c>
      <c r="X275" s="2">
        <f t="shared" ca="1" si="29"/>
        <v>45651</v>
      </c>
      <c r="Y275">
        <f t="shared" ca="1" si="30"/>
        <v>0</v>
      </c>
      <c r="AA275" s="63">
        <f t="shared" ca="1" si="32"/>
        <v>20.614258294552084</v>
      </c>
      <c r="AB275" s="63">
        <f t="shared" ca="1" si="33"/>
        <v>20.614258294552084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45652</v>
      </c>
      <c r="K276">
        <f ca="1"/>
        <v>20.821377056991459</v>
      </c>
      <c r="L276">
        <f ca="1"/>
        <v>0.18999205695528154</v>
      </c>
      <c r="M276">
        <f ca="1"/>
        <v>2.6670881832870919E-3</v>
      </c>
      <c r="N276">
        <f ca="1"/>
        <v>0.57548932131237451</v>
      </c>
      <c r="O276">
        <f ca="1"/>
        <v>0</v>
      </c>
      <c r="P276">
        <f ca="1"/>
        <v>4.3083705476482583</v>
      </c>
      <c r="Q276">
        <f ca="1"/>
        <v>3.9866415781810187</v>
      </c>
      <c r="R276">
        <f ca="1"/>
        <v>0</v>
      </c>
      <c r="S276">
        <f ca="1"/>
        <v>0.71518306201794735</v>
      </c>
      <c r="T276">
        <f ca="1"/>
        <v>0</v>
      </c>
      <c r="U276">
        <f ca="1"/>
        <v>0</v>
      </c>
      <c r="V276">
        <f ca="1"/>
        <v>9.2502694512944655E-2</v>
      </c>
      <c r="X276" s="2">
        <f t="shared" ca="1" si="29"/>
        <v>45652</v>
      </c>
      <c r="Y276">
        <f t="shared" ca="1" si="30"/>
        <v>0</v>
      </c>
      <c r="AA276" s="63">
        <f t="shared" ca="1" si="32"/>
        <v>21.011369113946738</v>
      </c>
      <c r="AB276" s="63">
        <f t="shared" ca="1" si="33"/>
        <v>21.011369113946742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45653</v>
      </c>
      <c r="K277">
        <f ca="1"/>
        <v>21.200622958451749</v>
      </c>
      <c r="L277">
        <f ca="1"/>
        <v>0.20799200823240671</v>
      </c>
      <c r="M277">
        <f ca="1"/>
        <v>1.0353472724148105E-2</v>
      </c>
      <c r="N277">
        <f ca="1"/>
        <v>0.57688443696854819</v>
      </c>
      <c r="O277">
        <f ca="1"/>
        <v>0</v>
      </c>
      <c r="P277">
        <f ca="1"/>
        <v>4.516362555880665</v>
      </c>
      <c r="Q277">
        <f ca="1"/>
        <v>4.1791017156687964</v>
      </c>
      <c r="R277">
        <f ca="1"/>
        <v>0</v>
      </c>
      <c r="S277">
        <f ca="1"/>
        <v>0.67117061398019662</v>
      </c>
      <c r="T277">
        <f ca="1"/>
        <v>0</v>
      </c>
      <c r="U277">
        <f ca="1"/>
        <v>0</v>
      </c>
      <c r="V277">
        <f ca="1"/>
        <v>0.10310663486695733</v>
      </c>
      <c r="X277" s="2">
        <f t="shared" ca="1" si="29"/>
        <v>45653</v>
      </c>
      <c r="Y277">
        <f t="shared" ca="1" si="30"/>
        <v>0</v>
      </c>
      <c r="AA277" s="63">
        <f t="shared" ca="1" si="32"/>
        <v>21.408614966684155</v>
      </c>
      <c r="AB277" s="63">
        <f t="shared" ca="1" si="33"/>
        <v>21.408614966684155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45654</v>
      </c>
      <c r="K278">
        <f ca="1"/>
        <v>21.587895245677547</v>
      </c>
      <c r="L278">
        <f ca="1"/>
        <v>0.22188678377018167</v>
      </c>
      <c r="M278">
        <f ca="1"/>
        <v>1.801535567201995E-2</v>
      </c>
      <c r="N278">
        <f ca="1"/>
        <v>0.5911437153239596</v>
      </c>
      <c r="O278">
        <f ca="1"/>
        <v>0</v>
      </c>
      <c r="P278">
        <f ca="1"/>
        <v>4.7382493396508467</v>
      </c>
      <c r="Q278">
        <f ca="1"/>
        <v>4.3844190318197764</v>
      </c>
      <c r="R278">
        <f ca="1"/>
        <v>0</v>
      </c>
      <c r="S278">
        <f ca="1"/>
        <v>0.67098034393155881</v>
      </c>
      <c r="T278">
        <f ca="1"/>
        <v>0</v>
      </c>
      <c r="U278">
        <f ca="1"/>
        <v>0</v>
      </c>
      <c r="V278">
        <f ca="1"/>
        <v>0.11499589585508654</v>
      </c>
      <c r="X278" s="2">
        <f t="shared" ca="1" si="29"/>
        <v>45654</v>
      </c>
      <c r="Y278">
        <f t="shared" ca="1" si="30"/>
        <v>0</v>
      </c>
      <c r="AA278" s="63">
        <f t="shared" ca="1" si="32"/>
        <v>21.809782029447728</v>
      </c>
      <c r="AB278" s="63">
        <f t="shared" ca="1" si="33"/>
        <v>21.809782029447728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45655</v>
      </c>
      <c r="K279">
        <f ca="1"/>
        <v>21.988900272989664</v>
      </c>
      <c r="L279">
        <f ca="1"/>
        <v>0.22956051240348874</v>
      </c>
      <c r="M279">
        <f ca="1"/>
        <v>2.449897947245816E-2</v>
      </c>
      <c r="N279">
        <f ca="1"/>
        <v>0.60606656024314531</v>
      </c>
      <c r="O279">
        <f ca="1"/>
        <v>0</v>
      </c>
      <c r="P279">
        <f ca="1"/>
        <v>4.9678098520543355</v>
      </c>
      <c r="Q279">
        <f ca="1"/>
        <v>4.5968370384269015</v>
      </c>
      <c r="R279">
        <f ca="1"/>
        <v>0</v>
      </c>
      <c r="S279">
        <f ca="1"/>
        <v>0.70265400669135858</v>
      </c>
      <c r="T279">
        <f ca="1"/>
        <v>0</v>
      </c>
      <c r="U279">
        <f ca="1"/>
        <v>0</v>
      </c>
      <c r="V279">
        <f ca="1"/>
        <v>0.12788941895604028</v>
      </c>
      <c r="X279" s="2">
        <f t="shared" ca="1" si="29"/>
        <v>45655</v>
      </c>
      <c r="Y279">
        <f t="shared" ca="1" si="30"/>
        <v>0</v>
      </c>
      <c r="AA279" s="63">
        <f t="shared" ca="1" si="32"/>
        <v>22.218460785393152</v>
      </c>
      <c r="AB279" s="63">
        <f t="shared" ca="1" si="33"/>
        <v>22.218460785393152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45656</v>
      </c>
      <c r="K280">
        <f ca="1"/>
        <v>22.465194391406058</v>
      </c>
      <c r="L280">
        <f ca="1"/>
        <v>0.2356741924461625</v>
      </c>
      <c r="M280">
        <f ca="1"/>
        <v>2.9884367006985713E-2</v>
      </c>
      <c r="N280">
        <f ca="1"/>
        <v>0.68208394385557192</v>
      </c>
      <c r="O280">
        <f ca="1"/>
        <v>0</v>
      </c>
      <c r="P280">
        <f ca="1"/>
        <v>5.203484044500498</v>
      </c>
      <c r="Q280">
        <f ca="1"/>
        <v>4.8149121840345508</v>
      </c>
      <c r="R280">
        <f ca="1"/>
        <v>0</v>
      </c>
      <c r="S280">
        <f ca="1"/>
        <v>0.81260673905180536</v>
      </c>
      <c r="T280">
        <f ca="1"/>
        <v>0</v>
      </c>
      <c r="U280">
        <f ca="1"/>
        <v>0</v>
      </c>
      <c r="V280">
        <f ca="1"/>
        <v>0.14171287766134633</v>
      </c>
      <c r="X280" s="2">
        <f t="shared" ca="1" si="29"/>
        <v>45656</v>
      </c>
      <c r="Y280">
        <f t="shared" ca="1" si="30"/>
        <v>0</v>
      </c>
      <c r="AA280" s="63">
        <f t="shared" ca="1" si="32"/>
        <v>22.70086858385222</v>
      </c>
      <c r="AB280" s="63">
        <f t="shared" ca="1" si="33"/>
        <v>22.70086858385222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45657</v>
      </c>
      <c r="K281">
        <f ca="1"/>
        <v>22.913007801165552</v>
      </c>
      <c r="L281">
        <f ca="1"/>
        <v>0.24487243366429112</v>
      </c>
      <c r="M281">
        <f ca="1"/>
        <v>3.5009930779146714E-2</v>
      </c>
      <c r="N281">
        <f ca="1"/>
        <v>0.65767591264463743</v>
      </c>
      <c r="O281">
        <f ca="1"/>
        <v>0</v>
      </c>
      <c r="P281">
        <f ca="1"/>
        <v>5.4483564781647891</v>
      </c>
      <c r="Q281">
        <f ca="1"/>
        <v>5.0414986892109246</v>
      </c>
      <c r="R281">
        <f ca="1"/>
        <v>0</v>
      </c>
      <c r="S281">
        <f ca="1"/>
        <v>0.79162369867384497</v>
      </c>
      <c r="T281">
        <f ca="1"/>
        <v>0</v>
      </c>
      <c r="U281">
        <f ca="1"/>
        <v>0</v>
      </c>
      <c r="V281">
        <f ca="1"/>
        <v>0.15665631051064008</v>
      </c>
      <c r="X281" s="2">
        <f t="shared" ca="1" si="29"/>
        <v>45657</v>
      </c>
      <c r="Y281">
        <f t="shared" ca="1" si="30"/>
        <v>0</v>
      </c>
      <c r="AA281" s="63">
        <f t="shared" ca="1" si="32"/>
        <v>23.157880234829843</v>
      </c>
      <c r="AB281" s="63">
        <f t="shared" ca="1" si="33"/>
        <v>23.157880234829843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45658</v>
      </c>
      <c r="K282">
        <f ca="1"/>
        <v>23.338115285723831</v>
      </c>
      <c r="L282">
        <f ca="1"/>
        <v>0.2553498716632614</v>
      </c>
      <c r="M282">
        <f ca="1"/>
        <v>3.9793555772462241E-2</v>
      </c>
      <c r="N282">
        <f ca="1"/>
        <v>0.64066380044907478</v>
      </c>
      <c r="O282">
        <f ca="1"/>
        <v>0</v>
      </c>
      <c r="P282">
        <f ca="1"/>
        <v>5.7037063498280505</v>
      </c>
      <c r="Q282">
        <f ca="1"/>
        <v>5.27778022630193</v>
      </c>
      <c r="R282">
        <f ca="1"/>
        <v>0</v>
      </c>
      <c r="S282">
        <f ca="1"/>
        <v>0.77449952076584838</v>
      </c>
      <c r="T282">
        <f ca="1"/>
        <v>0</v>
      </c>
      <c r="U282">
        <f ca="1"/>
        <v>0</v>
      </c>
      <c r="V282">
        <f ca="1"/>
        <v>0.17281054430146661</v>
      </c>
      <c r="X282" s="2">
        <f t="shared" ca="1" si="29"/>
        <v>45658</v>
      </c>
      <c r="Y282">
        <f t="shared" ca="1" si="30"/>
        <v>0</v>
      </c>
      <c r="AA282" s="63">
        <f t="shared" ca="1" si="32"/>
        <v>23.59346515738709</v>
      </c>
      <c r="AB282" s="63">
        <f t="shared" ca="1" si="33"/>
        <v>23.593465157387094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45659</v>
      </c>
      <c r="K283">
        <f ca="1"/>
        <v>23.732201102867435</v>
      </c>
      <c r="L283">
        <f ca="1"/>
        <v>0.27271257746882949</v>
      </c>
      <c r="M283">
        <f ca="1"/>
        <v>4.5505614088082069E-2</v>
      </c>
      <c r="N283">
        <f ca="1"/>
        <v>0.62129278052435211</v>
      </c>
      <c r="O283">
        <f ca="1"/>
        <v>0</v>
      </c>
      <c r="P283">
        <f ca="1"/>
        <v>5.97641892729688</v>
      </c>
      <c r="Q283">
        <f ca="1"/>
        <v>5.53012790350523</v>
      </c>
      <c r="R283">
        <f ca="1"/>
        <v>0</v>
      </c>
      <c r="S283">
        <f ca="1"/>
        <v>0.72989688882834403</v>
      </c>
      <c r="T283">
        <f ca="1"/>
        <v>0</v>
      </c>
      <c r="U283">
        <f ca="1"/>
        <v>0</v>
      </c>
      <c r="V283">
        <f ca="1"/>
        <v>0.19063470573636085</v>
      </c>
      <c r="X283" s="2">
        <f t="shared" ca="1" si="29"/>
        <v>45659</v>
      </c>
      <c r="Y283">
        <f t="shared" ca="1" si="30"/>
        <v>0</v>
      </c>
      <c r="AA283" s="63">
        <f t="shared" ca="1" si="32"/>
        <v>24.004913680336266</v>
      </c>
      <c r="AB283" s="63">
        <f t="shared" ca="1" si="33"/>
        <v>24.004913680336266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45660</v>
      </c>
      <c r="K284">
        <f ca="1"/>
        <v>24.078430213371675</v>
      </c>
      <c r="L284">
        <f ca="1"/>
        <v>0.28245433110719098</v>
      </c>
      <c r="M284">
        <f ca="1"/>
        <v>4.9206778413747543E-2</v>
      </c>
      <c r="N284">
        <f ca="1"/>
        <v>0.57947666319768076</v>
      </c>
      <c r="O284">
        <f ca="1"/>
        <v>0</v>
      </c>
      <c r="P284">
        <f ca="1"/>
        <v>6.2588732584040709</v>
      </c>
      <c r="Q284">
        <f ca="1"/>
        <v>5.7914898657310401</v>
      </c>
      <c r="R284">
        <f ca="1"/>
        <v>0</v>
      </c>
      <c r="S284">
        <f ca="1"/>
        <v>0.68758083615081511</v>
      </c>
      <c r="T284">
        <f ca="1"/>
        <v>0</v>
      </c>
      <c r="U284">
        <f ca="1"/>
        <v>0</v>
      </c>
      <c r="V284">
        <f ca="1"/>
        <v>0.20963225610451275</v>
      </c>
      <c r="X284" s="2">
        <f t="shared" ca="1" si="29"/>
        <v>45660</v>
      </c>
      <c r="Y284">
        <f t="shared" ca="1" si="30"/>
        <v>0</v>
      </c>
      <c r="AA284" s="63">
        <f t="shared" ca="1" si="32"/>
        <v>24.360884544478864</v>
      </c>
      <c r="AB284" s="63">
        <f t="shared" ca="1" si="33"/>
        <v>24.360884544478864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45661</v>
      </c>
      <c r="K285">
        <f ca="1"/>
        <v>24.391923854362883</v>
      </c>
      <c r="L285">
        <f ca="1"/>
        <v>0.29946169338256556</v>
      </c>
      <c r="M285">
        <f ca="1"/>
        <v>5.4005598532960164E-2</v>
      </c>
      <c r="N285">
        <f ca="1"/>
        <v>0.55894973584081109</v>
      </c>
      <c r="O285">
        <f ca="1"/>
        <v>0</v>
      </c>
      <c r="P285">
        <f ca="1"/>
        <v>6.5583349517866365</v>
      </c>
      <c r="Q285">
        <f ca="1"/>
        <v>6.06858915993244</v>
      </c>
      <c r="R285">
        <f ca="1"/>
        <v>0</v>
      </c>
      <c r="S285">
        <f ca="1"/>
        <v>0.64690338393177793</v>
      </c>
      <c r="T285">
        <f ca="1"/>
        <v>0</v>
      </c>
      <c r="U285">
        <f ca="1"/>
        <v>0</v>
      </c>
      <c r="V285">
        <f ca="1"/>
        <v>0.23026822030508642</v>
      </c>
      <c r="X285" s="2">
        <f t="shared" ca="1" si="29"/>
        <v>45661</v>
      </c>
      <c r="Y285">
        <f t="shared" ca="1" si="30"/>
        <v>0</v>
      </c>
      <c r="AA285" s="63">
        <f t="shared" ca="1" si="32"/>
        <v>24.691385547745448</v>
      </c>
      <c r="AB285" s="63">
        <f t="shared" ca="1" si="33"/>
        <v>24.691385547745448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45662</v>
      </c>
      <c r="K286">
        <f ca="1"/>
        <v>24.659473495403113</v>
      </c>
      <c r="L286">
        <f ca="1"/>
        <v>0.3060617525982936</v>
      </c>
      <c r="M286">
        <f ca="1"/>
        <v>5.5996293421571863E-2</v>
      </c>
      <c r="N286">
        <f ca="1"/>
        <v>0.51761510021695201</v>
      </c>
      <c r="O286">
        <f ca="1"/>
        <v>0</v>
      </c>
      <c r="P286">
        <f ca="1"/>
        <v>6.8643967043849301</v>
      </c>
      <c r="Q286">
        <f ca="1"/>
        <v>6.3517956517847569</v>
      </c>
      <c r="R286">
        <f ca="1"/>
        <v>0</v>
      </c>
      <c r="S286">
        <f ca="1"/>
        <v>0.61255031013038286</v>
      </c>
      <c r="T286">
        <f ca="1"/>
        <v>0</v>
      </c>
      <c r="U286">
        <f ca="1"/>
        <v>0</v>
      </c>
      <c r="V286">
        <f ca="1"/>
        <v>0.25177239696958403</v>
      </c>
      <c r="X286" s="2">
        <f t="shared" ca="1" si="29"/>
        <v>45662</v>
      </c>
      <c r="Y286">
        <f t="shared" ca="1" si="30"/>
        <v>0</v>
      </c>
      <c r="AA286" s="63">
        <f t="shared" ca="1" si="32"/>
        <v>24.965535248001405</v>
      </c>
      <c r="AB286" s="63">
        <f t="shared" ca="1" si="33"/>
        <v>24.965535248001405</v>
      </c>
      <c r="AC286" s="3">
        <f t="shared" ca="1" si="34"/>
        <v>0</v>
      </c>
    </row>
    <row r="287" spans="8:29">
      <c r="H287" t="b">
        <f t="shared" ca="1" si="31"/>
        <v>0</v>
      </c>
      <c r="I287" t="b">
        <f t="shared" ca="1" si="28"/>
        <v>0</v>
      </c>
      <c r="J287" s="2">
        <f ca="1"/>
        <v>45663</v>
      </c>
      <c r="K287">
        <f ca="1"/>
        <v>24.899860308965469</v>
      </c>
      <c r="L287">
        <f ca="1"/>
        <v>0.32134546739836978</v>
      </c>
      <c r="M287">
        <f ca="1"/>
        <v>5.9477607867449933E-2</v>
      </c>
      <c r="N287">
        <f ca="1"/>
        <v>0.50225467309327509</v>
      </c>
      <c r="O287">
        <f ca="1"/>
        <v>0</v>
      </c>
      <c r="P287">
        <f ca="1"/>
        <v>7.1857421717832999</v>
      </c>
      <c r="Q287">
        <f ca="1"/>
        <v>6.6491445420722091</v>
      </c>
      <c r="R287">
        <f ca="1"/>
        <v>0</v>
      </c>
      <c r="S287">
        <f ca="1"/>
        <v>0.58540760418105031</v>
      </c>
      <c r="T287">
        <f ca="1"/>
        <v>0</v>
      </c>
      <c r="U287">
        <f ca="1"/>
        <v>0</v>
      </c>
      <c r="V287">
        <f ca="1"/>
        <v>0.27467458539197642</v>
      </c>
      <c r="X287" s="2">
        <f t="shared" ca="1" si="29"/>
        <v>45663</v>
      </c>
      <c r="Y287">
        <f t="shared" ca="1" si="30"/>
        <v>0</v>
      </c>
      <c r="AA287" s="63">
        <f t="shared" ca="1" si="32"/>
        <v>25.221205776363838</v>
      </c>
      <c r="AB287" s="63">
        <f t="shared" ca="1" si="33"/>
        <v>25.221205776363838</v>
      </c>
      <c r="AC287" s="3">
        <f t="shared" ca="1" si="34"/>
        <v>0</v>
      </c>
    </row>
    <row r="288" spans="8:29">
      <c r="H288" t="b">
        <f t="shared" ca="1" si="31"/>
        <v>0</v>
      </c>
      <c r="I288" t="b">
        <f t="shared" ca="1" si="28"/>
        <v>0</v>
      </c>
      <c r="J288" s="2">
        <f ca="1"/>
        <v>45664</v>
      </c>
      <c r="K288">
        <f ca="1"/>
        <v>25.121244690253732</v>
      </c>
      <c r="L288">
        <f ca="1"/>
        <v>0.34437766438244655</v>
      </c>
      <c r="M288">
        <f ca="1"/>
        <v>6.4338043962759883E-2</v>
      </c>
      <c r="N288">
        <f ca="1"/>
        <v>0.50142400170795121</v>
      </c>
      <c r="O288">
        <f ca="1"/>
        <v>0</v>
      </c>
      <c r="P288">
        <f ca="1"/>
        <v>7.5301198361657464</v>
      </c>
      <c r="Q288">
        <f ca="1"/>
        <v>6.9678056925559666</v>
      </c>
      <c r="R288">
        <f ca="1"/>
        <v>0</v>
      </c>
      <c r="S288">
        <f ca="1"/>
        <v>0.55925804034083437</v>
      </c>
      <c r="T288">
        <f ca="1"/>
        <v>0</v>
      </c>
      <c r="U288">
        <f ca="1"/>
        <v>0</v>
      </c>
      <c r="V288">
        <f ca="1"/>
        <v>0.29944239374042375</v>
      </c>
      <c r="X288" s="2">
        <f t="shared" ca="1" si="29"/>
        <v>45664</v>
      </c>
      <c r="Y288">
        <f t="shared" ca="1" si="30"/>
        <v>0</v>
      </c>
      <c r="AA288" s="63">
        <f t="shared" ca="1" si="32"/>
        <v>25.465622354636182</v>
      </c>
      <c r="AB288" s="63">
        <f t="shared" ca="1" si="33"/>
        <v>25.465622354636178</v>
      </c>
      <c r="AC288" s="3">
        <f t="shared" ca="1" si="34"/>
        <v>0</v>
      </c>
    </row>
    <row r="289" spans="8:29">
      <c r="H289" t="b">
        <f t="shared" ca="1" si="31"/>
        <v>0</v>
      </c>
      <c r="I289" t="b">
        <f t="shared" ca="1" si="28"/>
        <v>0</v>
      </c>
      <c r="J289" s="2">
        <f ca="1"/>
        <v>45665</v>
      </c>
      <c r="K289">
        <f ca="1"/>
        <v>25.332422228008763</v>
      </c>
      <c r="L289">
        <f ca="1"/>
        <v>0.36452714673923836</v>
      </c>
      <c r="M289">
        <f ca="1"/>
        <v>6.8107258264699766E-2</v>
      </c>
      <c r="N289">
        <f ca="1"/>
        <v>0.50759742622957071</v>
      </c>
      <c r="O289">
        <f ca="1"/>
        <v>0</v>
      </c>
      <c r="P289">
        <f ca="1"/>
        <v>7.8946469829049848</v>
      </c>
      <c r="Q289">
        <f ca="1"/>
        <v>7.3051116562594824</v>
      </c>
      <c r="R289">
        <f ca="1"/>
        <v>0</v>
      </c>
      <c r="S289">
        <f ca="1"/>
        <v>0.55667601035276204</v>
      </c>
      <c r="T289">
        <f ca="1"/>
        <v>0</v>
      </c>
      <c r="U289">
        <f ca="1"/>
        <v>0</v>
      </c>
      <c r="V289">
        <f ca="1"/>
        <v>0.3257485932860758</v>
      </c>
      <c r="X289" s="2">
        <f t="shared" ca="1" si="29"/>
        <v>45665</v>
      </c>
      <c r="Y289">
        <f t="shared" ca="1" si="30"/>
        <v>0</v>
      </c>
      <c r="AA289" s="63">
        <f t="shared" ca="1" si="32"/>
        <v>25.696949374748002</v>
      </c>
      <c r="AB289" s="63">
        <f t="shared" ca="1" si="33"/>
        <v>25.696949374748002</v>
      </c>
      <c r="AC289" s="3">
        <f t="shared" ca="1" si="34"/>
        <v>0</v>
      </c>
    </row>
    <row r="290" spans="8:29">
      <c r="H290" t="b">
        <f t="shared" ca="1" si="31"/>
        <v>0</v>
      </c>
      <c r="I290" t="b">
        <f t="shared" ca="1" si="28"/>
        <v>0</v>
      </c>
      <c r="J290" s="2">
        <f ca="1"/>
        <v>45666</v>
      </c>
      <c r="K290">
        <f ca="1"/>
        <v>25.534510343876921</v>
      </c>
      <c r="L290">
        <f ca="1"/>
        <v>0.38615560369235435</v>
      </c>
      <c r="M290">
        <f ca="1"/>
        <v>7.1764300656830926E-2</v>
      </c>
      <c r="N290">
        <f ca="1"/>
        <v>0.51647941890368021</v>
      </c>
      <c r="O290">
        <f ca="1"/>
        <v>0</v>
      </c>
      <c r="P290">
        <f ca="1"/>
        <v>8.2808025865973391</v>
      </c>
      <c r="Q290">
        <f ca="1"/>
        <v>7.6624309648709144</v>
      </c>
      <c r="R290">
        <f ca="1"/>
        <v>0</v>
      </c>
      <c r="S290">
        <f ca="1"/>
        <v>0.55745800806491774</v>
      </c>
      <c r="T290">
        <f ca="1"/>
        <v>0</v>
      </c>
      <c r="U290">
        <f ca="1"/>
        <v>0</v>
      </c>
      <c r="V290">
        <f ca="1"/>
        <v>0.3535354588845066</v>
      </c>
      <c r="X290" s="2">
        <f t="shared" ca="1" si="29"/>
        <v>45666</v>
      </c>
      <c r="Y290">
        <f t="shared" ca="1" si="30"/>
        <v>0</v>
      </c>
      <c r="AA290" s="63">
        <f t="shared" ca="1" si="32"/>
        <v>25.920665947569276</v>
      </c>
      <c r="AB290" s="63">
        <f t="shared" ca="1" si="33"/>
        <v>25.920665947569276</v>
      </c>
      <c r="AC290" s="3">
        <f t="shared" ca="1" si="34"/>
        <v>0</v>
      </c>
    </row>
    <row r="291" spans="8:29">
      <c r="H291" t="b">
        <f t="shared" ca="1" si="31"/>
        <v>0</v>
      </c>
      <c r="I291" t="b">
        <f t="shared" ca="1" si="28"/>
        <v>0</v>
      </c>
      <c r="J291" s="2">
        <f ca="1"/>
        <v>45667</v>
      </c>
      <c r="K291">
        <f ca="1"/>
        <v>25.692842570256886</v>
      </c>
      <c r="L291">
        <f ca="1"/>
        <v>0.40071542161146922</v>
      </c>
      <c r="M291">
        <f ca="1"/>
        <v>7.3278187947359186E-2</v>
      </c>
      <c r="N291">
        <f ca="1"/>
        <v>0.48576946004407368</v>
      </c>
      <c r="O291">
        <f ca="1"/>
        <v>0</v>
      </c>
      <c r="P291">
        <f ca="1"/>
        <v>8.6815180082088084</v>
      </c>
      <c r="Q291">
        <f ca="1"/>
        <v>8.0332228322711376</v>
      </c>
      <c r="R291">
        <f ca="1"/>
        <v>0</v>
      </c>
      <c r="S291">
        <f ca="1"/>
        <v>0.52016144042863832</v>
      </c>
      <c r="T291">
        <f ca="1"/>
        <v>0</v>
      </c>
      <c r="U291">
        <f ca="1"/>
        <v>0</v>
      </c>
      <c r="V291">
        <f ca="1"/>
        <v>0.38209686144004085</v>
      </c>
      <c r="X291" s="2">
        <f t="shared" ca="1" si="29"/>
        <v>45667</v>
      </c>
      <c r="Y291">
        <f t="shared" ca="1" si="30"/>
        <v>0</v>
      </c>
      <c r="AA291" s="63">
        <f t="shared" ca="1" si="32"/>
        <v>26.093557991868355</v>
      </c>
      <c r="AB291" s="63">
        <f t="shared" ca="1" si="33"/>
        <v>26.093557991868355</v>
      </c>
      <c r="AC291" s="3">
        <f t="shared" ca="1" si="34"/>
        <v>0</v>
      </c>
    </row>
    <row r="292" spans="8:29">
      <c r="H292" t="b">
        <f t="shared" ca="1" si="31"/>
        <v>0</v>
      </c>
      <c r="I292" t="b">
        <f t="shared" ca="1" si="28"/>
        <v>0</v>
      </c>
      <c r="J292" s="2">
        <f ca="1"/>
        <v>45668</v>
      </c>
      <c r="K292">
        <f ca="1"/>
        <v>25.806064418973715</v>
      </c>
      <c r="L292">
        <f ca="1"/>
        <v>0.41323203661423591</v>
      </c>
      <c r="M292">
        <f ca="1"/>
        <v>7.1671558921188705E-2</v>
      </c>
      <c r="N292">
        <f ca="1"/>
        <v>0.45478232640987493</v>
      </c>
      <c r="O292">
        <f ca="1"/>
        <v>0</v>
      </c>
      <c r="P292">
        <f ca="1"/>
        <v>9.0947500448230443</v>
      </c>
      <c r="Q292">
        <f ca="1"/>
        <v>8.4155966323849611</v>
      </c>
      <c r="R292">
        <f ca="1"/>
        <v>0</v>
      </c>
      <c r="S292">
        <f ca="1"/>
        <v>0.48479333017066689</v>
      </c>
      <c r="T292">
        <f ca="1"/>
        <v>0</v>
      </c>
      <c r="U292">
        <f ca="1"/>
        <v>0</v>
      </c>
      <c r="V292">
        <f ca="1"/>
        <v>0.41107765830364623</v>
      </c>
      <c r="X292" s="2">
        <f t="shared" ca="1" si="29"/>
        <v>45668</v>
      </c>
      <c r="Y292">
        <f t="shared" ca="1" si="30"/>
        <v>0</v>
      </c>
      <c r="AA292" s="63">
        <f t="shared" ca="1" si="32"/>
        <v>26.219296455587951</v>
      </c>
      <c r="AB292" s="63">
        <f t="shared" ca="1" si="33"/>
        <v>26.219296455587951</v>
      </c>
      <c r="AC292" s="3">
        <f t="shared" ca="1" si="34"/>
        <v>0</v>
      </c>
    </row>
    <row r="293" spans="8:29">
      <c r="H293" t="b">
        <f t="shared" ca="1" si="31"/>
        <v>0</v>
      </c>
      <c r="I293" t="b">
        <f t="shared" ca="1" si="28"/>
        <v>0</v>
      </c>
      <c r="J293" s="2">
        <f ca="1"/>
        <v>45669</v>
      </c>
      <c r="K293">
        <f ca="1"/>
        <v>25.87706183630775</v>
      </c>
      <c r="L293">
        <f ca="1"/>
        <v>0.43492889639856358</v>
      </c>
      <c r="M293">
        <f ca="1"/>
        <v>6.8307325685616149E-2</v>
      </c>
      <c r="N293">
        <f ca="1"/>
        <v>0.43761898804697985</v>
      </c>
      <c r="O293">
        <f ca="1"/>
        <v>0</v>
      </c>
      <c r="P293">
        <f ca="1"/>
        <v>9.5296789412216079</v>
      </c>
      <c r="Q293">
        <f ca="1"/>
        <v>8.8180470722342807</v>
      </c>
      <c r="R293">
        <f ca="1"/>
        <v>0</v>
      </c>
      <c r="S293">
        <f ca="1"/>
        <v>0.44833116824860586</v>
      </c>
      <c r="T293">
        <f ca="1"/>
        <v>0</v>
      </c>
      <c r="U293">
        <f ca="1"/>
        <v>0</v>
      </c>
      <c r="V293">
        <f ca="1"/>
        <v>0.44088586648532097</v>
      </c>
      <c r="X293" s="2">
        <f t="shared" ca="1" si="29"/>
        <v>45669</v>
      </c>
      <c r="Y293">
        <f t="shared" ca="1" si="30"/>
        <v>0</v>
      </c>
      <c r="AA293" s="63">
        <f t="shared" ca="1" si="32"/>
        <v>26.311990732706313</v>
      </c>
      <c r="AB293" s="63">
        <f t="shared" ca="1" si="33"/>
        <v>26.311990732706313</v>
      </c>
      <c r="AC293" s="3">
        <f t="shared" ca="1" si="34"/>
        <v>0</v>
      </c>
    </row>
    <row r="294" spans="8:29">
      <c r="H294" t="b">
        <f t="shared" ca="1" si="31"/>
        <v>0</v>
      </c>
      <c r="I294" t="b">
        <f t="shared" ca="1" si="28"/>
        <v>0</v>
      </c>
      <c r="J294" s="2">
        <f ca="1"/>
        <v>45670</v>
      </c>
      <c r="K294">
        <f ca="1"/>
        <v>25.940065716015692</v>
      </c>
      <c r="L294">
        <f ca="1"/>
        <v>0.45880691984723043</v>
      </c>
      <c r="M294">
        <f ca="1"/>
        <v>7.2196587439798066E-2</v>
      </c>
      <c r="N294">
        <f ca="1"/>
        <v>0.44961421211537561</v>
      </c>
      <c r="O294">
        <f ca="1"/>
        <v>0</v>
      </c>
      <c r="P294">
        <f ca="1"/>
        <v>9.9884858610688383</v>
      </c>
      <c r="Q294">
        <f ca="1"/>
        <v>9.2425924363786329</v>
      </c>
      <c r="R294">
        <f ca="1"/>
        <v>0</v>
      </c>
      <c r="S294">
        <f ca="1"/>
        <v>0.46002465644267393</v>
      </c>
      <c r="T294">
        <f ca="1"/>
        <v>0</v>
      </c>
      <c r="U294">
        <f ca="1"/>
        <v>0</v>
      </c>
      <c r="V294">
        <f ca="1"/>
        <v>0.47139192915212014</v>
      </c>
      <c r="X294" s="2">
        <f t="shared" ca="1" si="29"/>
        <v>45670</v>
      </c>
      <c r="Y294">
        <f t="shared" ca="1" si="30"/>
        <v>0</v>
      </c>
      <c r="AA294" s="63">
        <f t="shared" ca="1" si="32"/>
        <v>26.398872635862922</v>
      </c>
      <c r="AB294" s="63">
        <f t="shared" ca="1" si="33"/>
        <v>26.398872635862922</v>
      </c>
      <c r="AC294" s="3">
        <f t="shared" ca="1" si="34"/>
        <v>0</v>
      </c>
    </row>
    <row r="295" spans="8:29">
      <c r="H295" t="b">
        <f t="shared" ca="1" si="31"/>
        <v>0</v>
      </c>
      <c r="I295" t="b">
        <f t="shared" ca="1" si="28"/>
        <v>0</v>
      </c>
      <c r="J295" s="2">
        <f ca="1"/>
        <v>45671</v>
      </c>
      <c r="K295">
        <f ca="1"/>
        <v>25.971533393343829</v>
      </c>
      <c r="L295">
        <f ca="1"/>
        <v>0.48564253205847407</v>
      </c>
      <c r="M295">
        <f ca="1"/>
        <v>7.1371179612384594E-2</v>
      </c>
      <c r="N295">
        <f ca="1"/>
        <v>0.44573902977422836</v>
      </c>
      <c r="O295">
        <f ca="1"/>
        <v>0</v>
      </c>
      <c r="P295">
        <f ca="1"/>
        <v>10.474128393127312</v>
      </c>
      <c r="Q295">
        <f ca="1"/>
        <v>9.6919694546794926</v>
      </c>
      <c r="R295">
        <f ca="1"/>
        <v>0</v>
      </c>
      <c r="S295">
        <f ca="1"/>
        <v>0.44074539106034555</v>
      </c>
      <c r="T295">
        <f ca="1"/>
        <v>0</v>
      </c>
      <c r="U295">
        <f ca="1"/>
        <v>0</v>
      </c>
      <c r="V295">
        <f ca="1"/>
        <v>0.50247947685496808</v>
      </c>
      <c r="X295" s="2">
        <f t="shared" ca="1" si="29"/>
        <v>45671</v>
      </c>
      <c r="Y295">
        <f t="shared" ca="1" si="30"/>
        <v>0</v>
      </c>
      <c r="AA295" s="63">
        <f t="shared" ca="1" si="32"/>
        <v>26.457175925402304</v>
      </c>
      <c r="AB295" s="63">
        <f t="shared" ca="1" si="33"/>
        <v>26.457175925402304</v>
      </c>
      <c r="AC295" s="3">
        <f t="shared" ca="1" si="34"/>
        <v>0</v>
      </c>
    </row>
    <row r="296" spans="8:29">
      <c r="H296" t="b">
        <f t="shared" ca="1" si="31"/>
        <v>0</v>
      </c>
      <c r="I296" t="b">
        <f t="shared" ca="1" si="28"/>
        <v>0</v>
      </c>
      <c r="J296" s="2">
        <f ca="1"/>
        <v>45672</v>
      </c>
      <c r="K296">
        <f ca="1"/>
        <v>25.954624232622365</v>
      </c>
      <c r="L296">
        <f ca="1"/>
        <v>0.50718610111318618</v>
      </c>
      <c r="M296">
        <f ca="1"/>
        <v>6.6081480027545325E-2</v>
      </c>
      <c r="N296">
        <f ca="1"/>
        <v>0.4241954603641776</v>
      </c>
      <c r="O296">
        <f ca="1"/>
        <v>0</v>
      </c>
      <c r="P296">
        <f ca="1"/>
        <v>10.981314494240499</v>
      </c>
      <c r="Q296">
        <f ca="1"/>
        <v>10.161281269021242</v>
      </c>
      <c r="R296">
        <f ca="1"/>
        <v>0</v>
      </c>
      <c r="S296">
        <f ca="1"/>
        <v>0.40363337701609642</v>
      </c>
      <c r="T296">
        <f ca="1"/>
        <v>0</v>
      </c>
      <c r="U296">
        <f ca="1"/>
        <v>0</v>
      </c>
      <c r="V296">
        <f ca="1"/>
        <v>0.5334981404004866</v>
      </c>
      <c r="X296" s="2">
        <f t="shared" ca="1" si="29"/>
        <v>45672</v>
      </c>
      <c r="Y296">
        <f t="shared" ca="1" si="30"/>
        <v>0</v>
      </c>
      <c r="AA296" s="63">
        <f t="shared" ca="1" si="32"/>
        <v>26.461810333735553</v>
      </c>
      <c r="AB296" s="63">
        <f t="shared" ca="1" si="33"/>
        <v>26.461810333735549</v>
      </c>
      <c r="AC296" s="3">
        <f t="shared" ca="1" si="34"/>
        <v>0</v>
      </c>
    </row>
    <row r="297" spans="8:29">
      <c r="H297" t="b">
        <f t="shared" ca="1" si="31"/>
        <v>0</v>
      </c>
      <c r="I297" t="b">
        <f t="shared" ca="1" si="28"/>
        <v>0</v>
      </c>
      <c r="J297" s="2">
        <f ca="1"/>
        <v>45673</v>
      </c>
      <c r="K297">
        <f ca="1"/>
        <v>25.915718321649294</v>
      </c>
      <c r="L297">
        <f ca="1"/>
        <v>0.52981500184800545</v>
      </c>
      <c r="M297">
        <f ca="1"/>
        <v>6.6849441855918457E-2</v>
      </c>
      <c r="N297">
        <f ca="1"/>
        <v>0.42405964901901544</v>
      </c>
      <c r="O297">
        <f ca="1"/>
        <v>0</v>
      </c>
      <c r="P297">
        <f ca="1"/>
        <v>11.511129496088504</v>
      </c>
      <c r="Q297">
        <f ca="1"/>
        <v>10.651532163588389</v>
      </c>
      <c r="R297">
        <f ca="1"/>
        <v>0</v>
      </c>
      <c r="S297">
        <f ca="1"/>
        <v>0.40454851193723645</v>
      </c>
      <c r="T297">
        <f ca="1"/>
        <v>0</v>
      </c>
      <c r="U297">
        <f ca="1"/>
        <v>0</v>
      </c>
      <c r="V297">
        <f ca="1"/>
        <v>0.56422719205240346</v>
      </c>
      <c r="X297" s="2">
        <f t="shared" ca="1" si="29"/>
        <v>45673</v>
      </c>
      <c r="Y297">
        <f t="shared" ca="1" si="30"/>
        <v>0</v>
      </c>
      <c r="AA297" s="63">
        <f t="shared" ca="1" si="32"/>
        <v>26.445533323497298</v>
      </c>
      <c r="AB297" s="63">
        <f t="shared" ca="1" si="33"/>
        <v>26.445533323497301</v>
      </c>
      <c r="AC297" s="3">
        <f t="shared" ca="1" si="34"/>
        <v>0</v>
      </c>
    </row>
    <row r="298" spans="8:29">
      <c r="H298" t="b">
        <f t="shared" ca="1" si="31"/>
        <v>0</v>
      </c>
      <c r="I298" t="b">
        <f t="shared" ca="1" si="28"/>
        <v>0</v>
      </c>
      <c r="J298" s="2">
        <f ca="1"/>
        <v>45674</v>
      </c>
      <c r="K298">
        <f ca="1"/>
        <v>25.851145352597658</v>
      </c>
      <c r="L298">
        <f ca="1"/>
        <v>0.54722002872123454</v>
      </c>
      <c r="M298">
        <f ca="1"/>
        <v>6.6198026121789155E-2</v>
      </c>
      <c r="N298">
        <f ca="1"/>
        <v>0.41644903354781038</v>
      </c>
      <c r="O298">
        <f ca="1"/>
        <v>0</v>
      </c>
      <c r="P298">
        <f ca="1"/>
        <v>12.058349524809739</v>
      </c>
      <c r="Q298">
        <f ca="1"/>
        <v>11.157888358996024</v>
      </c>
      <c r="R298">
        <f ca="1"/>
        <v>0</v>
      </c>
      <c r="S298">
        <f ca="1"/>
        <v>0.40310816705136249</v>
      </c>
      <c r="T298">
        <f ca="1"/>
        <v>0</v>
      </c>
      <c r="U298">
        <f ca="1"/>
        <v>0</v>
      </c>
      <c r="V298">
        <f ca="1"/>
        <v>0.5941174411261676</v>
      </c>
      <c r="X298" s="2">
        <f t="shared" ca="1" si="29"/>
        <v>45674</v>
      </c>
      <c r="Y298">
        <f t="shared" ca="1" si="30"/>
        <v>0</v>
      </c>
      <c r="AA298" s="63">
        <f t="shared" ca="1" si="32"/>
        <v>26.398365381318893</v>
      </c>
      <c r="AB298" s="63">
        <f t="shared" ca="1" si="33"/>
        <v>26.398365381318893</v>
      </c>
      <c r="AC298" s="3">
        <f t="shared" ca="1" si="34"/>
        <v>0</v>
      </c>
    </row>
    <row r="299" spans="8:29">
      <c r="H299" t="b">
        <f t="shared" ca="1" si="31"/>
        <v>0</v>
      </c>
      <c r="I299" t="b">
        <f t="shared" ca="1" si="28"/>
        <v>0</v>
      </c>
      <c r="J299" s="2">
        <f ca="1"/>
        <v>45675</v>
      </c>
      <c r="K299">
        <f ca="1"/>
        <v>25.754108901319775</v>
      </c>
      <c r="L299">
        <f ca="1"/>
        <v>0.57324405656296662</v>
      </c>
      <c r="M299">
        <f ca="1"/>
        <v>6.4818174753462188E-2</v>
      </c>
      <c r="N299">
        <f ca="1"/>
        <v>0.41138943053162125</v>
      </c>
      <c r="O299">
        <f ca="1"/>
        <v>0</v>
      </c>
      <c r="P299">
        <f ca="1"/>
        <v>12.631593581372705</v>
      </c>
      <c r="Q299">
        <f ca="1"/>
        <v>11.688325229516952</v>
      </c>
      <c r="R299">
        <f ca="1"/>
        <v>0</v>
      </c>
      <c r="S299">
        <f ca="1"/>
        <v>0.39042774639903288</v>
      </c>
      <c r="T299">
        <f ca="1"/>
        <v>0</v>
      </c>
      <c r="U299">
        <f ca="1"/>
        <v>0</v>
      </c>
      <c r="V299">
        <f ca="1"/>
        <v>0.62340436606382965</v>
      </c>
      <c r="X299" s="2">
        <f t="shared" ca="1" si="29"/>
        <v>45675</v>
      </c>
      <c r="Y299">
        <f t="shared" ca="1" si="30"/>
        <v>0</v>
      </c>
      <c r="AA299" s="63">
        <f t="shared" ca="1" si="32"/>
        <v>26.327352957882741</v>
      </c>
      <c r="AB299" s="63">
        <f t="shared" ca="1" si="33"/>
        <v>26.327352957882741</v>
      </c>
      <c r="AC299" s="3">
        <f t="shared" ca="1" si="34"/>
        <v>0</v>
      </c>
    </row>
    <row r="300" spans="8:29">
      <c r="H300" t="b">
        <f t="shared" ca="1" si="31"/>
        <v>0</v>
      </c>
      <c r="I300" t="b">
        <f t="shared" ca="1" si="28"/>
        <v>0</v>
      </c>
      <c r="J300" s="2">
        <f ca="1"/>
        <v>45676</v>
      </c>
      <c r="K300">
        <f ca="1"/>
        <v>25.62616317587873</v>
      </c>
      <c r="L300">
        <f ca="1"/>
        <v>0.60837176213487787</v>
      </c>
      <c r="M300">
        <f ca="1"/>
        <v>6.4958853690463059E-2</v>
      </c>
      <c r="N300">
        <f ca="1"/>
        <v>0.4154671830033676</v>
      </c>
      <c r="O300">
        <f ca="1"/>
        <v>0</v>
      </c>
      <c r="P300">
        <f ca="1"/>
        <v>13.239965343507583</v>
      </c>
      <c r="Q300">
        <f ca="1"/>
        <v>12.251266632791108</v>
      </c>
      <c r="R300">
        <f ca="1"/>
        <v>0</v>
      </c>
      <c r="S300">
        <f ca="1"/>
        <v>0.38116601129285282</v>
      </c>
      <c r="T300">
        <f ca="1"/>
        <v>0</v>
      </c>
      <c r="U300">
        <f ca="1"/>
        <v>0</v>
      </c>
      <c r="V300">
        <f ca="1"/>
        <v>0.65225472797535933</v>
      </c>
      <c r="X300" s="2">
        <f t="shared" ca="1" si="29"/>
        <v>45676</v>
      </c>
      <c r="Y300">
        <f t="shared" ca="1" si="30"/>
        <v>0</v>
      </c>
      <c r="AA300" s="63">
        <f t="shared" ca="1" si="32"/>
        <v>26.234534938013606</v>
      </c>
      <c r="AB300" s="63">
        <f t="shared" ca="1" si="33"/>
        <v>26.23453493801361</v>
      </c>
      <c r="AC300" s="3">
        <f t="shared" ca="1" si="34"/>
        <v>0</v>
      </c>
    </row>
    <row r="301" spans="8:29">
      <c r="H301" t="b">
        <f t="shared" ca="1" si="31"/>
        <v>0</v>
      </c>
      <c r="I301" t="b">
        <f t="shared" ca="1" si="28"/>
        <v>0</v>
      </c>
      <c r="J301" s="2">
        <f ca="1"/>
        <v>45677</v>
      </c>
      <c r="K301">
        <f ca="1"/>
        <v>25.451994647160078</v>
      </c>
      <c r="L301">
        <f ca="1"/>
        <v>0.633288014395049</v>
      </c>
      <c r="M301">
        <f ca="1"/>
        <v>6.0079376032959431E-2</v>
      </c>
      <c r="N301">
        <f ca="1"/>
        <v>0.39904010964343606</v>
      </c>
      <c r="O301">
        <f ca="1"/>
        <v>0</v>
      </c>
      <c r="P301">
        <f ca="1"/>
        <v>13.873253357902632</v>
      </c>
      <c r="Q301">
        <f ca="1"/>
        <v>12.837263659098213</v>
      </c>
      <c r="R301">
        <f ca="1"/>
        <v>0</v>
      </c>
      <c r="S301">
        <f ca="1"/>
        <v>0.35256676913460061</v>
      </c>
      <c r="T301">
        <f ca="1"/>
        <v>0</v>
      </c>
      <c r="U301">
        <f ca="1"/>
        <v>0</v>
      </c>
      <c r="V301">
        <f ca="1"/>
        <v>0.67992786680300588</v>
      </c>
      <c r="X301" s="2">
        <f t="shared" ca="1" si="29"/>
        <v>45677</v>
      </c>
      <c r="Y301">
        <f t="shared" ca="1" si="30"/>
        <v>0</v>
      </c>
      <c r="AA301" s="63">
        <f t="shared" ca="1" si="32"/>
        <v>26.085282661555127</v>
      </c>
      <c r="AB301" s="63">
        <f t="shared" ca="1" si="33"/>
        <v>26.085282661555127</v>
      </c>
      <c r="AC301" s="3">
        <f t="shared" ca="1" si="34"/>
        <v>0</v>
      </c>
    </row>
    <row r="302" spans="8:29">
      <c r="H302" t="b">
        <f t="shared" ca="1" si="31"/>
        <v>0</v>
      </c>
      <c r="I302" t="b">
        <f t="shared" ca="1" si="28"/>
        <v>0</v>
      </c>
      <c r="J302" s="2">
        <f ca="1"/>
        <v>45678</v>
      </c>
      <c r="K302">
        <f ca="1"/>
        <v>25.330802870866798</v>
      </c>
      <c r="L302">
        <f ca="1"/>
        <v>0.66976956701581081</v>
      </c>
      <c r="M302">
        <f ca="1"/>
        <v>8.0834508206898192E-2</v>
      </c>
      <c r="N302">
        <f ca="1"/>
        <v>0.46774328251563274</v>
      </c>
      <c r="O302">
        <f ca="1"/>
        <v>0</v>
      </c>
      <c r="P302">
        <f ca="1"/>
        <v>14.543022924918443</v>
      </c>
      <c r="Q302">
        <f ca="1"/>
        <v>13.457017966239468</v>
      </c>
      <c r="R302">
        <f ca="1"/>
        <v>0</v>
      </c>
      <c r="S302">
        <f ca="1"/>
        <v>0.46493161679488976</v>
      </c>
      <c r="T302">
        <f ca="1"/>
        <v>0</v>
      </c>
      <c r="U302">
        <f ca="1"/>
        <v>0</v>
      </c>
      <c r="V302">
        <f ca="1"/>
        <v>0.70670772003114246</v>
      </c>
      <c r="X302" s="2">
        <f t="shared" ca="1" si="29"/>
        <v>45678</v>
      </c>
      <c r="Y302">
        <f t="shared" ca="1" si="30"/>
        <v>0</v>
      </c>
      <c r="AA302" s="63">
        <f t="shared" ca="1" si="32"/>
        <v>26.00057243788261</v>
      </c>
      <c r="AB302" s="63">
        <f t="shared" ca="1" si="33"/>
        <v>26.00057243788261</v>
      </c>
      <c r="AC302" s="3">
        <f t="shared" ca="1" si="34"/>
        <v>0</v>
      </c>
    </row>
    <row r="303" spans="8:29">
      <c r="H303" t="b">
        <f t="shared" ca="1" si="31"/>
        <v>0</v>
      </c>
      <c r="I303" t="b">
        <f t="shared" ca="1" si="28"/>
        <v>0</v>
      </c>
      <c r="J303" s="2">
        <f ca="1"/>
        <v>45679</v>
      </c>
      <c r="K303">
        <f ca="1"/>
        <v>25.190827086225948</v>
      </c>
      <c r="L303">
        <f ca="1"/>
        <v>0.7031154122786738</v>
      </c>
      <c r="M303">
        <f ca="1"/>
        <v>8.3981189786602073E-2</v>
      </c>
      <c r="N303">
        <f ca="1"/>
        <v>0.4791584378512222</v>
      </c>
      <c r="O303">
        <f ca="1"/>
        <v>0</v>
      </c>
      <c r="P303">
        <f ca="1"/>
        <v>15.246138337197117</v>
      </c>
      <c r="Q303">
        <f ca="1"/>
        <v>14.107628006822006</v>
      </c>
      <c r="R303">
        <f ca="1"/>
        <v>0</v>
      </c>
      <c r="S303">
        <f ca="1"/>
        <v>0.47838426257253974</v>
      </c>
      <c r="T303">
        <f ca="1"/>
        <v>0</v>
      </c>
      <c r="U303">
        <f ca="1"/>
        <v>0</v>
      </c>
      <c r="V303">
        <f ca="1"/>
        <v>0.73224722193187142</v>
      </c>
      <c r="X303" s="2">
        <f t="shared" ca="1" si="29"/>
        <v>45679</v>
      </c>
      <c r="Y303">
        <f t="shared" ca="1" si="30"/>
        <v>0</v>
      </c>
      <c r="AA303" s="63">
        <f t="shared" ca="1" si="32"/>
        <v>25.893942498504622</v>
      </c>
      <c r="AB303" s="63">
        <f t="shared" ca="1" si="33"/>
        <v>25.893942498504622</v>
      </c>
      <c r="AC303" s="3">
        <f t="shared" ca="1" si="34"/>
        <v>0</v>
      </c>
    </row>
    <row r="304" spans="8:29">
      <c r="H304" t="b">
        <f t="shared" ca="1" si="31"/>
        <v>0</v>
      </c>
      <c r="I304" t="b">
        <f t="shared" ca="1" si="28"/>
        <v>0</v>
      </c>
      <c r="J304" s="2">
        <f ca="1"/>
        <v>45680</v>
      </c>
      <c r="K304">
        <f ca="1"/>
        <v>25.009919829271077</v>
      </c>
      <c r="L304">
        <f ca="1"/>
        <v>0.7352549384152951</v>
      </c>
      <c r="M304">
        <f ca="1"/>
        <v>8.2105739004408207E-2</v>
      </c>
      <c r="N304">
        <f ca="1"/>
        <v>0.47224194245601558</v>
      </c>
      <c r="O304">
        <f ca="1"/>
        <v>0</v>
      </c>
      <c r="P304">
        <f ca="1"/>
        <v>15.981393275612412</v>
      </c>
      <c r="Q304">
        <f ca="1"/>
        <v>14.787977543992005</v>
      </c>
      <c r="R304">
        <f ca="1"/>
        <v>0</v>
      </c>
      <c r="S304">
        <f ca="1"/>
        <v>0.46611340594325884</v>
      </c>
      <c r="T304">
        <f ca="1"/>
        <v>0</v>
      </c>
      <c r="U304">
        <f ca="1"/>
        <v>0</v>
      </c>
      <c r="V304">
        <f ca="1"/>
        <v>0.75635413418541964</v>
      </c>
      <c r="X304" s="2">
        <f t="shared" ca="1" si="29"/>
        <v>45680</v>
      </c>
      <c r="Y304">
        <f t="shared" ca="1" si="30"/>
        <v>0</v>
      </c>
      <c r="AA304" s="63">
        <f t="shared" ca="1" si="32"/>
        <v>25.745174767686372</v>
      </c>
      <c r="AB304" s="63">
        <f t="shared" ca="1" si="33"/>
        <v>25.745174767686372</v>
      </c>
      <c r="AC304" s="3">
        <f t="shared" ca="1" si="34"/>
        <v>0</v>
      </c>
    </row>
    <row r="305" spans="8:29">
      <c r="H305" t="b">
        <f t="shared" ca="1" si="31"/>
        <v>0</v>
      </c>
      <c r="I305" t="b">
        <f t="shared" ca="1" si="28"/>
        <v>0</v>
      </c>
      <c r="J305" s="2">
        <f ca="1"/>
        <v>45681</v>
      </c>
      <c r="K305">
        <f ca="1"/>
        <v>24.803428619657538</v>
      </c>
      <c r="L305">
        <f ca="1"/>
        <v>0.76946182968240251</v>
      </c>
      <c r="M305">
        <f ca="1"/>
        <v>8.3932596794440428E-2</v>
      </c>
      <c r="N305">
        <f ca="1"/>
        <v>0.47903802327442435</v>
      </c>
      <c r="O305">
        <f ca="1"/>
        <v>0</v>
      </c>
      <c r="P305">
        <f ca="1"/>
        <v>16.750855105294814</v>
      </c>
      <c r="Q305">
        <f ca="1"/>
        <v>15.499979561717602</v>
      </c>
      <c r="R305">
        <f ca="1"/>
        <v>0</v>
      </c>
      <c r="S305">
        <f ca="1"/>
        <v>0.47484220277828998</v>
      </c>
      <c r="T305">
        <f ca="1"/>
        <v>0</v>
      </c>
      <c r="U305">
        <f ca="1"/>
        <v>0</v>
      </c>
      <c r="V305">
        <f ca="1"/>
        <v>0.7789916917976013</v>
      </c>
      <c r="X305" s="2">
        <f t="shared" ca="1" si="29"/>
        <v>45681</v>
      </c>
      <c r="Y305">
        <f t="shared" ca="1" si="30"/>
        <v>0</v>
      </c>
      <c r="AA305" s="63">
        <f t="shared" ca="1" si="32"/>
        <v>25.57289044933994</v>
      </c>
      <c r="AB305" s="63">
        <f t="shared" ca="1" si="33"/>
        <v>25.57289044933994</v>
      </c>
      <c r="AC305" s="3">
        <f t="shared" ca="1" si="34"/>
        <v>0</v>
      </c>
    </row>
    <row r="306" spans="8:29">
      <c r="H306" t="b">
        <f t="shared" ca="1" si="31"/>
        <v>0</v>
      </c>
      <c r="I306" t="b">
        <f t="shared" ca="1" si="28"/>
        <v>0</v>
      </c>
      <c r="J306" s="2">
        <f ca="1"/>
        <v>45682</v>
      </c>
      <c r="K306">
        <f ca="1"/>
        <v>24.573175135820509</v>
      </c>
      <c r="L306">
        <f ca="1"/>
        <v>0.81322223909265645</v>
      </c>
      <c r="M306">
        <f ca="1"/>
        <v>8.7554218493508529E-2</v>
      </c>
      <c r="N306">
        <f ca="1"/>
        <v>0.49541453676212077</v>
      </c>
      <c r="O306">
        <f ca="1"/>
        <v>0</v>
      </c>
      <c r="P306">
        <f ca="1"/>
        <v>17.564077344387471</v>
      </c>
      <c r="Q306">
        <f ca="1"/>
        <v>16.252474166072826</v>
      </c>
      <c r="R306">
        <f ca="1"/>
        <v>0</v>
      </c>
      <c r="S306">
        <f ca="1"/>
        <v>0.48778225746552067</v>
      </c>
      <c r="T306">
        <f ca="1"/>
        <v>0</v>
      </c>
      <c r="U306">
        <f ca="1"/>
        <v>0</v>
      </c>
      <c r="V306">
        <f ca="1"/>
        <v>0.800326793834645</v>
      </c>
      <c r="X306" s="2">
        <f t="shared" ca="1" si="29"/>
        <v>45682</v>
      </c>
      <c r="Y306">
        <f t="shared" ca="1" si="30"/>
        <v>0</v>
      </c>
      <c r="AA306" s="63">
        <f t="shared" ca="1" si="32"/>
        <v>25.386397374913166</v>
      </c>
      <c r="AB306" s="63">
        <f t="shared" ca="1" si="33"/>
        <v>25.386397374913166</v>
      </c>
      <c r="AC306" s="3">
        <f t="shared" ca="1" si="34"/>
        <v>0</v>
      </c>
    </row>
    <row r="307" spans="8:29">
      <c r="H307" t="b">
        <f t="shared" ca="1" si="31"/>
        <v>0</v>
      </c>
      <c r="I307" t="b">
        <f t="shared" ca="1" si="28"/>
        <v>0</v>
      </c>
      <c r="J307" s="2">
        <f ca="1"/>
        <v>45683</v>
      </c>
      <c r="K307">
        <f ca="1"/>
        <v>24.279773764883284</v>
      </c>
      <c r="L307">
        <f ca="1"/>
        <v>0.85452071481118708</v>
      </c>
      <c r="M307">
        <f ca="1"/>
        <v>8.2226923400185115E-2</v>
      </c>
      <c r="N307">
        <f ca="1"/>
        <v>0.478892420473777</v>
      </c>
      <c r="O307">
        <f ca="1"/>
        <v>0</v>
      </c>
      <c r="P307">
        <f ca="1"/>
        <v>18.418598059198658</v>
      </c>
      <c r="Q307">
        <f ca="1"/>
        <v>17.043183269063697</v>
      </c>
      <c r="R307">
        <f ca="1"/>
        <v>0</v>
      </c>
      <c r="S307">
        <f ca="1"/>
        <v>0.45510980265606943</v>
      </c>
      <c r="T307">
        <f ca="1"/>
        <v>0</v>
      </c>
      <c r="U307">
        <f ca="1"/>
        <v>0</v>
      </c>
      <c r="V307">
        <f ca="1"/>
        <v>0.82019589641185831</v>
      </c>
      <c r="X307" s="2">
        <f t="shared" ca="1" si="29"/>
        <v>45683</v>
      </c>
      <c r="Y307">
        <f t="shared" ca="1" si="30"/>
        <v>0</v>
      </c>
      <c r="AA307" s="63">
        <f t="shared" ca="1" si="32"/>
        <v>25.134294479694471</v>
      </c>
      <c r="AB307" s="63">
        <f t="shared" ca="1" si="33"/>
        <v>25.134294479694471</v>
      </c>
      <c r="AC307" s="3">
        <f t="shared" ca="1" si="34"/>
        <v>0</v>
      </c>
    </row>
    <row r="308" spans="8:29">
      <c r="H308" t="b">
        <f t="shared" ca="1" si="31"/>
        <v>0</v>
      </c>
      <c r="I308" t="b">
        <f t="shared" ca="1" si="28"/>
        <v>0</v>
      </c>
      <c r="J308" s="2">
        <f ca="1"/>
        <v>45684</v>
      </c>
      <c r="K308">
        <f ca="1"/>
        <v>23.948647642586678</v>
      </c>
      <c r="L308">
        <f ca="1"/>
        <v>0.87664826933208673</v>
      </c>
      <c r="M308">
        <f ca="1"/>
        <v>7.9650314343197692E-2</v>
      </c>
      <c r="N308">
        <f ca="1"/>
        <v>0.46587183269228361</v>
      </c>
      <c r="O308">
        <f ca="1"/>
        <v>0</v>
      </c>
      <c r="P308">
        <f ca="1"/>
        <v>19.295246328530745</v>
      </c>
      <c r="Q308">
        <f ca="1"/>
        <v>17.854367544257347</v>
      </c>
      <c r="R308">
        <f ca="1"/>
        <v>0</v>
      </c>
      <c r="S308">
        <f ca="1"/>
        <v>0.45227697232908326</v>
      </c>
      <c r="T308">
        <f ca="1"/>
        <v>0</v>
      </c>
      <c r="U308">
        <f ca="1"/>
        <v>0</v>
      </c>
      <c r="V308">
        <f ca="1"/>
        <v>0.83818900406068053</v>
      </c>
      <c r="X308" s="2">
        <f t="shared" ca="1" si="29"/>
        <v>45684</v>
      </c>
      <c r="Y308">
        <f t="shared" ca="1" si="30"/>
        <v>0</v>
      </c>
      <c r="AA308" s="63">
        <f t="shared" ca="1" si="32"/>
        <v>24.825295911918765</v>
      </c>
      <c r="AB308" s="63">
        <f t="shared" ca="1" si="33"/>
        <v>24.825295911918765</v>
      </c>
      <c r="AC308" s="3">
        <f t="shared" ca="1" si="34"/>
        <v>0</v>
      </c>
    </row>
    <row r="309" spans="8:29">
      <c r="H309" t="b">
        <f t="shared" ca="1" si="31"/>
        <v>0</v>
      </c>
      <c r="I309" t="b">
        <f t="shared" ca="1" si="28"/>
        <v>0</v>
      </c>
      <c r="J309" s="2">
        <f ca="1"/>
        <v>45685</v>
      </c>
      <c r="K309">
        <f ca="1"/>
        <v>23.564550670431668</v>
      </c>
      <c r="L309">
        <f ca="1"/>
        <v>0.9220145767677792</v>
      </c>
      <c r="M309">
        <f ca="1"/>
        <v>7.7140513481342765E-2</v>
      </c>
      <c r="N309">
        <f ca="1"/>
        <v>0.4607770911314259</v>
      </c>
      <c r="O309">
        <f ca="1"/>
        <v>0</v>
      </c>
      <c r="P309">
        <f ca="1"/>
        <v>20.217260905298524</v>
      </c>
      <c r="Q309">
        <f ca="1"/>
        <v>18.707530383149606</v>
      </c>
      <c r="R309">
        <f ca="1"/>
        <v>0</v>
      </c>
      <c r="S309">
        <f ca="1"/>
        <v>0.43473172378762681</v>
      </c>
      <c r="T309">
        <f ca="1"/>
        <v>0</v>
      </c>
      <c r="U309">
        <f ca="1"/>
        <v>0</v>
      </c>
      <c r="V309">
        <f ca="1"/>
        <v>0.85483279147202029</v>
      </c>
      <c r="X309" s="2">
        <f t="shared" ca="1" si="29"/>
        <v>45685</v>
      </c>
      <c r="Y309">
        <f t="shared" ca="1" si="30"/>
        <v>0</v>
      </c>
      <c r="AA309" s="63">
        <f t="shared" ca="1" si="32"/>
        <v>24.486565247199447</v>
      </c>
      <c r="AB309" s="63">
        <f t="shared" ca="1" si="33"/>
        <v>24.486565247199447</v>
      </c>
      <c r="AC309" s="3">
        <f t="shared" ca="1" si="34"/>
        <v>0</v>
      </c>
    </row>
    <row r="310" spans="8:29">
      <c r="H310" t="b">
        <f t="shared" ca="1" si="31"/>
        <v>0</v>
      </c>
      <c r="I310" t="b">
        <f t="shared" ca="1" si="28"/>
        <v>0</v>
      </c>
      <c r="J310" s="2">
        <f ca="1"/>
        <v>45686</v>
      </c>
      <c r="K310">
        <f ca="1"/>
        <v>23.130493488745874</v>
      </c>
      <c r="L310">
        <f ca="1"/>
        <v>0.97366455401611063</v>
      </c>
      <c r="M310">
        <f ca="1"/>
        <v>7.6405303772855149E-2</v>
      </c>
      <c r="N310">
        <f ca="1"/>
        <v>0.46320206855745966</v>
      </c>
      <c r="O310">
        <f ca="1"/>
        <v>0</v>
      </c>
      <c r="P310">
        <f ca="1"/>
        <v>21.190925459314634</v>
      </c>
      <c r="Q310">
        <f ca="1"/>
        <v>19.608486220469711</v>
      </c>
      <c r="R310">
        <f ca="1"/>
        <v>0</v>
      </c>
      <c r="S310">
        <f ca="1"/>
        <v>0.42530675228424664</v>
      </c>
      <c r="T310">
        <f ca="1"/>
        <v>0</v>
      </c>
      <c r="U310">
        <f ca="1"/>
        <v>0</v>
      </c>
      <c r="V310">
        <f ca="1"/>
        <v>0.87021070377757936</v>
      </c>
      <c r="X310" s="2">
        <f t="shared" ca="1" si="29"/>
        <v>45686</v>
      </c>
      <c r="Y310">
        <f t="shared" ca="1" si="30"/>
        <v>0</v>
      </c>
      <c r="AA310" s="63">
        <f t="shared" ca="1" si="32"/>
        <v>24.104158042761984</v>
      </c>
      <c r="AB310" s="63">
        <f t="shared" ca="1" si="33"/>
        <v>24.104158042761984</v>
      </c>
      <c r="AC310" s="3">
        <f t="shared" ca="1" si="34"/>
        <v>0</v>
      </c>
    </row>
    <row r="311" spans="8:29">
      <c r="H311" t="b">
        <f t="shared" ca="1" si="31"/>
        <v>0</v>
      </c>
      <c r="I311" t="b">
        <f t="shared" ca="1" si="28"/>
        <v>0</v>
      </c>
      <c r="J311" s="2">
        <f ca="1"/>
        <v>45687</v>
      </c>
      <c r="K311">
        <f ca="1"/>
        <v>22.659442322520668</v>
      </c>
      <c r="L311">
        <f ca="1"/>
        <v>1.0281127905244176</v>
      </c>
      <c r="M311">
        <f ca="1"/>
        <v>7.9253039355144494E-2</v>
      </c>
      <c r="N311">
        <f ca="1"/>
        <v>0.4778085849440693</v>
      </c>
      <c r="O311">
        <f ca="1"/>
        <v>0</v>
      </c>
      <c r="P311">
        <f ca="1"/>
        <v>22.219038249839052</v>
      </c>
      <c r="Q311">
        <f ca="1"/>
        <v>20.559824354558863</v>
      </c>
      <c r="R311">
        <f ca="1"/>
        <v>0</v>
      </c>
      <c r="S311">
        <f ca="1"/>
        <v>0.43612081076219478</v>
      </c>
      <c r="T311">
        <f ca="1"/>
        <v>0</v>
      </c>
      <c r="U311">
        <f ca="1"/>
        <v>0</v>
      </c>
      <c r="V311">
        <f ca="1"/>
        <v>0.88434389396958424</v>
      </c>
      <c r="X311" s="2">
        <f t="shared" ca="1" si="29"/>
        <v>45687</v>
      </c>
      <c r="Y311">
        <f t="shared" ca="1" si="30"/>
        <v>0</v>
      </c>
      <c r="AA311" s="63">
        <f t="shared" ca="1" si="32"/>
        <v>23.687555113045086</v>
      </c>
      <c r="AB311" s="63">
        <f t="shared" ca="1" si="33"/>
        <v>23.687555113045086</v>
      </c>
      <c r="AC311" s="3">
        <f t="shared" ca="1" si="34"/>
        <v>0</v>
      </c>
    </row>
    <row r="312" spans="8:29">
      <c r="H312" t="b">
        <f t="shared" ca="1" si="31"/>
        <v>0</v>
      </c>
      <c r="I312" t="b">
        <f t="shared" ca="1" si="28"/>
        <v>0</v>
      </c>
      <c r="J312" s="2">
        <f ca="1"/>
        <v>45688</v>
      </c>
      <c r="K312">
        <f ca="1"/>
        <v>22.147880306202406</v>
      </c>
      <c r="L312">
        <f ca="1"/>
        <v>1.0688217193473477</v>
      </c>
      <c r="M312">
        <f ca="1"/>
        <v>7.9140497339306393E-2</v>
      </c>
      <c r="N312">
        <f ca="1"/>
        <v>0.47811920568978089</v>
      </c>
      <c r="O312">
        <f ca="1"/>
        <v>0</v>
      </c>
      <c r="P312">
        <f ca="1"/>
        <v>23.2878599691864</v>
      </c>
      <c r="Q312">
        <f ca="1"/>
        <v>21.548831464993906</v>
      </c>
      <c r="R312">
        <f ca="1"/>
        <v>0</v>
      </c>
      <c r="S312">
        <f ca="1"/>
        <v>0.43996028709090784</v>
      </c>
      <c r="T312">
        <f ca="1"/>
        <v>0</v>
      </c>
      <c r="U312">
        <f ca="1"/>
        <v>0</v>
      </c>
      <c r="V312">
        <f ca="1"/>
        <v>0.89708313493134995</v>
      </c>
      <c r="X312" s="2">
        <f t="shared" ca="1" si="29"/>
        <v>45688</v>
      </c>
      <c r="Y312">
        <f t="shared" ca="1" si="30"/>
        <v>0</v>
      </c>
      <c r="AA312" s="63">
        <f t="shared" ca="1" si="32"/>
        <v>23.216702025549754</v>
      </c>
      <c r="AB312" s="63">
        <f t="shared" ca="1" si="33"/>
        <v>23.216702025549754</v>
      </c>
      <c r="AC312" s="3">
        <f t="shared" ca="1" si="34"/>
        <v>0</v>
      </c>
    </row>
    <row r="313" spans="8:29">
      <c r="H313" t="b">
        <f t="shared" ca="1" si="31"/>
        <v>0</v>
      </c>
      <c r="I313" t="b">
        <f t="shared" ca="1" si="28"/>
        <v>0</v>
      </c>
      <c r="J313" s="2">
        <f ca="1"/>
        <v>45689</v>
      </c>
      <c r="K313">
        <f ca="1"/>
        <v>21.567836093964679</v>
      </c>
      <c r="L313">
        <f ca="1"/>
        <v>1.1196736741251918</v>
      </c>
      <c r="M313">
        <f ca="1"/>
        <v>7.4336222542271457E-2</v>
      </c>
      <c r="N313">
        <f ca="1"/>
        <v>0.46529323934519262</v>
      </c>
      <c r="O313">
        <f ca="1"/>
        <v>0</v>
      </c>
      <c r="P313">
        <f ca="1"/>
        <v>24.407533643311591</v>
      </c>
      <c r="Q313">
        <f ca="1"/>
        <v>22.584893143973389</v>
      </c>
      <c r="R313">
        <f ca="1"/>
        <v>0</v>
      </c>
      <c r="S313">
        <f ca="1"/>
        <v>0.41310249447725361</v>
      </c>
      <c r="T313">
        <f ca="1"/>
        <v>0</v>
      </c>
      <c r="U313">
        <f ca="1"/>
        <v>0</v>
      </c>
      <c r="V313">
        <f ca="1"/>
        <v>0.90861957423435857</v>
      </c>
      <c r="X313" s="2">
        <f t="shared" ca="1" si="29"/>
        <v>45689</v>
      </c>
      <c r="Y313">
        <f t="shared" ca="1" si="30"/>
        <v>0</v>
      </c>
      <c r="AA313" s="63">
        <f t="shared" ca="1" si="32"/>
        <v>22.687509768089871</v>
      </c>
      <c r="AB313" s="63">
        <f t="shared" ca="1" si="33"/>
        <v>22.687509768089871</v>
      </c>
      <c r="AC313" s="3">
        <f t="shared" ca="1" si="34"/>
        <v>0</v>
      </c>
    </row>
    <row r="314" spans="8:29">
      <c r="H314" t="b">
        <f t="shared" ca="1" si="31"/>
        <v>0</v>
      </c>
      <c r="I314" t="b">
        <f t="shared" ca="1" si="28"/>
        <v>0</v>
      </c>
      <c r="J314" s="2">
        <f ca="1"/>
        <v>45690</v>
      </c>
      <c r="K314">
        <f ca="1"/>
        <v>20.969262537173474</v>
      </c>
      <c r="L314">
        <f ca="1"/>
        <v>1.1532659269612502</v>
      </c>
      <c r="M314">
        <f ca="1"/>
        <v>7.8136582443381286E-2</v>
      </c>
      <c r="N314">
        <f ca="1"/>
        <v>0.47655578772666257</v>
      </c>
      <c r="O314">
        <f ca="1"/>
        <v>0</v>
      </c>
      <c r="P314">
        <f ca="1"/>
        <v>25.560799570272842</v>
      </c>
      <c r="Q314">
        <f ca="1"/>
        <v>23.652038563401813</v>
      </c>
      <c r="R314">
        <f ca="1"/>
        <v>0</v>
      </c>
      <c r="S314">
        <f ca="1"/>
        <v>0.44409143268212709</v>
      </c>
      <c r="T314">
        <f ca="1"/>
        <v>0</v>
      </c>
      <c r="U314">
        <f ca="1"/>
        <v>0</v>
      </c>
      <c r="V314">
        <f ca="1"/>
        <v>0.91887047281510403</v>
      </c>
      <c r="X314" s="2">
        <f t="shared" ca="1" si="29"/>
        <v>45690</v>
      </c>
      <c r="Y314">
        <f t="shared" ca="1" si="30"/>
        <v>0</v>
      </c>
      <c r="AA314" s="63">
        <f t="shared" ca="1" si="32"/>
        <v>22.122528464134724</v>
      </c>
      <c r="AB314" s="63">
        <f t="shared" ca="1" si="33"/>
        <v>22.122528464134724</v>
      </c>
      <c r="AC314" s="3">
        <f t="shared" ca="1" si="34"/>
        <v>0</v>
      </c>
    </row>
    <row r="315" spans="8:29">
      <c r="H315" t="b">
        <f t="shared" ca="1" si="31"/>
        <v>0</v>
      </c>
      <c r="I315" t="b">
        <f t="shared" ca="1" si="28"/>
        <v>0</v>
      </c>
      <c r="J315" s="2">
        <f ca="1"/>
        <v>45691</v>
      </c>
      <c r="K315">
        <f ca="1"/>
        <v>20.306514344699671</v>
      </c>
      <c r="L315">
        <f ca="1"/>
        <v>1.1865298675837259</v>
      </c>
      <c r="M315">
        <f ca="1"/>
        <v>7.1475312374985833E-2</v>
      </c>
      <c r="N315">
        <f ca="1"/>
        <v>0.45230636273493741</v>
      </c>
      <c r="O315">
        <f ca="1"/>
        <v>0</v>
      </c>
      <c r="P315">
        <f ca="1"/>
        <v>26.747329437856568</v>
      </c>
      <c r="Q315">
        <f ca="1"/>
        <v>24.749963927886757</v>
      </c>
      <c r="R315">
        <f ca="1"/>
        <v>0</v>
      </c>
      <c r="S315">
        <f ca="1"/>
        <v>0.41567712853377681</v>
      </c>
      <c r="T315">
        <f ca="1"/>
        <v>0</v>
      </c>
      <c r="U315">
        <f ca="1"/>
        <v>0</v>
      </c>
      <c r="V315">
        <f ca="1"/>
        <v>0.92796460394816083</v>
      </c>
      <c r="X315" s="2">
        <f t="shared" ca="1" si="29"/>
        <v>45691</v>
      </c>
      <c r="Y315">
        <f t="shared" ca="1" si="30"/>
        <v>0</v>
      </c>
      <c r="AA315" s="63">
        <f t="shared" ca="1" si="32"/>
        <v>21.493044212283397</v>
      </c>
      <c r="AB315" s="63">
        <f t="shared" ca="1" si="33"/>
        <v>21.493044212283397</v>
      </c>
      <c r="AC315" s="3">
        <f t="shared" ca="1" si="34"/>
        <v>0</v>
      </c>
    </row>
    <row r="316" spans="8:29">
      <c r="H316" t="b">
        <f t="shared" ca="1" si="31"/>
        <v>0</v>
      </c>
      <c r="I316" t="b">
        <f t="shared" ca="1" si="28"/>
        <v>0</v>
      </c>
      <c r="J316" s="2">
        <f ca="1"/>
        <v>45692</v>
      </c>
      <c r="K316">
        <f ca="1"/>
        <v>19.64627912849047</v>
      </c>
      <c r="L316">
        <f ca="1"/>
        <v>1.1933697572475523</v>
      </c>
      <c r="M316">
        <f ca="1"/>
        <v>7.5222860272827319E-2</v>
      </c>
      <c r="N316">
        <f ca="1"/>
        <v>0.45791168076552352</v>
      </c>
      <c r="O316">
        <f ca="1"/>
        <v>0</v>
      </c>
      <c r="P316">
        <f ca="1"/>
        <v>27.94069919510412</v>
      </c>
      <c r="Q316">
        <f ca="1"/>
        <v>25.854218411054138</v>
      </c>
      <c r="R316">
        <f ca="1"/>
        <v>0</v>
      </c>
      <c r="S316">
        <f ca="1"/>
        <v>0.46044564666425858</v>
      </c>
      <c r="T316">
        <f ca="1"/>
        <v>0</v>
      </c>
      <c r="U316">
        <f ca="1"/>
        <v>0</v>
      </c>
      <c r="V316">
        <f ca="1"/>
        <v>0.93586281343062883</v>
      </c>
      <c r="X316" s="2">
        <f t="shared" ca="1" si="29"/>
        <v>45692</v>
      </c>
      <c r="Y316">
        <f t="shared" ca="1" si="30"/>
        <v>0</v>
      </c>
      <c r="AA316" s="63">
        <f t="shared" ca="1" si="32"/>
        <v>20.839648885738022</v>
      </c>
      <c r="AB316" s="63">
        <f t="shared" ca="1" si="33"/>
        <v>20.839648885738022</v>
      </c>
      <c r="AC316" s="3">
        <f t="shared" ca="1" si="34"/>
        <v>0</v>
      </c>
    </row>
    <row r="317" spans="8:29">
      <c r="H317" t="b">
        <f t="shared" ca="1" si="31"/>
        <v>0</v>
      </c>
      <c r="I317" t="b">
        <f t="shared" ca="1" si="28"/>
        <v>0</v>
      </c>
      <c r="J317" s="2">
        <f ca="1"/>
        <v>45693</v>
      </c>
      <c r="K317">
        <f ca="1"/>
        <v>18.922424121951551</v>
      </c>
      <c r="L317">
        <f ca="1"/>
        <v>1.2702792148035904</v>
      </c>
      <c r="M317">
        <f ca="1"/>
        <v>7.6043750474052985E-2</v>
      </c>
      <c r="N317">
        <f ca="1"/>
        <v>0.4703804577906186</v>
      </c>
      <c r="O317">
        <f ca="1"/>
        <v>0</v>
      </c>
      <c r="P317">
        <f ca="1"/>
        <v>29.21097840990771</v>
      </c>
      <c r="Q317">
        <f ca="1"/>
        <v>27.029639113063954</v>
      </c>
      <c r="R317">
        <f ca="1"/>
        <v>0</v>
      </c>
      <c r="S317">
        <f ca="1"/>
        <v>0.45466377044123579</v>
      </c>
      <c r="T317">
        <f ca="1"/>
        <v>0</v>
      </c>
      <c r="U317">
        <f ca="1"/>
        <v>0</v>
      </c>
      <c r="V317">
        <f ca="1"/>
        <v>0.94311643877517293</v>
      </c>
      <c r="X317" s="2">
        <f t="shared" ca="1" si="29"/>
        <v>45693</v>
      </c>
      <c r="Y317">
        <f t="shared" ca="1" si="30"/>
        <v>0</v>
      </c>
      <c r="AA317" s="63">
        <f t="shared" ca="1" si="32"/>
        <v>20.192703336755141</v>
      </c>
      <c r="AB317" s="63">
        <f t="shared" ca="1" si="33"/>
        <v>20.192703336755141</v>
      </c>
      <c r="AC317" s="3">
        <f t="shared" ca="1" si="34"/>
        <v>0</v>
      </c>
    </row>
    <row r="318" spans="8:29">
      <c r="H318" t="b">
        <f t="shared" ca="1" si="31"/>
        <v>0</v>
      </c>
      <c r="I318" t="b">
        <f t="shared" ca="1" si="28"/>
        <v>0</v>
      </c>
      <c r="J318" s="2">
        <f ca="1"/>
        <v>45694</v>
      </c>
      <c r="K318">
        <f ca="1"/>
        <v>18.122410578573355</v>
      </c>
      <c r="L318">
        <f ca="1"/>
        <v>1.3104466676035571</v>
      </c>
      <c r="M318">
        <f ca="1"/>
        <v>6.7994420628693319E-2</v>
      </c>
      <c r="N318">
        <f ca="1"/>
        <v>0.44243870359666881</v>
      </c>
      <c r="O318">
        <f ca="1"/>
        <v>0</v>
      </c>
      <c r="P318">
        <f ca="1"/>
        <v>30.521425077511267</v>
      </c>
      <c r="Q318">
        <f ca="1"/>
        <v>28.242227750294511</v>
      </c>
      <c r="R318">
        <f ca="1"/>
        <v>0</v>
      </c>
      <c r="S318">
        <f ca="1"/>
        <v>0.41373362776481287</v>
      </c>
      <c r="T318">
        <f ca="1"/>
        <v>0</v>
      </c>
      <c r="U318">
        <f ca="1"/>
        <v>0</v>
      </c>
      <c r="V318">
        <f ca="1"/>
        <v>0.94955562886214384</v>
      </c>
      <c r="X318" s="2">
        <f t="shared" ca="1" si="29"/>
        <v>45694</v>
      </c>
      <c r="Y318">
        <f t="shared" ca="1" si="30"/>
        <v>0</v>
      </c>
      <c r="AA318" s="63">
        <f t="shared" ca="1" si="32"/>
        <v>19.432857246176912</v>
      </c>
      <c r="AB318" s="63">
        <f t="shared" ca="1" si="33"/>
        <v>19.432857246176912</v>
      </c>
      <c r="AC318" s="3">
        <f t="shared" ca="1" si="34"/>
        <v>0</v>
      </c>
    </row>
    <row r="319" spans="8:29">
      <c r="H319" t="b">
        <f t="shared" ca="1" si="31"/>
        <v>0</v>
      </c>
      <c r="I319" t="b">
        <f t="shared" ca="1" si="28"/>
        <v>0</v>
      </c>
      <c r="J319" s="2">
        <f ca="1"/>
        <v>45695</v>
      </c>
      <c r="K319">
        <f ca="1"/>
        <v>17.24897798174495</v>
      </c>
      <c r="L319">
        <f ca="1"/>
        <v>1.3674021323203327</v>
      </c>
      <c r="M319">
        <f ca="1"/>
        <v>6.3338056123583897E-2</v>
      </c>
      <c r="N319">
        <f ca="1"/>
        <v>0.43063147936834584</v>
      </c>
      <c r="O319">
        <f ca="1"/>
        <v>0</v>
      </c>
      <c r="P319">
        <f ca="1"/>
        <v>31.8888272098316</v>
      </c>
      <c r="Q319">
        <f ca="1"/>
        <v>29.507518684422095</v>
      </c>
      <c r="R319">
        <f ca="1"/>
        <v>0</v>
      </c>
      <c r="S319">
        <f ca="1"/>
        <v>0.3858954930767684</v>
      </c>
      <c r="T319">
        <f ca="1"/>
        <v>0</v>
      </c>
      <c r="U319">
        <f ca="1"/>
        <v>0</v>
      </c>
      <c r="V319">
        <f ca="1"/>
        <v>0.95533172585378401</v>
      </c>
      <c r="X319" s="2">
        <f t="shared" ca="1" si="29"/>
        <v>45695</v>
      </c>
      <c r="Y319">
        <f t="shared" ca="1" si="30"/>
        <v>0</v>
      </c>
      <c r="AA319" s="63">
        <f t="shared" ca="1" si="32"/>
        <v>18.616380114065283</v>
      </c>
      <c r="AB319" s="63">
        <f t="shared" ca="1" si="33"/>
        <v>18.616380114065283</v>
      </c>
      <c r="AC319" s="3">
        <f t="shared" ca="1" si="34"/>
        <v>0</v>
      </c>
    </row>
    <row r="320" spans="8:29">
      <c r="H320" t="b">
        <f t="shared" ca="1" si="31"/>
        <v>0</v>
      </c>
      <c r="I320" t="b">
        <f t="shared" ca="1" si="28"/>
        <v>0</v>
      </c>
      <c r="J320" s="2">
        <f ca="1"/>
        <v>45696</v>
      </c>
      <c r="K320">
        <f ca="1"/>
        <v>16.324812307472147</v>
      </c>
      <c r="L320">
        <f ca="1"/>
        <v>1.4163902368056007</v>
      </c>
      <c r="M320">
        <f ca="1"/>
        <v>6.2576386146773189E-2</v>
      </c>
      <c r="N320">
        <f ca="1"/>
        <v>0.42964817638602459</v>
      </c>
      <c r="O320">
        <f ca="1"/>
        <v>0</v>
      </c>
      <c r="P320">
        <f ca="1"/>
        <v>33.305217446637201</v>
      </c>
      <c r="Q320">
        <f ca="1"/>
        <v>30.81813952042728</v>
      </c>
      <c r="R320">
        <f ca="1"/>
        <v>0</v>
      </c>
      <c r="S320">
        <f ca="1"/>
        <v>0.38522742766735119</v>
      </c>
      <c r="T320">
        <f ca="1"/>
        <v>0</v>
      </c>
      <c r="U320">
        <f ca="1"/>
        <v>0</v>
      </c>
      <c r="V320">
        <f ca="1"/>
        <v>0.96046890868720358</v>
      </c>
      <c r="X320" s="2">
        <f t="shared" ca="1" si="29"/>
        <v>45696</v>
      </c>
      <c r="Y320">
        <f t="shared" ca="1" si="30"/>
        <v>0</v>
      </c>
      <c r="AA320" s="63">
        <f t="shared" ca="1" si="32"/>
        <v>17.741202544277748</v>
      </c>
      <c r="AB320" s="63">
        <f t="shared" ca="1" si="33"/>
        <v>17.741202544277748</v>
      </c>
      <c r="AC320" s="3">
        <f t="shared" ca="1" si="34"/>
        <v>0</v>
      </c>
    </row>
    <row r="321" spans="8:29">
      <c r="H321" t="b">
        <f t="shared" ca="1" si="31"/>
        <v>0</v>
      </c>
      <c r="I321" t="b">
        <f t="shared" ca="1" si="28"/>
        <v>0</v>
      </c>
      <c r="J321" s="2">
        <f ca="1"/>
        <v>45697</v>
      </c>
      <c r="K321">
        <f ca="1"/>
        <v>15.330217592909509</v>
      </c>
      <c r="L321">
        <f ca="1"/>
        <v>1.4778137467609653</v>
      </c>
      <c r="M321">
        <f ca="1"/>
        <v>5.9509481548943199E-2</v>
      </c>
      <c r="N321">
        <f ca="1"/>
        <v>0.42370955064938587</v>
      </c>
      <c r="O321">
        <f ca="1"/>
        <v>0</v>
      </c>
      <c r="P321">
        <f ca="1"/>
        <v>34.783031193398166</v>
      </c>
      <c r="Q321">
        <f ca="1"/>
        <v>32.185597045839209</v>
      </c>
      <c r="R321">
        <f ca="1"/>
        <v>0</v>
      </c>
      <c r="S321">
        <f ca="1"/>
        <v>0.36638377872610589</v>
      </c>
      <c r="T321">
        <f ca="1"/>
        <v>0</v>
      </c>
      <c r="U321">
        <f ca="1"/>
        <v>0</v>
      </c>
      <c r="V321">
        <f ca="1"/>
        <v>0.96506610084774114</v>
      </c>
      <c r="X321" s="2">
        <f t="shared" ca="1" si="29"/>
        <v>45697</v>
      </c>
      <c r="Y321">
        <f t="shared" ca="1" si="30"/>
        <v>0</v>
      </c>
      <c r="AA321" s="63">
        <f t="shared" ca="1" si="32"/>
        <v>16.808031339670475</v>
      </c>
      <c r="AB321" s="63">
        <f t="shared" ca="1" si="33"/>
        <v>16.808031339670475</v>
      </c>
      <c r="AC321" s="3">
        <f t="shared" ca="1" si="34"/>
        <v>0</v>
      </c>
    </row>
    <row r="322" spans="8:29">
      <c r="H322" t="b">
        <f t="shared" ca="1" si="31"/>
        <v>0</v>
      </c>
      <c r="I322" t="b">
        <f t="shared" ca="1" si="28"/>
        <v>0</v>
      </c>
      <c r="J322" s="2">
        <f ca="1"/>
        <v>45698</v>
      </c>
      <c r="K322">
        <f ca="1"/>
        <v>14.258488132809694</v>
      </c>
      <c r="L322">
        <f ca="1"/>
        <v>1.5605297273664931</v>
      </c>
      <c r="M322">
        <f ca="1"/>
        <v>5.8871349440835274E-2</v>
      </c>
      <c r="N322">
        <f ca="1"/>
        <v>0.42992891782584164</v>
      </c>
      <c r="O322">
        <f ca="1"/>
        <v>0</v>
      </c>
      <c r="P322">
        <f ca="1"/>
        <v>36.343560920764659</v>
      </c>
      <c r="Q322">
        <f ca="1"/>
        <v>33.62959370914912</v>
      </c>
      <c r="R322">
        <f ca="1"/>
        <v>0</v>
      </c>
      <c r="S322">
        <f ca="1"/>
        <v>0.35654856873322366</v>
      </c>
      <c r="T322">
        <f ca="1"/>
        <v>0</v>
      </c>
      <c r="U322">
        <f ca="1"/>
        <v>0</v>
      </c>
      <c r="V322">
        <f ca="1"/>
        <v>0.96921944542066951</v>
      </c>
      <c r="X322" s="2">
        <f t="shared" ca="1" si="29"/>
        <v>45698</v>
      </c>
      <c r="Y322">
        <f t="shared" ca="1" si="30"/>
        <v>0</v>
      </c>
      <c r="AA322" s="63">
        <f t="shared" ca="1" si="32"/>
        <v>15.819017860176187</v>
      </c>
      <c r="AB322" s="63">
        <f t="shared" ca="1" si="33"/>
        <v>15.819017860176187</v>
      </c>
      <c r="AC322" s="3">
        <f t="shared" ca="1" si="34"/>
        <v>0</v>
      </c>
    </row>
    <row r="323" spans="8:29">
      <c r="H323" t="b">
        <f t="shared" ca="1" si="31"/>
        <v>0</v>
      </c>
      <c r="I323" t="b">
        <f t="shared" ca="1" si="28"/>
        <v>0</v>
      </c>
      <c r="J323" s="2">
        <f ca="1"/>
        <v>45699</v>
      </c>
      <c r="K323">
        <f ca="1"/>
        <v>13.125935242749957</v>
      </c>
      <c r="L323">
        <f ca="1"/>
        <v>1.6320964249563374</v>
      </c>
      <c r="M323">
        <f ca="1"/>
        <v>6.0182127412467423E-2</v>
      </c>
      <c r="N323">
        <f ca="1"/>
        <v>0.4393614074841326</v>
      </c>
      <c r="O323">
        <f ca="1"/>
        <v>0</v>
      </c>
      <c r="P323">
        <f ca="1"/>
        <v>37.975657345720997</v>
      </c>
      <c r="Q323">
        <f ca="1"/>
        <v>35.139812803670402</v>
      </c>
      <c r="R323">
        <f ca="1"/>
        <v>0</v>
      </c>
      <c r="S323">
        <f ca="1"/>
        <v>0.36320598305596646</v>
      </c>
      <c r="T323">
        <f ca="1"/>
        <v>0</v>
      </c>
      <c r="U323">
        <f ca="1"/>
        <v>0</v>
      </c>
      <c r="V323">
        <f ca="1"/>
        <v>0.97292621408323288</v>
      </c>
      <c r="X323" s="2">
        <f t="shared" ca="1" si="29"/>
        <v>45699</v>
      </c>
      <c r="Y323">
        <f t="shared" ca="1" si="30"/>
        <v>0</v>
      </c>
      <c r="AA323" s="63">
        <f t="shared" ca="1" si="32"/>
        <v>14.758031667706295</v>
      </c>
      <c r="AB323" s="63">
        <f t="shared" ca="1" si="33"/>
        <v>14.758031667706295</v>
      </c>
      <c r="AC323" s="3">
        <f t="shared" ca="1" si="34"/>
        <v>0</v>
      </c>
    </row>
    <row r="324" spans="8:29">
      <c r="H324" t="b">
        <f t="shared" ca="1" si="31"/>
        <v>0</v>
      </c>
      <c r="I324" t="b">
        <f t="shared" ca="1" si="28"/>
        <v>0</v>
      </c>
      <c r="J324" s="2">
        <f ca="1"/>
        <v>45700</v>
      </c>
      <c r="K324">
        <f ca="1"/>
        <v>11.946955575617963</v>
      </c>
      <c r="L324">
        <f ca="1"/>
        <v>1.6834989585223425</v>
      </c>
      <c r="M324">
        <f ca="1"/>
        <v>6.114560542442149E-2</v>
      </c>
      <c r="N324">
        <f ca="1"/>
        <v>0.44337368596592763</v>
      </c>
      <c r="O324">
        <f ca="1"/>
        <v>0</v>
      </c>
      <c r="P324">
        <f ca="1"/>
        <v>39.659156304243339</v>
      </c>
      <c r="Q324">
        <f ca="1"/>
        <v>36.697595930874513</v>
      </c>
      <c r="R324">
        <f ca="1"/>
        <v>0</v>
      </c>
      <c r="S324">
        <f ca="1"/>
        <v>0.37462609280703674</v>
      </c>
      <c r="T324">
        <f ca="1"/>
        <v>0</v>
      </c>
      <c r="U324">
        <f ca="1"/>
        <v>0</v>
      </c>
      <c r="V324">
        <f ca="1"/>
        <v>0.97618672031037979</v>
      </c>
      <c r="X324" s="2">
        <f t="shared" ca="1" si="29"/>
        <v>45700</v>
      </c>
      <c r="Y324">
        <f t="shared" ca="1" si="30"/>
        <v>0</v>
      </c>
      <c r="AA324" s="63">
        <f t="shared" ca="1" si="32"/>
        <v>13.630454534140306</v>
      </c>
      <c r="AB324" s="63">
        <f t="shared" ca="1" si="33"/>
        <v>13.630454534140306</v>
      </c>
      <c r="AC324" s="3">
        <f t="shared" ca="1" si="34"/>
        <v>0</v>
      </c>
    </row>
    <row r="325" spans="8:29">
      <c r="H325" t="b">
        <f t="shared" ca="1" si="31"/>
        <v>0</v>
      </c>
      <c r="I325" t="b">
        <f t="shared" ca="1" si="28"/>
        <v>0</v>
      </c>
      <c r="J325" s="2">
        <f ca="1"/>
        <v>45701</v>
      </c>
      <c r="K325">
        <f ca="1"/>
        <v>10.701865254583614</v>
      </c>
      <c r="L325">
        <f ca="1"/>
        <v>1.7232530639228827</v>
      </c>
      <c r="M325">
        <f ca="1"/>
        <v>5.5369735622225136E-2</v>
      </c>
      <c r="N325">
        <f ca="1"/>
        <v>0.42279300726630953</v>
      </c>
      <c r="O325">
        <f ca="1"/>
        <v>0</v>
      </c>
      <c r="P325">
        <f ca="1"/>
        <v>41.382409368166222</v>
      </c>
      <c r="Q325">
        <f ca="1"/>
        <v>38.292164512751214</v>
      </c>
      <c r="R325">
        <f ca="1"/>
        <v>0</v>
      </c>
      <c r="S325">
        <f ca="1"/>
        <v>0.34749601295266858</v>
      </c>
      <c r="T325">
        <f ca="1"/>
        <v>0</v>
      </c>
      <c r="U325">
        <f ca="1"/>
        <v>0</v>
      </c>
      <c r="V325">
        <f ca="1"/>
        <v>0.97903569091620557</v>
      </c>
      <c r="X325" s="2">
        <f t="shared" ca="1" si="29"/>
        <v>45701</v>
      </c>
      <c r="Y325">
        <f t="shared" ca="1" si="30"/>
        <v>0</v>
      </c>
      <c r="AA325" s="63">
        <f t="shared" ca="1" si="32"/>
        <v>12.425118318506497</v>
      </c>
      <c r="AB325" s="63">
        <f t="shared" ca="1" si="33"/>
        <v>12.425118318506497</v>
      </c>
      <c r="AC325" s="3">
        <f t="shared" ca="1" si="34"/>
        <v>0</v>
      </c>
    </row>
    <row r="326" spans="8:29">
      <c r="H326" t="b">
        <f t="shared" ca="1" si="31"/>
        <v>0</v>
      </c>
      <c r="I326" t="b">
        <f t="shared" ca="1" si="28"/>
        <v>0</v>
      </c>
      <c r="J326" s="2">
        <f ca="1"/>
        <v>45702</v>
      </c>
      <c r="K326">
        <f ca="1"/>
        <v>9.397695747360638</v>
      </c>
      <c r="L326">
        <f ca="1"/>
        <v>1.7820604229362971</v>
      </c>
      <c r="M326">
        <f ca="1"/>
        <v>5.4800850548101465E-2</v>
      </c>
      <c r="N326">
        <f ca="1"/>
        <v>0.42309006516521996</v>
      </c>
      <c r="O326">
        <f ca="1"/>
        <v>0</v>
      </c>
      <c r="P326">
        <f ca="1"/>
        <v>43.164469791102519</v>
      </c>
      <c r="Q326">
        <f ca="1"/>
        <v>39.941148995013691</v>
      </c>
      <c r="R326">
        <f ca="1"/>
        <v>0</v>
      </c>
      <c r="S326">
        <f ca="1"/>
        <v>0.34689170196210029</v>
      </c>
      <c r="T326">
        <f ca="1"/>
        <v>0</v>
      </c>
      <c r="U326">
        <f ca="1"/>
        <v>0</v>
      </c>
      <c r="V326">
        <f ca="1"/>
        <v>0.98155267059401097</v>
      </c>
      <c r="X326" s="2">
        <f t="shared" ca="1" si="29"/>
        <v>45702</v>
      </c>
      <c r="Y326">
        <f t="shared" ca="1" si="30"/>
        <v>0</v>
      </c>
      <c r="AA326" s="63">
        <f t="shared" ca="1" si="32"/>
        <v>11.179756170296935</v>
      </c>
      <c r="AB326" s="63">
        <f t="shared" ca="1" si="33"/>
        <v>11.179756170296935</v>
      </c>
      <c r="AC326" s="3">
        <f t="shared" ca="1" si="34"/>
        <v>0</v>
      </c>
    </row>
    <row r="327" spans="8:29">
      <c r="H327" t="b">
        <f t="shared" ca="1" si="31"/>
        <v>0</v>
      </c>
      <c r="I327" t="b">
        <f t="shared" ca="1" si="28"/>
        <v>0</v>
      </c>
      <c r="J327" s="2">
        <f ca="1"/>
        <v>45703</v>
      </c>
      <c r="K327">
        <f ca="1"/>
        <v>8.0610803647180607</v>
      </c>
      <c r="L327">
        <f ca="1"/>
        <v>1.8175377914793813</v>
      </c>
      <c r="M327">
        <f ca="1"/>
        <v>5.6008680759042306E-2</v>
      </c>
      <c r="N327">
        <f ca="1"/>
        <v>0.42491372807776101</v>
      </c>
      <c r="O327">
        <f ca="1"/>
        <v>0</v>
      </c>
      <c r="P327">
        <f ca="1"/>
        <v>44.9820075825819</v>
      </c>
      <c r="Q327">
        <f ca="1"/>
        <v>41.622961561804679</v>
      </c>
      <c r="R327">
        <f ca="1"/>
        <v>0</v>
      </c>
      <c r="S327">
        <f ca="1"/>
        <v>0.36398835543218006</v>
      </c>
      <c r="T327">
        <f ca="1"/>
        <v>0</v>
      </c>
      <c r="U327">
        <f ca="1"/>
        <v>0</v>
      </c>
      <c r="V327">
        <f ca="1"/>
        <v>0.98374799782763356</v>
      </c>
      <c r="X327" s="2">
        <f t="shared" ca="1" si="29"/>
        <v>45703</v>
      </c>
      <c r="Y327">
        <f t="shared" ca="1" si="30"/>
        <v>0</v>
      </c>
      <c r="AA327" s="63">
        <f t="shared" ca="1" si="32"/>
        <v>9.878618156197442</v>
      </c>
      <c r="AB327" s="63">
        <f t="shared" ca="1" si="33"/>
        <v>9.878618156197442</v>
      </c>
      <c r="AC327" s="3">
        <f t="shared" ca="1" si="34"/>
        <v>0</v>
      </c>
    </row>
    <row r="328" spans="8:29">
      <c r="H328" t="b">
        <f t="shared" ca="1" si="31"/>
        <v>0</v>
      </c>
      <c r="I328" t="b">
        <f t="shared" ca="1" si="28"/>
        <v>0</v>
      </c>
      <c r="J328" s="2">
        <f ca="1"/>
        <v>45704</v>
      </c>
      <c r="K328">
        <f ca="1"/>
        <v>6.6717008549813244</v>
      </c>
      <c r="L328">
        <f ca="1"/>
        <v>1.8639698014600228</v>
      </c>
      <c r="M328">
        <f ca="1"/>
        <v>5.4511628060389228E-2</v>
      </c>
      <c r="N328">
        <f ca="1"/>
        <v>0.42007866366289703</v>
      </c>
      <c r="O328">
        <f ca="1"/>
        <v>0</v>
      </c>
      <c r="P328">
        <f ca="1"/>
        <v>46.845977384041923</v>
      </c>
      <c r="Q328">
        <f ca="1"/>
        <v>43.347738813155686</v>
      </c>
      <c r="R328">
        <f ca="1"/>
        <v>0</v>
      </c>
      <c r="S328">
        <f ca="1"/>
        <v>0.36055114324352389</v>
      </c>
      <c r="T328">
        <f ca="1"/>
        <v>0</v>
      </c>
      <c r="U328">
        <f ca="1"/>
        <v>0</v>
      </c>
      <c r="V328">
        <f ca="1"/>
        <v>0.98567647994877539</v>
      </c>
      <c r="X328" s="2">
        <f t="shared" ca="1" si="29"/>
        <v>45704</v>
      </c>
      <c r="Y328">
        <f t="shared" ca="1" si="30"/>
        <v>0</v>
      </c>
      <c r="AA328" s="63">
        <f t="shared" ca="1" si="32"/>
        <v>8.5356706564413471</v>
      </c>
      <c r="AB328" s="63">
        <f t="shared" ca="1" si="33"/>
        <v>8.5356706564413471</v>
      </c>
      <c r="AC328" s="3">
        <f t="shared" ca="1" si="34"/>
        <v>0</v>
      </c>
    </row>
    <row r="329" spans="8:29">
      <c r="H329" t="b">
        <f t="shared" ca="1" si="31"/>
        <v>0</v>
      </c>
      <c r="I329" t="b">
        <f t="shared" ca="1" si="28"/>
        <v>0</v>
      </c>
      <c r="J329" s="2">
        <f ca="1"/>
        <v>45705</v>
      </c>
      <c r="K329">
        <f ca="1"/>
        <v>5.2570113354155001</v>
      </c>
      <c r="L329">
        <f ca="1"/>
        <v>1.9217126145757888</v>
      </c>
      <c r="M329">
        <f ca="1"/>
        <v>6.0990490978262812E-2</v>
      </c>
      <c r="N329">
        <f ca="1"/>
        <v>0.44603260403170147</v>
      </c>
      <c r="O329">
        <f ca="1"/>
        <v>0</v>
      </c>
      <c r="P329">
        <f ca="1"/>
        <v>48.767689998617712</v>
      </c>
      <c r="Q329">
        <f ca="1"/>
        <v>45.125946914305352</v>
      </c>
      <c r="R329">
        <f ca="1"/>
        <v>0</v>
      </c>
      <c r="S329">
        <f ca="1"/>
        <v>0.40751339730642694</v>
      </c>
      <c r="T329">
        <f ca="1"/>
        <v>0</v>
      </c>
      <c r="U329">
        <f ca="1"/>
        <v>0</v>
      </c>
      <c r="V329">
        <f ca="1"/>
        <v>0.98738072168461277</v>
      </c>
      <c r="X329" s="2">
        <f t="shared" ca="1" si="29"/>
        <v>45705</v>
      </c>
      <c r="Y329">
        <f t="shared" ca="1" si="30"/>
        <v>0</v>
      </c>
      <c r="AA329" s="63">
        <f t="shared" ca="1" si="32"/>
        <v>7.1787239499912889</v>
      </c>
      <c r="AB329" s="63">
        <f t="shared" ca="1" si="33"/>
        <v>7.1787239499912889</v>
      </c>
      <c r="AC329" s="3">
        <f t="shared" ca="1" si="34"/>
        <v>0</v>
      </c>
    </row>
    <row r="330" spans="8:29">
      <c r="H330" t="b">
        <f t="shared" ca="1" si="31"/>
        <v>0</v>
      </c>
      <c r="I330" t="b">
        <f t="shared" ca="1" si="28"/>
        <v>0</v>
      </c>
      <c r="J330" s="2">
        <f ca="1"/>
        <v>45706</v>
      </c>
      <c r="K330">
        <f ca="1"/>
        <v>3.7656246002882234</v>
      </c>
      <c r="L330">
        <f ca="1"/>
        <v>1.9920070250943311</v>
      </c>
      <c r="M330">
        <f ca="1"/>
        <v>5.8569973384599905E-2</v>
      </c>
      <c r="N330">
        <f ca="1"/>
        <v>0.44205031658245436</v>
      </c>
      <c r="O330">
        <f ca="1"/>
        <v>0</v>
      </c>
      <c r="P330">
        <f ca="1"/>
        <v>50.759697023712043</v>
      </c>
      <c r="Q330">
        <f ca="1"/>
        <v>46.969200168045241</v>
      </c>
      <c r="R330">
        <f ca="1"/>
        <v>0</v>
      </c>
      <c r="S330">
        <f ca="1"/>
        <v>0.39236365239650445</v>
      </c>
      <c r="T330">
        <f ca="1"/>
        <v>0</v>
      </c>
      <c r="U330">
        <f ca="1"/>
        <v>0</v>
      </c>
      <c r="V330">
        <f ca="1"/>
        <v>0.9888947201856223</v>
      </c>
      <c r="X330" s="2">
        <f t="shared" ca="1" si="29"/>
        <v>45706</v>
      </c>
      <c r="Y330">
        <f t="shared" ca="1" si="30"/>
        <v>0</v>
      </c>
      <c r="AA330" s="63">
        <f t="shared" ca="1" si="32"/>
        <v>5.7576316253825546</v>
      </c>
      <c r="AB330" s="63">
        <f t="shared" ca="1" si="33"/>
        <v>5.7576316253825546</v>
      </c>
      <c r="AC330" s="3">
        <f t="shared" ca="1" si="34"/>
        <v>0</v>
      </c>
    </row>
    <row r="331" spans="8:29">
      <c r="H331" t="b">
        <f t="shared" ca="1" si="31"/>
        <v>0</v>
      </c>
      <c r="I331" t="b">
        <f t="shared" ref="I331:I394" ca="1" si="35">AND(IF(J331&gt;($J$7-1),TRUE,FALSE),IF(J331&lt;($J$8+1),TRUE,FALSE))</f>
        <v>0</v>
      </c>
      <c r="J331" s="2">
        <f ca="1"/>
        <v>45707</v>
      </c>
      <c r="K331">
        <f ca="1"/>
        <v>2.2087242771642321</v>
      </c>
      <c r="L331">
        <f ca="1"/>
        <v>2.0482835147258882</v>
      </c>
      <c r="M331">
        <f ca="1"/>
        <v>5.6050965453259494E-2</v>
      </c>
      <c r="N331">
        <f ca="1"/>
        <v>0.43533222614863704</v>
      </c>
      <c r="O331">
        <f ca="1"/>
        <v>0</v>
      </c>
      <c r="P331">
        <f ca="1"/>
        <v>52.807980538437931</v>
      </c>
      <c r="Q331">
        <f ca="1"/>
        <v>48.864527446281848</v>
      </c>
      <c r="R331">
        <f ca="1"/>
        <v>0</v>
      </c>
      <c r="S331">
        <f ca="1"/>
        <v>0.38009321043530825</v>
      </c>
      <c r="T331">
        <f ca="1"/>
        <v>0</v>
      </c>
      <c r="U331">
        <f ca="1"/>
        <v>0</v>
      </c>
      <c r="V331">
        <f ca="1"/>
        <v>0.99022887417704553</v>
      </c>
      <c r="X331" s="2">
        <f t="shared" ref="X331:X394" ca="1" si="36">IFERROR(J331,$X$9)</f>
        <v>45707</v>
      </c>
      <c r="Y331">
        <f t="shared" ref="Y331:Y394" ca="1" si="37">IFERROR(O331,0)</f>
        <v>0</v>
      </c>
      <c r="AA331" s="63">
        <f t="shared" ca="1" si="32"/>
        <v>4.2570077918901204</v>
      </c>
      <c r="AB331" s="63">
        <f t="shared" ca="1" si="33"/>
        <v>4.2570077918901204</v>
      </c>
      <c r="AC331" s="3">
        <f t="shared" ca="1" si="34"/>
        <v>0</v>
      </c>
    </row>
    <row r="332" spans="8:29">
      <c r="H332" t="b">
        <f t="shared" ref="H332:H395" ca="1" si="38">IF(J332&lt;$J$8,TRUE,FALSE)</f>
        <v>0</v>
      </c>
      <c r="I332" t="b">
        <f t="shared" ca="1" si="35"/>
        <v>0</v>
      </c>
      <c r="J332" s="2">
        <f ca="1"/>
        <v>45708</v>
      </c>
      <c r="K332">
        <f ca="1"/>
        <v>0.61200004568666255</v>
      </c>
      <c r="L332">
        <f ca="1"/>
        <v>2.1140026066461033</v>
      </c>
      <c r="M332">
        <f ca="1"/>
        <v>6.0529429347141672E-2</v>
      </c>
      <c r="N332">
        <f ca="1"/>
        <v>0.45674894582139203</v>
      </c>
      <c r="O332">
        <f ca="1"/>
        <v>0</v>
      </c>
      <c r="P332">
        <f ca="1"/>
        <v>54.921983145084035</v>
      </c>
      <c r="Q332">
        <f ca="1"/>
        <v>50.82066622191217</v>
      </c>
      <c r="R332">
        <f ca="1"/>
        <v>0</v>
      </c>
      <c r="S332">
        <f ca="1"/>
        <v>0.4131612905255207</v>
      </c>
      <c r="T332">
        <f ca="1"/>
        <v>0</v>
      </c>
      <c r="U332">
        <f ca="1"/>
        <v>0</v>
      </c>
      <c r="V332">
        <f ca="1"/>
        <v>0.99140924682271603</v>
      </c>
      <c r="X332" s="2">
        <f t="shared" ca="1" si="36"/>
        <v>45708</v>
      </c>
      <c r="Y332">
        <f t="shared" ca="1" si="37"/>
        <v>0</v>
      </c>
      <c r="AA332" s="63">
        <f t="shared" ca="1" si="32"/>
        <v>2.7260026523327658</v>
      </c>
      <c r="AB332" s="63">
        <f t="shared" ca="1" si="33"/>
        <v>2.7260026523327658</v>
      </c>
      <c r="AC332" s="3">
        <f t="shared" ca="1" si="34"/>
        <v>0</v>
      </c>
    </row>
    <row r="333" spans="8:29">
      <c r="H333" t="b">
        <f t="shared" ca="1" si="38"/>
        <v>0</v>
      </c>
      <c r="I333" t="b">
        <f t="shared" ca="1" si="35"/>
        <v>0</v>
      </c>
      <c r="J333" s="2">
        <f ca="1"/>
        <v>45709</v>
      </c>
      <c r="K333">
        <f ca="1"/>
        <v>-1.0257766861401858</v>
      </c>
      <c r="L333">
        <f ca="1"/>
        <v>2.1618518980995987</v>
      </c>
      <c r="M333">
        <f ca="1"/>
        <v>6.1427098662043988E-2</v>
      </c>
      <c r="N333">
        <f ca="1"/>
        <v>0.46264806761070632</v>
      </c>
      <c r="O333">
        <f ca="1"/>
        <v>0</v>
      </c>
      <c r="P333">
        <f ca="1"/>
        <v>57.083835043183633</v>
      </c>
      <c r="Q333">
        <f ca="1"/>
        <v>52.821081127621213</v>
      </c>
      <c r="R333">
        <f ca="1"/>
        <v>0</v>
      </c>
      <c r="S333">
        <f ca="1"/>
        <v>0.42718509606629396</v>
      </c>
      <c r="T333">
        <f ca="1"/>
        <v>0</v>
      </c>
      <c r="U333">
        <f ca="1"/>
        <v>0</v>
      </c>
      <c r="V333">
        <f ca="1"/>
        <v>0.9924446205162486</v>
      </c>
      <c r="X333" s="2">
        <f t="shared" ca="1" si="36"/>
        <v>45709</v>
      </c>
      <c r="Y333">
        <f t="shared" ca="1" si="37"/>
        <v>0</v>
      </c>
      <c r="AA333" s="63">
        <f t="shared" ca="1" si="32"/>
        <v>1.1360752119594129</v>
      </c>
      <c r="AB333" s="63">
        <f t="shared" ca="1" si="33"/>
        <v>1.1360752119594129</v>
      </c>
      <c r="AC333" s="3">
        <f t="shared" ca="1" si="34"/>
        <v>0</v>
      </c>
    </row>
    <row r="334" spans="8:29">
      <c r="H334" t="b">
        <f t="shared" ca="1" si="38"/>
        <v>0</v>
      </c>
      <c r="I334" t="b">
        <f t="shared" ca="1" si="35"/>
        <v>0</v>
      </c>
      <c r="J334" s="2">
        <f ca="1"/>
        <v>45710</v>
      </c>
      <c r="K334">
        <f ca="1"/>
        <v>-2.7129637095642849</v>
      </c>
      <c r="L334">
        <f ca="1"/>
        <v>2.1921520505930872</v>
      </c>
      <c r="M334">
        <f ca="1"/>
        <v>5.766615177540757E-2</v>
      </c>
      <c r="N334">
        <f ca="1"/>
        <v>0.44729887539358071</v>
      </c>
      <c r="O334">
        <f ca="1"/>
        <v>0</v>
      </c>
      <c r="P334">
        <f ca="1"/>
        <v>59.27598709377672</v>
      </c>
      <c r="Q334">
        <f ca="1"/>
        <v>54.849533512098589</v>
      </c>
      <c r="R334">
        <f ca="1"/>
        <v>0</v>
      </c>
      <c r="S334">
        <f ca="1"/>
        <v>0.41260886453808571</v>
      </c>
      <c r="T334">
        <f ca="1"/>
        <v>0</v>
      </c>
      <c r="U334">
        <f ca="1"/>
        <v>0</v>
      </c>
      <c r="V334">
        <f ca="1"/>
        <v>0.99334680841133705</v>
      </c>
      <c r="X334" s="2">
        <f t="shared" ca="1" si="36"/>
        <v>45710</v>
      </c>
      <c r="Y334">
        <f t="shared" ca="1" si="37"/>
        <v>0</v>
      </c>
      <c r="AA334" s="63">
        <f t="shared" ca="1" si="32"/>
        <v>-0.52081165897119752</v>
      </c>
      <c r="AB334" s="63">
        <f t="shared" ca="1" si="33"/>
        <v>-0.52081165897119774</v>
      </c>
      <c r="AC334" s="3">
        <f t="shared" ca="1" si="34"/>
        <v>0</v>
      </c>
    </row>
    <row r="335" spans="8:29">
      <c r="H335" t="b">
        <f t="shared" ca="1" si="38"/>
        <v>0</v>
      </c>
      <c r="I335" t="b">
        <f t="shared" ca="1" si="35"/>
        <v>0</v>
      </c>
      <c r="J335" s="2">
        <f ca="1"/>
        <v>45711</v>
      </c>
      <c r="K335">
        <f ca="1"/>
        <v>-4.4416695208785768</v>
      </c>
      <c r="L335">
        <f ca="1"/>
        <v>2.2433694527801364</v>
      </c>
      <c r="M335">
        <f ca="1"/>
        <v>5.8922227023931129E-2</v>
      </c>
      <c r="N335">
        <f ca="1"/>
        <v>0.45574141444191363</v>
      </c>
      <c r="O335">
        <f ca="1"/>
        <v>0</v>
      </c>
      <c r="P335">
        <f ca="1"/>
        <v>61.519356546556857</v>
      </c>
      <c r="Q335">
        <f ca="1"/>
        <v>56.925378622625658</v>
      </c>
      <c r="R335">
        <f ca="1"/>
        <v>0</v>
      </c>
      <c r="S335">
        <f ca="1"/>
        <v>0.42785304622773229</v>
      </c>
      <c r="T335">
        <f ca="1"/>
        <v>0</v>
      </c>
      <c r="U335">
        <f ca="1"/>
        <v>0</v>
      </c>
      <c r="V335">
        <f ca="1"/>
        <v>0.99414151406853424</v>
      </c>
      <c r="X335" s="2">
        <f t="shared" ca="1" si="36"/>
        <v>45711</v>
      </c>
      <c r="Y335">
        <f t="shared" ca="1" si="37"/>
        <v>0</v>
      </c>
      <c r="AA335" s="63">
        <f t="shared" ca="1" si="32"/>
        <v>-2.1983000680984404</v>
      </c>
      <c r="AB335" s="63">
        <f t="shared" ca="1" si="33"/>
        <v>-2.1983000680984404</v>
      </c>
      <c r="AC335" s="3">
        <f t="shared" ca="1" si="34"/>
        <v>0</v>
      </c>
    </row>
    <row r="336" spans="8:29">
      <c r="H336" t="b">
        <f t="shared" ca="1" si="38"/>
        <v>0</v>
      </c>
      <c r="I336" t="b">
        <f t="shared" ca="1" si="35"/>
        <v>0</v>
      </c>
      <c r="J336" s="2">
        <f ca="1"/>
        <v>45712</v>
      </c>
      <c r="K336">
        <f ca="1"/>
        <v>-6.1938410144443363</v>
      </c>
      <c r="L336">
        <f ca="1"/>
        <v>2.2426807617860902</v>
      </c>
      <c r="M336">
        <f ca="1"/>
        <v>5.4952125733674251E-2</v>
      </c>
      <c r="N336">
        <f ca="1"/>
        <v>0.43555714248665611</v>
      </c>
      <c r="O336">
        <f ca="1"/>
        <v>0</v>
      </c>
      <c r="P336">
        <f ca="1"/>
        <v>63.762037308342947</v>
      </c>
      <c r="Q336">
        <f ca="1"/>
        <v>59.000586470382267</v>
      </c>
      <c r="R336">
        <f ca="1"/>
        <v>0</v>
      </c>
      <c r="S336">
        <f ca="1"/>
        <v>0.41694124378883896</v>
      </c>
      <c r="T336">
        <f ca="1"/>
        <v>0</v>
      </c>
      <c r="U336">
        <f ca="1"/>
        <v>0</v>
      </c>
      <c r="V336">
        <f ca="1"/>
        <v>0.99482707048304342</v>
      </c>
      <c r="X336" s="2">
        <f t="shared" ca="1" si="36"/>
        <v>45712</v>
      </c>
      <c r="Y336">
        <f t="shared" ca="1" si="37"/>
        <v>0</v>
      </c>
      <c r="AA336" s="63">
        <f t="shared" ref="AA336:AA399" ca="1" si="39">K335+M336+N336+O336</f>
        <v>-3.9511602526582466</v>
      </c>
      <c r="AB336" s="63">
        <f t="shared" ref="AB336:AB399" ca="1" si="40">K336+L336+R336</f>
        <v>-3.9511602526582461</v>
      </c>
      <c r="AC336" s="3">
        <f t="shared" ref="AC336:AC399" ca="1" si="41">AB336-AA336</f>
        <v>0</v>
      </c>
    </row>
    <row r="337" spans="8:29">
      <c r="H337" t="b">
        <f t="shared" ca="1" si="38"/>
        <v>0</v>
      </c>
      <c r="I337" t="b">
        <f t="shared" ca="1" si="35"/>
        <v>0</v>
      </c>
      <c r="J337" s="2">
        <f ca="1"/>
        <v>45713</v>
      </c>
      <c r="K337">
        <f ca="1"/>
        <v>-7.9644229808520288</v>
      </c>
      <c r="L337">
        <f ca="1"/>
        <v>2.2300451264476706</v>
      </c>
      <c r="M337">
        <f ca="1"/>
        <v>4.9900481938230712E-2</v>
      </c>
      <c r="N337">
        <f ca="1"/>
        <v>0.40956267810174718</v>
      </c>
      <c r="O337">
        <f ca="1"/>
        <v>0</v>
      </c>
      <c r="P337">
        <f ca="1"/>
        <v>65.992082434790618</v>
      </c>
      <c r="Q337">
        <f ca="1"/>
        <v>61.064102252971836</v>
      </c>
      <c r="R337">
        <f ca="1"/>
        <v>0</v>
      </c>
      <c r="S337">
        <f ca="1"/>
        <v>0.39696170105038669</v>
      </c>
      <c r="T337">
        <f ca="1"/>
        <v>0</v>
      </c>
      <c r="U337">
        <f ca="1"/>
        <v>0</v>
      </c>
      <c r="V337">
        <f ca="1"/>
        <v>0.99541791143526104</v>
      </c>
      <c r="X337" s="2">
        <f t="shared" ca="1" si="36"/>
        <v>45713</v>
      </c>
      <c r="Y337">
        <f t="shared" ca="1" si="37"/>
        <v>0</v>
      </c>
      <c r="AA337" s="63">
        <f t="shared" ca="1" si="39"/>
        <v>-5.7343778544043582</v>
      </c>
      <c r="AB337" s="63">
        <f t="shared" ca="1" si="40"/>
        <v>-5.7343778544043582</v>
      </c>
      <c r="AC337" s="3">
        <f t="shared" ca="1" si="41"/>
        <v>0</v>
      </c>
    </row>
    <row r="338" spans="8:29">
      <c r="H338" t="b">
        <f t="shared" ca="1" si="38"/>
        <v>0</v>
      </c>
      <c r="I338" t="b">
        <f t="shared" ca="1" si="35"/>
        <v>0</v>
      </c>
      <c r="J338" s="2">
        <f ca="1"/>
        <v>45714</v>
      </c>
      <c r="K338">
        <f ca="1"/>
        <v>-9.7911712552395151</v>
      </c>
      <c r="L338">
        <f ca="1"/>
        <v>2.2877639421955678</v>
      </c>
      <c r="M338">
        <f ca="1"/>
        <v>4.933270266053924E-2</v>
      </c>
      <c r="N338">
        <f ca="1"/>
        <v>0.41168296514754232</v>
      </c>
      <c r="O338">
        <f ca="1"/>
        <v>0</v>
      </c>
      <c r="P338">
        <f ca="1"/>
        <v>68.279846376986185</v>
      </c>
      <c r="Q338">
        <f ca="1"/>
        <v>63.181026680003455</v>
      </c>
      <c r="R338">
        <f ca="1"/>
        <v>0</v>
      </c>
      <c r="S338">
        <f ca="1"/>
        <v>0.39455189945889679</v>
      </c>
      <c r="T338">
        <f ca="1"/>
        <v>0</v>
      </c>
      <c r="U338">
        <f ca="1"/>
        <v>0</v>
      </c>
      <c r="V338">
        <f ca="1"/>
        <v>0.9959445031872568</v>
      </c>
      <c r="X338" s="2">
        <f t="shared" ca="1" si="36"/>
        <v>45714</v>
      </c>
      <c r="Y338">
        <f t="shared" ca="1" si="37"/>
        <v>0</v>
      </c>
      <c r="AA338" s="63">
        <f t="shared" ca="1" si="39"/>
        <v>-7.5034073130439474</v>
      </c>
      <c r="AB338" s="63">
        <f t="shared" ca="1" si="40"/>
        <v>-7.5034073130439474</v>
      </c>
      <c r="AC338" s="3">
        <f t="shared" ca="1" si="41"/>
        <v>0</v>
      </c>
    </row>
    <row r="339" spans="8:29">
      <c r="H339" t="b">
        <f t="shared" ca="1" si="38"/>
        <v>0</v>
      </c>
      <c r="I339" t="b">
        <f t="shared" ca="1" si="35"/>
        <v>0</v>
      </c>
      <c r="J339" s="2">
        <f ca="1"/>
        <v>45715</v>
      </c>
      <c r="K339">
        <f ca="1"/>
        <v>-11.678758654796537</v>
      </c>
      <c r="L339">
        <f ca="1"/>
        <v>2.3447681691841638</v>
      </c>
      <c r="M339">
        <f ca="1"/>
        <v>4.7718200119678755E-2</v>
      </c>
      <c r="N339">
        <f ca="1"/>
        <v>0.40946256950746224</v>
      </c>
      <c r="O339">
        <f ca="1"/>
        <v>0</v>
      </c>
      <c r="P339">
        <f ca="1"/>
        <v>70.624614546170349</v>
      </c>
      <c r="Q339">
        <f ca="1"/>
        <v>65.350698524865422</v>
      </c>
      <c r="R339">
        <f ca="1"/>
        <v>0</v>
      </c>
      <c r="S339">
        <f ca="1"/>
        <v>0.38370004634756671</v>
      </c>
      <c r="T339">
        <f ca="1"/>
        <v>0</v>
      </c>
      <c r="U339">
        <f ca="1"/>
        <v>0</v>
      </c>
      <c r="V339">
        <f ca="1"/>
        <v>0.99641341420349061</v>
      </c>
      <c r="X339" s="2">
        <f t="shared" ca="1" si="36"/>
        <v>45715</v>
      </c>
      <c r="Y339">
        <f t="shared" ca="1" si="37"/>
        <v>0</v>
      </c>
      <c r="AA339" s="63">
        <f t="shared" ca="1" si="39"/>
        <v>-9.3339904856123734</v>
      </c>
      <c r="AB339" s="63">
        <f t="shared" ca="1" si="40"/>
        <v>-9.3339904856123734</v>
      </c>
      <c r="AC339" s="3">
        <f t="shared" ca="1" si="41"/>
        <v>0</v>
      </c>
    </row>
    <row r="340" spans="8:29">
      <c r="H340" t="b">
        <f t="shared" ca="1" si="38"/>
        <v>0</v>
      </c>
      <c r="I340" t="b">
        <f t="shared" ca="1" si="35"/>
        <v>0</v>
      </c>
      <c r="J340" s="2">
        <f ca="1"/>
        <v>45716</v>
      </c>
      <c r="K340">
        <f ca="1"/>
        <v>-13.566228704042722</v>
      </c>
      <c r="L340">
        <f ca="1"/>
        <v>2.3514609624370451</v>
      </c>
      <c r="M340">
        <f ca="1"/>
        <v>4.9344096093882683E-2</v>
      </c>
      <c r="N340">
        <f ca="1"/>
        <v>0.41464681709697804</v>
      </c>
      <c r="O340">
        <f ca="1"/>
        <v>0</v>
      </c>
      <c r="P340">
        <f ca="1"/>
        <v>72.976075508607394</v>
      </c>
      <c r="Q340">
        <f ca="1"/>
        <v>67.526563376471131</v>
      </c>
      <c r="R340">
        <f ca="1"/>
        <v>0</v>
      </c>
      <c r="S340">
        <f ca="1"/>
        <v>0.40969591727992566</v>
      </c>
      <c r="T340">
        <f ca="1"/>
        <v>0</v>
      </c>
      <c r="U340">
        <f ca="1"/>
        <v>0</v>
      </c>
      <c r="V340">
        <f ca="1"/>
        <v>0.99682259033842235</v>
      </c>
      <c r="X340" s="2">
        <f t="shared" ca="1" si="36"/>
        <v>45716</v>
      </c>
      <c r="Y340">
        <f t="shared" ca="1" si="37"/>
        <v>0</v>
      </c>
      <c r="AA340" s="63">
        <f t="shared" ca="1" si="39"/>
        <v>-11.214767741605677</v>
      </c>
      <c r="AB340" s="63">
        <f t="shared" ca="1" si="40"/>
        <v>-11.214767741605677</v>
      </c>
      <c r="AC340" s="3">
        <f t="shared" ca="1" si="41"/>
        <v>0</v>
      </c>
    </row>
    <row r="341" spans="8:29">
      <c r="H341" t="b">
        <f t="shared" ca="1" si="38"/>
        <v>0</v>
      </c>
      <c r="I341" t="b">
        <f t="shared" ca="1" si="35"/>
        <v>0</v>
      </c>
      <c r="J341" s="2">
        <f ca="1"/>
        <v>45717</v>
      </c>
      <c r="K341">
        <f ca="1"/>
        <v>-15.474897136072428</v>
      </c>
      <c r="L341">
        <f ca="1"/>
        <v>2.3981769340148276</v>
      </c>
      <c r="M341">
        <f ca="1"/>
        <v>5.3173625502967781E-2</v>
      </c>
      <c r="N341">
        <f ca="1"/>
        <v>0.43633487648215386</v>
      </c>
      <c r="O341">
        <f ca="1"/>
        <v>0</v>
      </c>
      <c r="P341">
        <f ca="1"/>
        <v>75.374252442622222</v>
      </c>
      <c r="Q341">
        <f ca="1"/>
        <v>69.745655669309528</v>
      </c>
      <c r="R341">
        <f ca="1"/>
        <v>0</v>
      </c>
      <c r="S341">
        <f ca="1"/>
        <v>0.44605496201712397</v>
      </c>
      <c r="T341">
        <f ca="1"/>
        <v>0</v>
      </c>
      <c r="U341">
        <f ca="1"/>
        <v>0</v>
      </c>
      <c r="V341">
        <f ca="1"/>
        <v>0.99718633882537766</v>
      </c>
      <c r="X341" s="2">
        <f t="shared" ca="1" si="36"/>
        <v>45717</v>
      </c>
      <c r="Y341">
        <f t="shared" ca="1" si="37"/>
        <v>0</v>
      </c>
      <c r="AA341" s="63">
        <f t="shared" ca="1" si="39"/>
        <v>-13.076720202057601</v>
      </c>
      <c r="AB341" s="63">
        <f t="shared" ca="1" si="40"/>
        <v>-13.076720202057601</v>
      </c>
      <c r="AC341" s="3">
        <f t="shared" ca="1" si="41"/>
        <v>0</v>
      </c>
    </row>
    <row r="342" spans="8:29">
      <c r="H342" t="b">
        <f t="shared" ca="1" si="38"/>
        <v>0</v>
      </c>
      <c r="I342" t="b">
        <f t="shared" ca="1" si="35"/>
        <v>0</v>
      </c>
      <c r="J342" s="2">
        <f ca="1"/>
        <v>45718</v>
      </c>
      <c r="K342">
        <f ca="1"/>
        <v>-17.459166510486263</v>
      </c>
      <c r="L342">
        <f ca="1"/>
        <v>2.4875435804300849</v>
      </c>
      <c r="M342">
        <f ca="1"/>
        <v>5.3852409082399078E-2</v>
      </c>
      <c r="N342">
        <f ca="1"/>
        <v>0.44942179693385192</v>
      </c>
      <c r="O342">
        <f ca="1"/>
        <v>0</v>
      </c>
      <c r="P342">
        <f ca="1"/>
        <v>77.861796023052307</v>
      </c>
      <c r="Q342">
        <f ca="1"/>
        <v>72.047441125226982</v>
      </c>
      <c r="R342">
        <f ca="1"/>
        <v>0</v>
      </c>
      <c r="S342">
        <f ca="1"/>
        <v>0.44655726489750519</v>
      </c>
      <c r="T342">
        <f ca="1"/>
        <v>0</v>
      </c>
      <c r="U342">
        <f ca="1"/>
        <v>0</v>
      </c>
      <c r="V342">
        <f ca="1"/>
        <v>0.99751499645698216</v>
      </c>
      <c r="X342" s="2">
        <f t="shared" ca="1" si="36"/>
        <v>45718</v>
      </c>
      <c r="Y342">
        <f t="shared" ca="1" si="37"/>
        <v>0</v>
      </c>
      <c r="AA342" s="63">
        <f t="shared" ca="1" si="39"/>
        <v>-14.971622930056178</v>
      </c>
      <c r="AB342" s="63">
        <f t="shared" ca="1" si="40"/>
        <v>-14.971622930056178</v>
      </c>
      <c r="AC342" s="3">
        <f t="shared" ca="1" si="41"/>
        <v>0</v>
      </c>
    </row>
    <row r="343" spans="8:29">
      <c r="H343" t="b">
        <f t="shared" ca="1" si="38"/>
        <v>0</v>
      </c>
      <c r="I343" t="b">
        <f t="shared" ca="1" si="35"/>
        <v>0</v>
      </c>
      <c r="J343" s="2">
        <f ca="1"/>
        <v>45719</v>
      </c>
      <c r="K343">
        <f ca="1"/>
        <v>-19.471882404653982</v>
      </c>
      <c r="L343">
        <f ca="1"/>
        <v>2.5321695351340878</v>
      </c>
      <c r="M343">
        <f ca="1"/>
        <v>5.5686140309148868E-2</v>
      </c>
      <c r="N343">
        <f ca="1"/>
        <v>0.46376750065721822</v>
      </c>
      <c r="O343">
        <f ca="1"/>
        <v>0</v>
      </c>
      <c r="P343">
        <f ca="1"/>
        <v>80.393965558186395</v>
      </c>
      <c r="Q343">
        <f ca="1"/>
        <v>74.390520078191955</v>
      </c>
      <c r="R343">
        <f ca="1"/>
        <v>0</v>
      </c>
      <c r="S343">
        <f ca="1"/>
        <v>0.46739087709944577</v>
      </c>
      <c r="T343">
        <f ca="1"/>
        <v>0</v>
      </c>
      <c r="U343">
        <f ca="1"/>
        <v>0</v>
      </c>
      <c r="V343">
        <f ca="1"/>
        <v>0.99780622368043348</v>
      </c>
      <c r="X343" s="2">
        <f t="shared" ca="1" si="36"/>
        <v>45719</v>
      </c>
      <c r="Y343">
        <f t="shared" ca="1" si="37"/>
        <v>0</v>
      </c>
      <c r="AA343" s="63">
        <f t="shared" ca="1" si="39"/>
        <v>-16.939712869519894</v>
      </c>
      <c r="AB343" s="63">
        <f t="shared" ca="1" si="40"/>
        <v>-16.939712869519894</v>
      </c>
      <c r="AC343" s="3">
        <f t="shared" ca="1" si="41"/>
        <v>0</v>
      </c>
    </row>
    <row r="344" spans="8:29">
      <c r="H344" t="b">
        <f t="shared" ca="1" si="38"/>
        <v>0</v>
      </c>
      <c r="I344" t="b">
        <f t="shared" ca="1" si="35"/>
        <v>0</v>
      </c>
      <c r="J344" s="2">
        <f ca="1"/>
        <v>45720</v>
      </c>
      <c r="K344">
        <f ca="1"/>
        <v>-21.41162267298283</v>
      </c>
      <c r="L344">
        <f ca="1"/>
        <v>2.4659835870949678</v>
      </c>
      <c r="M344">
        <f ca="1"/>
        <v>5.5677013632045913E-2</v>
      </c>
      <c r="N344">
        <f ca="1"/>
        <v>0.47056630513407477</v>
      </c>
      <c r="O344">
        <f ca="1"/>
        <v>0</v>
      </c>
      <c r="P344">
        <f ca="1"/>
        <v>82.859949145281362</v>
      </c>
      <c r="Q344">
        <f ca="1"/>
        <v>76.672355540276598</v>
      </c>
      <c r="R344">
        <f ca="1"/>
        <v>0</v>
      </c>
      <c r="S344">
        <f ca="1"/>
        <v>0.51984889551819169</v>
      </c>
      <c r="T344">
        <f ca="1"/>
        <v>0</v>
      </c>
      <c r="U344">
        <f ca="1"/>
        <v>0</v>
      </c>
      <c r="V344">
        <f ca="1"/>
        <v>0.99805396713353267</v>
      </c>
      <c r="X344" s="2">
        <f t="shared" ca="1" si="36"/>
        <v>45720</v>
      </c>
      <c r="Y344">
        <f t="shared" ca="1" si="37"/>
        <v>0</v>
      </c>
      <c r="AA344" s="63">
        <f t="shared" ca="1" si="39"/>
        <v>-18.945639085887862</v>
      </c>
      <c r="AB344" s="63">
        <f t="shared" ca="1" si="40"/>
        <v>-18.945639085887862</v>
      </c>
      <c r="AC344" s="3">
        <f t="shared" ca="1" si="41"/>
        <v>0</v>
      </c>
    </row>
    <row r="345" spans="8:29">
      <c r="H345" t="b">
        <f t="shared" ca="1" si="38"/>
        <v>0</v>
      </c>
      <c r="I345" t="b">
        <f t="shared" ca="1" si="35"/>
        <v>0</v>
      </c>
      <c r="J345" s="2">
        <f ca="1"/>
        <v>45721</v>
      </c>
      <c r="K345">
        <f ca="1"/>
        <v>-23.376569618411942</v>
      </c>
      <c r="L345">
        <f ca="1"/>
        <v>2.484250459958659</v>
      </c>
      <c r="M345">
        <f ca="1"/>
        <v>5.4420239090891442E-2</v>
      </c>
      <c r="N345">
        <f ca="1"/>
        <v>0.4648832754386571</v>
      </c>
      <c r="O345">
        <f ca="1"/>
        <v>0</v>
      </c>
      <c r="P345">
        <f ca="1"/>
        <v>85.344199605240021</v>
      </c>
      <c r="Q345">
        <f ca="1"/>
        <v>78.971093790563017</v>
      </c>
      <c r="R345">
        <f ca="1"/>
        <v>0</v>
      </c>
      <c r="S345">
        <f ca="1"/>
        <v>0.51521055907479285</v>
      </c>
      <c r="T345">
        <f ca="1"/>
        <v>0</v>
      </c>
      <c r="U345">
        <f ca="1"/>
        <v>0</v>
      </c>
      <c r="V345">
        <f ca="1"/>
        <v>0.99827286290176964</v>
      </c>
      <c r="X345" s="2">
        <f t="shared" ca="1" si="36"/>
        <v>45721</v>
      </c>
      <c r="Y345">
        <f t="shared" ca="1" si="37"/>
        <v>0</v>
      </c>
      <c r="AA345" s="63">
        <f t="shared" ca="1" si="39"/>
        <v>-20.892319158453283</v>
      </c>
      <c r="AB345" s="63">
        <f t="shared" ca="1" si="40"/>
        <v>-20.892319158453283</v>
      </c>
      <c r="AC345" s="3">
        <f t="shared" ca="1" si="41"/>
        <v>0</v>
      </c>
    </row>
    <row r="346" spans="8:29">
      <c r="H346" t="b">
        <f t="shared" ca="1" si="38"/>
        <v>0</v>
      </c>
      <c r="I346" t="b">
        <f t="shared" ca="1" si="35"/>
        <v>0</v>
      </c>
      <c r="J346" s="2">
        <f ca="1"/>
        <v>45722</v>
      </c>
      <c r="K346">
        <f ca="1"/>
        <v>-25.416378460429812</v>
      </c>
      <c r="L346">
        <f ca="1"/>
        <v>2.568672307942478</v>
      </c>
      <c r="M346">
        <f ca="1"/>
        <v>5.5008577829227079E-2</v>
      </c>
      <c r="N346">
        <f ca="1"/>
        <v>0.47385488809538034</v>
      </c>
      <c r="O346">
        <f ca="1"/>
        <v>0</v>
      </c>
      <c r="P346">
        <f ca="1"/>
        <v>87.912871913182499</v>
      </c>
      <c r="Q346">
        <f ca="1"/>
        <v>81.347949659925362</v>
      </c>
      <c r="R346">
        <f ca="1"/>
        <v>0</v>
      </c>
      <c r="S346">
        <f ca="1"/>
        <v>0.50641112956995737</v>
      </c>
      <c r="T346">
        <f ca="1"/>
        <v>0</v>
      </c>
      <c r="U346">
        <f ca="1"/>
        <v>0</v>
      </c>
      <c r="V346">
        <f ca="1"/>
        <v>0.99847134784938185</v>
      </c>
      <c r="X346" s="2">
        <f t="shared" ca="1" si="36"/>
        <v>45722</v>
      </c>
      <c r="Y346">
        <f t="shared" ca="1" si="37"/>
        <v>0</v>
      </c>
      <c r="AA346" s="63">
        <f t="shared" ca="1" si="39"/>
        <v>-22.847706152487333</v>
      </c>
      <c r="AB346" s="63">
        <f t="shared" ca="1" si="40"/>
        <v>-22.847706152487333</v>
      </c>
      <c r="AC346" s="3">
        <f t="shared" ca="1" si="41"/>
        <v>0</v>
      </c>
    </row>
    <row r="347" spans="8:29">
      <c r="H347" t="b">
        <f t="shared" ca="1" si="38"/>
        <v>0</v>
      </c>
      <c r="I347" t="b">
        <f t="shared" ca="1" si="35"/>
        <v>0</v>
      </c>
      <c r="J347" s="2">
        <f ca="1"/>
        <v>45723</v>
      </c>
      <c r="K347">
        <f ca="1"/>
        <v>-27.421876645540753</v>
      </c>
      <c r="L347">
        <f ca="1"/>
        <v>2.5131397299573592</v>
      </c>
      <c r="M347">
        <f ca="1"/>
        <v>5.1947670360689813E-2</v>
      </c>
      <c r="N347">
        <f ca="1"/>
        <v>0.45569387448572718</v>
      </c>
      <c r="O347">
        <f ca="1"/>
        <v>0</v>
      </c>
      <c r="P347">
        <f ca="1"/>
        <v>90.426011643139859</v>
      </c>
      <c r="Q347">
        <f ca="1"/>
        <v>83.673419864593697</v>
      </c>
      <c r="R347">
        <f ca="1"/>
        <v>0</v>
      </c>
      <c r="S347">
        <f ca="1"/>
        <v>0.50924408613607952</v>
      </c>
      <c r="T347">
        <f ca="1"/>
        <v>0</v>
      </c>
      <c r="U347">
        <f ca="1"/>
        <v>0</v>
      </c>
      <c r="V347">
        <f ca="1"/>
        <v>0.99864191472328145</v>
      </c>
      <c r="X347" s="2">
        <f t="shared" ca="1" si="36"/>
        <v>45723</v>
      </c>
      <c r="Y347">
        <f t="shared" ca="1" si="37"/>
        <v>0</v>
      </c>
      <c r="AA347" s="63">
        <f t="shared" ca="1" si="39"/>
        <v>-24.908736915583393</v>
      </c>
      <c r="AB347" s="63">
        <f t="shared" ca="1" si="40"/>
        <v>-24.908736915583393</v>
      </c>
      <c r="AC347" s="3">
        <f t="shared" ca="1" si="41"/>
        <v>0</v>
      </c>
    </row>
    <row r="348" spans="8:29">
      <c r="H348" t="b">
        <f t="shared" ca="1" si="38"/>
        <v>0</v>
      </c>
      <c r="I348" t="b">
        <f t="shared" ca="1" si="35"/>
        <v>0</v>
      </c>
      <c r="J348" s="2">
        <f ca="1"/>
        <v>45724</v>
      </c>
      <c r="K348">
        <f ca="1"/>
        <v>-29.507603749239383</v>
      </c>
      <c r="L348">
        <f ca="1"/>
        <v>2.5844866622031191</v>
      </c>
      <c r="M348">
        <f ca="1"/>
        <v>4.9957118561010816E-2</v>
      </c>
      <c r="N348">
        <f ca="1"/>
        <v>0.4488024399434779</v>
      </c>
      <c r="O348">
        <f ca="1"/>
        <v>0</v>
      </c>
      <c r="P348">
        <f ca="1"/>
        <v>93.010498305342978</v>
      </c>
      <c r="Q348">
        <f ca="1"/>
        <v>86.064909146177754</v>
      </c>
      <c r="R348">
        <f ca="1"/>
        <v>0</v>
      </c>
      <c r="S348">
        <f ca="1"/>
        <v>0.47753568706951471</v>
      </c>
      <c r="T348">
        <f ca="1"/>
        <v>0</v>
      </c>
      <c r="U348">
        <f ca="1"/>
        <v>0</v>
      </c>
      <c r="V348">
        <f ca="1"/>
        <v>0.99879627851584907</v>
      </c>
      <c r="X348" s="2">
        <f t="shared" ca="1" si="36"/>
        <v>45724</v>
      </c>
      <c r="Y348">
        <f t="shared" ca="1" si="37"/>
        <v>0</v>
      </c>
      <c r="AA348" s="63">
        <f t="shared" ca="1" si="39"/>
        <v>-26.923117087036264</v>
      </c>
      <c r="AB348" s="63">
        <f t="shared" ca="1" si="40"/>
        <v>-26.923117087036264</v>
      </c>
      <c r="AC348" s="3">
        <f t="shared" ca="1" si="41"/>
        <v>0</v>
      </c>
    </row>
    <row r="349" spans="8:29">
      <c r="H349" t="b">
        <f t="shared" ca="1" si="38"/>
        <v>0</v>
      </c>
      <c r="I349" t="b">
        <f t="shared" ca="1" si="35"/>
        <v>0</v>
      </c>
      <c r="J349" s="2">
        <f ca="1"/>
        <v>45725</v>
      </c>
      <c r="K349">
        <f ca="1"/>
        <v>-31.630036765817415</v>
      </c>
      <c r="L349">
        <f ca="1"/>
        <v>2.638421902648858</v>
      </c>
      <c r="M349">
        <f ca="1"/>
        <v>5.1257317573462302E-2</v>
      </c>
      <c r="N349">
        <f ca="1"/>
        <v>0.46473156849736463</v>
      </c>
      <c r="O349">
        <f ca="1"/>
        <v>0</v>
      </c>
      <c r="P349">
        <f ca="1"/>
        <v>95.648920207991836</v>
      </c>
      <c r="Q349">
        <f ca="1"/>
        <v>88.50630603661584</v>
      </c>
      <c r="R349">
        <f ca="1"/>
        <v>0</v>
      </c>
      <c r="S349">
        <f ca="1"/>
        <v>0.49048875987427104</v>
      </c>
      <c r="T349">
        <f ca="1"/>
        <v>0</v>
      </c>
      <c r="U349">
        <f ca="1"/>
        <v>0</v>
      </c>
      <c r="V349">
        <f ca="1"/>
        <v>0.99893481776062187</v>
      </c>
      <c r="X349" s="2">
        <f t="shared" ca="1" si="36"/>
        <v>45725</v>
      </c>
      <c r="Y349">
        <f t="shared" ca="1" si="37"/>
        <v>0</v>
      </c>
      <c r="AA349" s="63">
        <f t="shared" ca="1" si="39"/>
        <v>-28.991614863168557</v>
      </c>
      <c r="AB349" s="63">
        <f t="shared" ca="1" si="40"/>
        <v>-28.991614863168557</v>
      </c>
      <c r="AC349" s="3">
        <f t="shared" ca="1" si="41"/>
        <v>0</v>
      </c>
    </row>
    <row r="350" spans="8:29">
      <c r="H350" t="b">
        <f t="shared" ca="1" si="38"/>
        <v>0</v>
      </c>
      <c r="I350" t="b">
        <f t="shared" ca="1" si="35"/>
        <v>0</v>
      </c>
      <c r="J350" s="2">
        <f ca="1"/>
        <v>45726</v>
      </c>
      <c r="K350">
        <f ca="1"/>
        <v>-33.75181342816213</v>
      </c>
      <c r="L350">
        <f ca="1"/>
        <v>2.6147740013062588</v>
      </c>
      <c r="M350">
        <f ca="1"/>
        <v>4.7708104622028458E-2</v>
      </c>
      <c r="N350">
        <f ca="1"/>
        <v>0.44528923433951723</v>
      </c>
      <c r="O350">
        <f ca="1"/>
        <v>0</v>
      </c>
      <c r="P350">
        <f ca="1"/>
        <v>98.263694209298095</v>
      </c>
      <c r="Q350">
        <f ca="1"/>
        <v>90.925820940421929</v>
      </c>
      <c r="R350">
        <f ca="1"/>
        <v>0</v>
      </c>
      <c r="S350">
        <f ca="1"/>
        <v>0.47381366760503085</v>
      </c>
      <c r="T350">
        <f ca="1"/>
        <v>0</v>
      </c>
      <c r="U350">
        <f ca="1"/>
        <v>0</v>
      </c>
      <c r="V350">
        <f ca="1"/>
        <v>0.99905566954465208</v>
      </c>
      <c r="X350" s="2">
        <f t="shared" ca="1" si="36"/>
        <v>45726</v>
      </c>
      <c r="Y350">
        <f t="shared" ca="1" si="37"/>
        <v>0</v>
      </c>
      <c r="AA350" s="63">
        <f t="shared" ca="1" si="39"/>
        <v>-31.137039426855871</v>
      </c>
      <c r="AB350" s="63">
        <f t="shared" ca="1" si="40"/>
        <v>-31.137039426855871</v>
      </c>
      <c r="AC350" s="3">
        <f t="shared" ca="1" si="41"/>
        <v>0</v>
      </c>
    </row>
    <row r="351" spans="8:29">
      <c r="H351" t="b">
        <f t="shared" ca="1" si="38"/>
        <v>0</v>
      </c>
      <c r="I351" t="b">
        <f t="shared" ca="1" si="35"/>
        <v>0</v>
      </c>
      <c r="J351" s="2">
        <f ca="1"/>
        <v>45727</v>
      </c>
      <c r="K351">
        <f ca="1"/>
        <v>-35.817080299087394</v>
      </c>
      <c r="L351">
        <f ca="1"/>
        <v>2.6035291148700992</v>
      </c>
      <c r="M351">
        <f ca="1"/>
        <v>4.8877797612377094E-2</v>
      </c>
      <c r="N351">
        <f ca="1"/>
        <v>0.4893844463324572</v>
      </c>
      <c r="O351">
        <f ca="1"/>
        <v>0</v>
      </c>
      <c r="P351">
        <f ca="1"/>
        <v>100.86722332416819</v>
      </c>
      <c r="Q351">
        <f ca="1"/>
        <v>93.334930673337439</v>
      </c>
      <c r="R351">
        <f ca="1"/>
        <v>0</v>
      </c>
      <c r="S351">
        <f ca="1"/>
        <v>0.55511048619114711</v>
      </c>
      <c r="T351">
        <f ca="1"/>
        <v>0</v>
      </c>
      <c r="U351">
        <f ca="1"/>
        <v>0</v>
      </c>
      <c r="V351">
        <f ca="1"/>
        <v>0.99916187381129395</v>
      </c>
      <c r="X351" s="2">
        <f t="shared" ca="1" si="36"/>
        <v>45727</v>
      </c>
      <c r="Y351">
        <f t="shared" ca="1" si="37"/>
        <v>0</v>
      </c>
      <c r="AA351" s="63">
        <f t="shared" ca="1" si="39"/>
        <v>-33.213551184217295</v>
      </c>
      <c r="AB351" s="63">
        <f t="shared" ca="1" si="40"/>
        <v>-33.213551184217295</v>
      </c>
      <c r="AC351" s="3">
        <f t="shared" ca="1" si="41"/>
        <v>0</v>
      </c>
    </row>
    <row r="352" spans="8:29">
      <c r="H352" t="b">
        <f t="shared" ca="1" si="38"/>
        <v>0</v>
      </c>
      <c r="I352" t="b">
        <f t="shared" ca="1" si="35"/>
        <v>0</v>
      </c>
      <c r="J352" s="2">
        <f ca="1"/>
        <v>45728</v>
      </c>
      <c r="K352">
        <f ca="1"/>
        <v>-37.911978404135006</v>
      </c>
      <c r="L352">
        <f ca="1"/>
        <v>2.6401662473284802</v>
      </c>
      <c r="M352">
        <f ca="1"/>
        <v>4.8588449095355202E-2</v>
      </c>
      <c r="N352">
        <f ca="1"/>
        <v>0.49667969318551469</v>
      </c>
      <c r="O352">
        <f ca="1"/>
        <v>0</v>
      </c>
      <c r="P352">
        <f ca="1"/>
        <v>103.50738957149667</v>
      </c>
      <c r="Q352">
        <f ca="1"/>
        <v>95.777941648949835</v>
      </c>
      <c r="R352">
        <f ca="1"/>
        <v>0</v>
      </c>
      <c r="S352">
        <f ca="1"/>
        <v>0.5560538820646419</v>
      </c>
      <c r="T352">
        <f ca="1"/>
        <v>0</v>
      </c>
      <c r="U352">
        <f ca="1"/>
        <v>0</v>
      </c>
      <c r="V352">
        <f ca="1"/>
        <v>0.99925703323199799</v>
      </c>
      <c r="X352" s="2">
        <f t="shared" ca="1" si="36"/>
        <v>45728</v>
      </c>
      <c r="Y352">
        <f t="shared" ca="1" si="37"/>
        <v>0</v>
      </c>
      <c r="AA352" s="63">
        <f t="shared" ca="1" si="39"/>
        <v>-35.271812156806526</v>
      </c>
      <c r="AB352" s="63">
        <f t="shared" ca="1" si="40"/>
        <v>-35.271812156806526</v>
      </c>
      <c r="AC352" s="3">
        <f t="shared" ca="1" si="41"/>
        <v>0</v>
      </c>
    </row>
    <row r="353" spans="8:29">
      <c r="H353" t="b">
        <f t="shared" ca="1" si="38"/>
        <v>0</v>
      </c>
      <c r="I353" t="b">
        <f t="shared" ca="1" si="35"/>
        <v>0</v>
      </c>
      <c r="J353" s="2">
        <f ca="1"/>
        <v>45729</v>
      </c>
      <c r="K353">
        <f ca="1"/>
        <v>-39.991383563100946</v>
      </c>
      <c r="L353">
        <f ca="1"/>
        <v>2.5935546536123155</v>
      </c>
      <c r="M353">
        <f ca="1"/>
        <v>4.6493458431648094E-2</v>
      </c>
      <c r="N353">
        <f ca="1"/>
        <v>0.46765603621472873</v>
      </c>
      <c r="O353">
        <f ca="1"/>
        <v>0</v>
      </c>
      <c r="P353">
        <f ca="1"/>
        <v>106.10094422510899</v>
      </c>
      <c r="Q353">
        <f ca="1"/>
        <v>98.17782176674045</v>
      </c>
      <c r="R353">
        <f ca="1"/>
        <v>0</v>
      </c>
      <c r="S353">
        <f ca="1"/>
        <v>0.5317219469752319</v>
      </c>
      <c r="T353">
        <f ca="1"/>
        <v>0</v>
      </c>
      <c r="U353">
        <f ca="1"/>
        <v>0</v>
      </c>
      <c r="V353">
        <f ca="1"/>
        <v>0.99933977167433707</v>
      </c>
      <c r="X353" s="2">
        <f t="shared" ca="1" si="36"/>
        <v>45729</v>
      </c>
      <c r="Y353">
        <f t="shared" ca="1" si="37"/>
        <v>0</v>
      </c>
      <c r="AA353" s="63">
        <f t="shared" ca="1" si="39"/>
        <v>-37.397828909488631</v>
      </c>
      <c r="AB353" s="63">
        <f t="shared" ca="1" si="40"/>
        <v>-37.397828909488631</v>
      </c>
      <c r="AC353" s="3">
        <f t="shared" ca="1" si="41"/>
        <v>0</v>
      </c>
    </row>
    <row r="354" spans="8:29">
      <c r="H354" t="b">
        <f t="shared" ca="1" si="38"/>
        <v>0</v>
      </c>
      <c r="I354" t="b">
        <f t="shared" ca="1" si="35"/>
        <v>0</v>
      </c>
      <c r="J354" s="2">
        <f ca="1"/>
        <v>45730</v>
      </c>
      <c r="K354">
        <f ca="1"/>
        <v>-42.087661354006791</v>
      </c>
      <c r="L354">
        <f ca="1"/>
        <v>2.5979126682707232</v>
      </c>
      <c r="M354">
        <f ca="1"/>
        <v>4.5649644536034373E-2</v>
      </c>
      <c r="N354">
        <f ca="1"/>
        <v>0.45598523282884368</v>
      </c>
      <c r="O354">
        <f ca="1"/>
        <v>0</v>
      </c>
      <c r="P354">
        <f ca="1"/>
        <v>108.69885689337971</v>
      </c>
      <c r="Q354">
        <f ca="1"/>
        <v>100.58173446302993</v>
      </c>
      <c r="R354">
        <f ca="1"/>
        <v>0</v>
      </c>
      <c r="S354">
        <f ca="1"/>
        <v>0.51260435771064916</v>
      </c>
      <c r="T354">
        <f ca="1"/>
        <v>0</v>
      </c>
      <c r="U354">
        <f ca="1"/>
        <v>0</v>
      </c>
      <c r="V354">
        <f ca="1"/>
        <v>0.99941330158835806</v>
      </c>
      <c r="X354" s="2">
        <f t="shared" ca="1" si="36"/>
        <v>45730</v>
      </c>
      <c r="Y354">
        <f t="shared" ca="1" si="37"/>
        <v>0</v>
      </c>
      <c r="AA354" s="63">
        <f t="shared" ca="1" si="39"/>
        <v>-39.489748685736068</v>
      </c>
      <c r="AB354" s="63">
        <f t="shared" ca="1" si="40"/>
        <v>-39.489748685736068</v>
      </c>
      <c r="AC354" s="3">
        <f t="shared" ca="1" si="41"/>
        <v>0</v>
      </c>
    </row>
    <row r="355" spans="8:29">
      <c r="H355" t="b">
        <f t="shared" ca="1" si="38"/>
        <v>0</v>
      </c>
      <c r="I355" t="b">
        <f t="shared" ca="1" si="35"/>
        <v>0</v>
      </c>
      <c r="J355" s="2">
        <f ca="1"/>
        <v>45731</v>
      </c>
      <c r="K355">
        <f ca="1"/>
        <v>-44.164139606084504</v>
      </c>
      <c r="L355">
        <f ca="1"/>
        <v>2.575933775498541</v>
      </c>
      <c r="M355">
        <f ca="1"/>
        <v>4.4326034539857062E-2</v>
      </c>
      <c r="N355">
        <f ca="1"/>
        <v>0.45512948888096799</v>
      </c>
      <c r="O355">
        <f ca="1"/>
        <v>0</v>
      </c>
      <c r="P355">
        <f ca="1"/>
        <v>111.27479066887825</v>
      </c>
      <c r="Q355">
        <f ca="1"/>
        <v>102.96530954750098</v>
      </c>
      <c r="R355">
        <f ca="1"/>
        <v>0</v>
      </c>
      <c r="S355">
        <f ca="1"/>
        <v>0.52040214222120662</v>
      </c>
      <c r="T355">
        <f ca="1"/>
        <v>0</v>
      </c>
      <c r="U355">
        <f ca="1"/>
        <v>0</v>
      </c>
      <c r="V355">
        <f ca="1"/>
        <v>0.99947809115626873</v>
      </c>
      <c r="X355" s="2">
        <f t="shared" ca="1" si="36"/>
        <v>45731</v>
      </c>
      <c r="Y355">
        <f t="shared" ca="1" si="37"/>
        <v>0</v>
      </c>
      <c r="AA355" s="63">
        <f t="shared" ca="1" si="39"/>
        <v>-41.588205830585963</v>
      </c>
      <c r="AB355" s="63">
        <f t="shared" ca="1" si="40"/>
        <v>-41.588205830585963</v>
      </c>
      <c r="AC355" s="3">
        <f t="shared" ca="1" si="41"/>
        <v>0</v>
      </c>
    </row>
    <row r="356" spans="8:29">
      <c r="H356" t="b">
        <f t="shared" ca="1" si="38"/>
        <v>0</v>
      </c>
      <c r="I356" t="b">
        <f t="shared" ca="1" si="35"/>
        <v>0</v>
      </c>
      <c r="J356" s="2">
        <f ca="1"/>
        <v>45732</v>
      </c>
      <c r="K356">
        <f ca="1"/>
        <v>-46.253548540357343</v>
      </c>
      <c r="L356">
        <f ca="1"/>
        <v>2.5950367305668891</v>
      </c>
      <c r="M356">
        <f ca="1"/>
        <v>4.3940776886472577E-2</v>
      </c>
      <c r="N356">
        <f ca="1"/>
        <v>0.46168701940757823</v>
      </c>
      <c r="O356">
        <f ca="1"/>
        <v>0</v>
      </c>
      <c r="P356">
        <f ca="1"/>
        <v>113.86982739944514</v>
      </c>
      <c r="Q356">
        <f ca="1"/>
        <v>105.36656106766839</v>
      </c>
      <c r="R356">
        <f ca="1"/>
        <v>0</v>
      </c>
      <c r="S356">
        <f ca="1"/>
        <v>0.52316266217335339</v>
      </c>
      <c r="T356">
        <f ca="1"/>
        <v>0</v>
      </c>
      <c r="U356">
        <f ca="1"/>
        <v>0</v>
      </c>
      <c r="V356">
        <f ca="1"/>
        <v>0.99953616176837334</v>
      </c>
      <c r="X356" s="2">
        <f t="shared" ca="1" si="36"/>
        <v>45732</v>
      </c>
      <c r="Y356">
        <f t="shared" ca="1" si="37"/>
        <v>0</v>
      </c>
      <c r="AA356" s="63">
        <f t="shared" ca="1" si="39"/>
        <v>-43.658511809790454</v>
      </c>
      <c r="AB356" s="63">
        <f t="shared" ca="1" si="40"/>
        <v>-43.658511809790454</v>
      </c>
      <c r="AC356" s="3">
        <f t="shared" ca="1" si="41"/>
        <v>0</v>
      </c>
    </row>
    <row r="357" spans="8:29">
      <c r="H357" t="b">
        <f t="shared" ca="1" si="38"/>
        <v>0</v>
      </c>
      <c r="I357" t="b">
        <f t="shared" ca="1" si="35"/>
        <v>0</v>
      </c>
      <c r="J357" s="2">
        <f ca="1"/>
        <v>45733</v>
      </c>
      <c r="K357">
        <f ca="1"/>
        <v>-48.33963074009587</v>
      </c>
      <c r="L357">
        <f ca="1"/>
        <v>2.5878221935854384</v>
      </c>
      <c r="M357">
        <f ca="1"/>
        <v>4.3070415108079629E-2</v>
      </c>
      <c r="N357">
        <f ca="1"/>
        <v>0.45866957873883069</v>
      </c>
      <c r="O357">
        <f ca="1"/>
        <v>0</v>
      </c>
      <c r="P357">
        <f ca="1"/>
        <v>116.45764959303058</v>
      </c>
      <c r="Q357">
        <f ca="1"/>
        <v>107.76113679874584</v>
      </c>
      <c r="R357">
        <f ca="1"/>
        <v>0</v>
      </c>
      <c r="S357">
        <f ca="1"/>
        <v>0.51935129404495006</v>
      </c>
      <c r="T357">
        <f ca="1"/>
        <v>0</v>
      </c>
      <c r="U357">
        <f ca="1"/>
        <v>0</v>
      </c>
      <c r="V357">
        <f ca="1"/>
        <v>0.99958771888192843</v>
      </c>
      <c r="X357" s="2">
        <f t="shared" ca="1" si="36"/>
        <v>45733</v>
      </c>
      <c r="Y357">
        <f t="shared" ca="1" si="37"/>
        <v>0</v>
      </c>
      <c r="AA357" s="63">
        <f t="shared" ca="1" si="39"/>
        <v>-45.751808546510439</v>
      </c>
      <c r="AB357" s="63">
        <f t="shared" ca="1" si="40"/>
        <v>-45.751808546510432</v>
      </c>
      <c r="AC357" s="3">
        <f t="shared" ca="1" si="41"/>
        <v>0</v>
      </c>
    </row>
    <row r="358" spans="8:29">
      <c r="H358" t="b">
        <f t="shared" ca="1" si="38"/>
        <v>0</v>
      </c>
      <c r="I358" t="b">
        <f t="shared" ca="1" si="35"/>
        <v>0</v>
      </c>
      <c r="J358" s="2">
        <f ca="1"/>
        <v>45734</v>
      </c>
      <c r="K358">
        <f ca="1"/>
        <v>-50.42309102657056</v>
      </c>
      <c r="L358">
        <f ca="1"/>
        <v>2.5690376639517609</v>
      </c>
      <c r="M358">
        <f ca="1"/>
        <v>4.1932166579183416E-2</v>
      </c>
      <c r="N358">
        <f ca="1"/>
        <v>0.44364521089788922</v>
      </c>
      <c r="O358">
        <f ca="1"/>
        <v>0</v>
      </c>
      <c r="P358">
        <f ca="1"/>
        <v>119.02668725698234</v>
      </c>
      <c r="Q358">
        <f ca="1"/>
        <v>110.13833074103887</v>
      </c>
      <c r="R358">
        <f ca="1"/>
        <v>0</v>
      </c>
      <c r="S358">
        <f ca="1"/>
        <v>0.49870124737075144</v>
      </c>
      <c r="T358">
        <f ca="1"/>
        <v>0</v>
      </c>
      <c r="U358">
        <f ca="1"/>
        <v>0</v>
      </c>
      <c r="V358">
        <f ca="1"/>
        <v>0.99963335213088667</v>
      </c>
      <c r="X358" s="2">
        <f t="shared" ca="1" si="36"/>
        <v>45734</v>
      </c>
      <c r="Y358">
        <f t="shared" ca="1" si="37"/>
        <v>0</v>
      </c>
      <c r="AA358" s="63">
        <f t="shared" ca="1" si="39"/>
        <v>-47.854053362618792</v>
      </c>
      <c r="AB358" s="63">
        <f t="shared" ca="1" si="40"/>
        <v>-47.854053362618799</v>
      </c>
      <c r="AC358" s="3">
        <f t="shared" ca="1" si="41"/>
        <v>0</v>
      </c>
    </row>
    <row r="359" spans="8:29">
      <c r="H359" t="b">
        <f t="shared" ca="1" si="38"/>
        <v>0</v>
      </c>
      <c r="I359" t="b">
        <f t="shared" ca="1" si="35"/>
        <v>0</v>
      </c>
      <c r="J359" s="2">
        <f ca="1"/>
        <v>45735</v>
      </c>
      <c r="K359">
        <f ca="1"/>
        <v>-52.462316041818141</v>
      </c>
      <c r="L359">
        <f ca="1"/>
        <v>2.4939605596738801</v>
      </c>
      <c r="M359">
        <f ca="1"/>
        <v>3.8180523632195928E-2</v>
      </c>
      <c r="N359">
        <f ca="1"/>
        <v>0.41655502079410767</v>
      </c>
      <c r="O359">
        <f ca="1"/>
        <v>0</v>
      </c>
      <c r="P359">
        <f ca="1"/>
        <v>121.52064781665622</v>
      </c>
      <c r="Q359">
        <f ca="1"/>
        <v>112.44605398619163</v>
      </c>
      <c r="R359">
        <f ca="1"/>
        <v>0</v>
      </c>
      <c r="S359">
        <f ca="1"/>
        <v>0.47696906215704865</v>
      </c>
      <c r="T359">
        <f ca="1"/>
        <v>0</v>
      </c>
      <c r="U359">
        <f ca="1"/>
        <v>0</v>
      </c>
      <c r="V359">
        <f ca="1"/>
        <v>0.99967295776175191</v>
      </c>
      <c r="X359" s="2">
        <f t="shared" ca="1" si="36"/>
        <v>45735</v>
      </c>
      <c r="Y359">
        <f t="shared" ca="1" si="37"/>
        <v>0</v>
      </c>
      <c r="AA359" s="63">
        <f t="shared" ca="1" si="39"/>
        <v>-49.968355482144261</v>
      </c>
      <c r="AB359" s="63">
        <f t="shared" ca="1" si="40"/>
        <v>-49.968355482144261</v>
      </c>
      <c r="AC359" s="3">
        <f t="shared" ca="1" si="41"/>
        <v>0</v>
      </c>
    </row>
    <row r="360" spans="8:29">
      <c r="H360" t="b">
        <f t="shared" ca="1" si="38"/>
        <v>0</v>
      </c>
      <c r="I360" t="b">
        <f t="shared" ca="1" si="35"/>
        <v>0</v>
      </c>
      <c r="J360" s="2">
        <f ca="1"/>
        <v>45736</v>
      </c>
      <c r="K360">
        <f ca="1"/>
        <v>-54.484236229481823</v>
      </c>
      <c r="L360">
        <f ca="1"/>
        <v>2.4892629094023562</v>
      </c>
      <c r="M360">
        <f ca="1"/>
        <v>3.907700653076418E-2</v>
      </c>
      <c r="N360">
        <f ca="1"/>
        <v>0.42826571520791568</v>
      </c>
      <c r="O360">
        <f ca="1"/>
        <v>0</v>
      </c>
      <c r="P360">
        <f ca="1"/>
        <v>124.00991072605858</v>
      </c>
      <c r="Q360">
        <f ca="1"/>
        <v>114.74943037963212</v>
      </c>
      <c r="R360">
        <f ca="1"/>
        <v>0</v>
      </c>
      <c r="S360">
        <f ca="1"/>
        <v>0.49518983937554928</v>
      </c>
      <c r="T360">
        <f ca="1"/>
        <v>0</v>
      </c>
      <c r="U360">
        <f ca="1"/>
        <v>0</v>
      </c>
      <c r="V360">
        <f ca="1"/>
        <v>0.99970838350153668</v>
      </c>
      <c r="X360" s="2">
        <f t="shared" ca="1" si="36"/>
        <v>45736</v>
      </c>
      <c r="Y360">
        <f t="shared" ca="1" si="37"/>
        <v>0</v>
      </c>
      <c r="AA360" s="63">
        <f t="shared" ca="1" si="39"/>
        <v>-51.994973320079467</v>
      </c>
      <c r="AB360" s="63">
        <f t="shared" ca="1" si="40"/>
        <v>-51.994973320079467</v>
      </c>
      <c r="AC360" s="3">
        <f t="shared" ca="1" si="41"/>
        <v>0</v>
      </c>
    </row>
    <row r="361" spans="8:29">
      <c r="H361" t="b">
        <f t="shared" ca="1" si="38"/>
        <v>0</v>
      </c>
      <c r="I361" t="b">
        <f t="shared" ca="1" si="35"/>
        <v>0</v>
      </c>
      <c r="J361" s="2">
        <f ca="1"/>
        <v>45737</v>
      </c>
      <c r="K361">
        <f ca="1"/>
        <v>-56.544423855823091</v>
      </c>
      <c r="L361">
        <f ca="1"/>
        <v>2.5148821857300305</v>
      </c>
      <c r="M361">
        <f ca="1"/>
        <v>3.6413494197262253E-2</v>
      </c>
      <c r="N361">
        <f ca="1"/>
        <v>0.41828106519150093</v>
      </c>
      <c r="O361">
        <f ca="1"/>
        <v>0</v>
      </c>
      <c r="P361">
        <f ca="1"/>
        <v>126.52479291178861</v>
      </c>
      <c r="Q361">
        <f ca="1"/>
        <v>117.07651292162258</v>
      </c>
      <c r="R361">
        <f ca="1"/>
        <v>0</v>
      </c>
      <c r="S361">
        <f ca="1"/>
        <v>0.4606629536557858</v>
      </c>
      <c r="T361">
        <f ca="1"/>
        <v>0</v>
      </c>
      <c r="U361">
        <f ca="1"/>
        <v>0</v>
      </c>
      <c r="V361">
        <f ca="1"/>
        <v>0.99974045718750226</v>
      </c>
      <c r="X361" s="2">
        <f t="shared" ca="1" si="36"/>
        <v>45737</v>
      </c>
      <c r="Y361">
        <f t="shared" ca="1" si="37"/>
        <v>0</v>
      </c>
      <c r="AA361" s="63">
        <f t="shared" ca="1" si="39"/>
        <v>-54.02954167009306</v>
      </c>
      <c r="AB361" s="63">
        <f t="shared" ca="1" si="40"/>
        <v>-54.02954167009306</v>
      </c>
      <c r="AC361" s="3">
        <f t="shared" ca="1" si="41"/>
        <v>0</v>
      </c>
    </row>
    <row r="362" spans="8:29">
      <c r="H362" t="b">
        <f t="shared" ca="1" si="38"/>
        <v>0</v>
      </c>
      <c r="I362" t="b">
        <f t="shared" ca="1" si="35"/>
        <v>0</v>
      </c>
      <c r="J362" s="2">
        <f ca="1"/>
        <v>45738</v>
      </c>
      <c r="K362">
        <f ca="1"/>
        <v>-58.571699478813393</v>
      </c>
      <c r="L362">
        <f ca="1"/>
        <v>2.4817081810688535</v>
      </c>
      <c r="M362">
        <f ca="1"/>
        <v>3.6030648617753513E-2</v>
      </c>
      <c r="N362">
        <f ca="1"/>
        <v>0.41840190946079703</v>
      </c>
      <c r="O362">
        <f ca="1"/>
        <v>0</v>
      </c>
      <c r="P362">
        <f ca="1"/>
        <v>129.00650109285746</v>
      </c>
      <c r="Q362">
        <f ca="1"/>
        <v>119.37289873852072</v>
      </c>
      <c r="R362">
        <f ca="1"/>
        <v>0</v>
      </c>
      <c r="S362">
        <f ca="1"/>
        <v>0.46736786923090651</v>
      </c>
      <c r="T362">
        <f ca="1"/>
        <v>0</v>
      </c>
      <c r="U362">
        <f ca="1"/>
        <v>0</v>
      </c>
      <c r="V362">
        <f ca="1"/>
        <v>0.9997688347867415</v>
      </c>
      <c r="X362" s="2">
        <f t="shared" ca="1" si="36"/>
        <v>45738</v>
      </c>
      <c r="Y362">
        <f t="shared" ca="1" si="37"/>
        <v>0</v>
      </c>
      <c r="AA362" s="63">
        <f t="shared" ca="1" si="39"/>
        <v>-56.08999129774454</v>
      </c>
      <c r="AB362" s="63">
        <f t="shared" ca="1" si="40"/>
        <v>-56.08999129774454</v>
      </c>
      <c r="AC362" s="3">
        <f t="shared" ca="1" si="41"/>
        <v>0</v>
      </c>
    </row>
    <row r="363" spans="8:29">
      <c r="H363" t="b">
        <f t="shared" ca="1" si="38"/>
        <v>0</v>
      </c>
      <c r="I363" t="b">
        <f t="shared" ca="1" si="35"/>
        <v>0</v>
      </c>
      <c r="J363" s="2">
        <f ca="1"/>
        <v>45739</v>
      </c>
      <c r="K363">
        <f ca="1"/>
        <v>-60.538308570854525</v>
      </c>
      <c r="L363">
        <f ca="1"/>
        <v>2.4140077556913866</v>
      </c>
      <c r="M363">
        <f ca="1"/>
        <v>3.5219961407296552E-2</v>
      </c>
      <c r="N363">
        <f ca="1"/>
        <v>0.41217870224295572</v>
      </c>
      <c r="O363">
        <f ca="1"/>
        <v>0</v>
      </c>
      <c r="P363">
        <f ca="1"/>
        <v>131.42050884854885</v>
      </c>
      <c r="Q363">
        <f ca="1"/>
        <v>121.60663968128708</v>
      </c>
      <c r="R363">
        <f ca="1"/>
        <v>0</v>
      </c>
      <c r="S363">
        <f ca="1"/>
        <v>0.47599579103918849</v>
      </c>
      <c r="T363">
        <f ca="1"/>
        <v>0</v>
      </c>
      <c r="U363">
        <f ca="1"/>
        <v>0</v>
      </c>
      <c r="V363">
        <f ca="1"/>
        <v>0.99979364365851608</v>
      </c>
      <c r="X363" s="2">
        <f t="shared" ca="1" si="36"/>
        <v>45739</v>
      </c>
      <c r="Y363">
        <f t="shared" ca="1" si="37"/>
        <v>0</v>
      </c>
      <c r="AA363" s="63">
        <f t="shared" ca="1" si="39"/>
        <v>-58.124300815163139</v>
      </c>
      <c r="AB363" s="63">
        <f t="shared" ca="1" si="40"/>
        <v>-58.124300815163139</v>
      </c>
      <c r="AC363" s="3">
        <f t="shared" ca="1" si="41"/>
        <v>0</v>
      </c>
    </row>
    <row r="364" spans="8:29">
      <c r="H364" t="b">
        <f t="shared" ca="1" si="38"/>
        <v>0</v>
      </c>
      <c r="I364" t="b">
        <f t="shared" ca="1" si="35"/>
        <v>0</v>
      </c>
      <c r="J364" s="2">
        <f ca="1"/>
        <v>45740</v>
      </c>
      <c r="K364">
        <f ca="1"/>
        <v>-62.483980458579268</v>
      </c>
      <c r="L364">
        <f ca="1"/>
        <v>2.3815911468159925</v>
      </c>
      <c r="M364">
        <f ca="1"/>
        <v>3.3448900069753762E-2</v>
      </c>
      <c r="N364">
        <f ca="1"/>
        <v>0.40247035902150147</v>
      </c>
      <c r="O364">
        <f ca="1"/>
        <v>0</v>
      </c>
      <c r="P364">
        <f ca="1"/>
        <v>133.80209999536484</v>
      </c>
      <c r="Q364">
        <f ca="1"/>
        <v>123.8103847359707</v>
      </c>
      <c r="R364">
        <f ca="1"/>
        <v>0</v>
      </c>
      <c r="S364">
        <f ca="1"/>
        <v>0.46246520093809701</v>
      </c>
      <c r="T364">
        <f ca="1"/>
        <v>0</v>
      </c>
      <c r="U364">
        <f ca="1"/>
        <v>0</v>
      </c>
      <c r="V364">
        <f ca="1"/>
        <v>0.99981569235415202</v>
      </c>
      <c r="X364" s="2">
        <f t="shared" ca="1" si="36"/>
        <v>45740</v>
      </c>
      <c r="Y364">
        <f t="shared" ca="1" si="37"/>
        <v>0</v>
      </c>
      <c r="AA364" s="63">
        <f t="shared" ca="1" si="39"/>
        <v>-60.102389311763268</v>
      </c>
      <c r="AB364" s="63">
        <f t="shared" ca="1" si="40"/>
        <v>-60.102389311763275</v>
      </c>
      <c r="AC364" s="3">
        <f t="shared" ca="1" si="41"/>
        <v>0</v>
      </c>
    </row>
    <row r="365" spans="8:29">
      <c r="H365" t="b">
        <f t="shared" ca="1" si="38"/>
        <v>0</v>
      </c>
      <c r="I365" t="b">
        <f t="shared" ca="1" si="35"/>
        <v>0</v>
      </c>
      <c r="J365" s="2">
        <f ca="1"/>
        <v>45741</v>
      </c>
      <c r="K365">
        <f ca="1"/>
        <v>-64.417067562683187</v>
      </c>
      <c r="L365">
        <f ca="1"/>
        <v>2.3611877869508362</v>
      </c>
      <c r="M365">
        <f ca="1"/>
        <v>3.1979529089237957E-2</v>
      </c>
      <c r="N365">
        <f ca="1"/>
        <v>0.39612115375767426</v>
      </c>
      <c r="O365">
        <f ca="1"/>
        <v>0</v>
      </c>
      <c r="P365">
        <f ca="1"/>
        <v>136.16328778231568</v>
      </c>
      <c r="Q365">
        <f ca="1"/>
        <v>125.99525005831158</v>
      </c>
      <c r="R365">
        <f ca="1"/>
        <v>0</v>
      </c>
      <c r="S365">
        <f ca="1"/>
        <v>0.44899222982761011</v>
      </c>
      <c r="T365">
        <f ca="1"/>
        <v>0</v>
      </c>
      <c r="U365">
        <f ca="1"/>
        <v>0</v>
      </c>
      <c r="V365">
        <f ca="1"/>
        <v>0.99983540750734412</v>
      </c>
      <c r="X365" s="2">
        <f t="shared" ca="1" si="36"/>
        <v>45741</v>
      </c>
      <c r="Y365">
        <f t="shared" ca="1" si="37"/>
        <v>0</v>
      </c>
      <c r="AA365" s="63">
        <f t="shared" ca="1" si="39"/>
        <v>-62.05587977573235</v>
      </c>
      <c r="AB365" s="63">
        <f t="shared" ca="1" si="40"/>
        <v>-62.05587977573235</v>
      </c>
      <c r="AC365" s="3">
        <f t="shared" ca="1" si="41"/>
        <v>0</v>
      </c>
    </row>
    <row r="366" spans="8:29">
      <c r="H366" t="b">
        <f t="shared" ca="1" si="38"/>
        <v>0</v>
      </c>
      <c r="I366" t="b">
        <f t="shared" ca="1" si="35"/>
        <v>0</v>
      </c>
      <c r="J366" s="2">
        <f ca="1"/>
        <v>45742</v>
      </c>
      <c r="K366">
        <f ca="1"/>
        <v>-66.32152897807147</v>
      </c>
      <c r="L366">
        <f ca="1"/>
        <v>2.3454900717690066</v>
      </c>
      <c r="M366">
        <f ca="1"/>
        <v>3.291779373144621E-2</v>
      </c>
      <c r="N366">
        <f ca="1"/>
        <v>0.40811086264927826</v>
      </c>
      <c r="O366">
        <f ca="1"/>
        <v>0</v>
      </c>
      <c r="P366">
        <f ca="1"/>
        <v>138.50877785408468</v>
      </c>
      <c r="Q366">
        <f ca="1"/>
        <v>128.16558989744851</v>
      </c>
      <c r="R366">
        <f ca="1"/>
        <v>0</v>
      </c>
      <c r="S366">
        <f ca="1"/>
        <v>0.46779287481835158</v>
      </c>
      <c r="T366">
        <f ca="1"/>
        <v>0</v>
      </c>
      <c r="U366">
        <f ca="1"/>
        <v>0</v>
      </c>
      <c r="V366">
        <f ca="1"/>
        <v>0.99985308256464756</v>
      </c>
      <c r="X366" s="2">
        <f t="shared" ca="1" si="36"/>
        <v>45742</v>
      </c>
      <c r="Y366">
        <f t="shared" ca="1" si="37"/>
        <v>0</v>
      </c>
      <c r="AA366" s="63">
        <f t="shared" ca="1" si="39"/>
        <v>-63.976038906302463</v>
      </c>
      <c r="AB366" s="63">
        <f t="shared" ca="1" si="40"/>
        <v>-63.976038906302463</v>
      </c>
      <c r="AC366" s="3">
        <f t="shared" ca="1" si="41"/>
        <v>0</v>
      </c>
    </row>
    <row r="367" spans="8:29">
      <c r="H367" t="b">
        <f t="shared" ca="1" si="38"/>
        <v>0</v>
      </c>
      <c r="I367" t="b">
        <f t="shared" ca="1" si="35"/>
        <v>0</v>
      </c>
      <c r="J367" s="2">
        <f ca="1"/>
        <v>45743</v>
      </c>
      <c r="K367">
        <f ca="1"/>
        <v>-68.231379238676709</v>
      </c>
      <c r="L367">
        <f ca="1"/>
        <v>2.3382954460840324</v>
      </c>
      <c r="M367">
        <f ca="1"/>
        <v>3.068787374156301E-2</v>
      </c>
      <c r="N367">
        <f ca="1"/>
        <v>0.39775731173722501</v>
      </c>
      <c r="O367">
        <f ca="1"/>
        <v>0</v>
      </c>
      <c r="P367">
        <f ca="1"/>
        <v>140.84707330016872</v>
      </c>
      <c r="Q367">
        <f ca="1"/>
        <v>130.32927237190935</v>
      </c>
      <c r="R367">
        <f ca="1"/>
        <v>0</v>
      </c>
      <c r="S367">
        <f ca="1"/>
        <v>0.43897299802752376</v>
      </c>
      <c r="T367">
        <f ca="1"/>
        <v>0</v>
      </c>
      <c r="U367">
        <f ca="1"/>
        <v>0</v>
      </c>
      <c r="V367">
        <f ca="1"/>
        <v>0.99986899072994151</v>
      </c>
      <c r="X367" s="2">
        <f t="shared" ca="1" si="36"/>
        <v>45743</v>
      </c>
      <c r="Y367">
        <f t="shared" ca="1" si="37"/>
        <v>0</v>
      </c>
      <c r="AA367" s="63">
        <f t="shared" ca="1" si="39"/>
        <v>-65.893083792592677</v>
      </c>
      <c r="AB367" s="63">
        <f t="shared" ca="1" si="40"/>
        <v>-65.893083792592677</v>
      </c>
      <c r="AC367" s="3">
        <f t="shared" ca="1" si="41"/>
        <v>0</v>
      </c>
    </row>
    <row r="368" spans="8:29">
      <c r="H368" t="b">
        <f t="shared" ca="1" si="38"/>
        <v>0</v>
      </c>
      <c r="I368" t="b">
        <f t="shared" ca="1" si="35"/>
        <v>0</v>
      </c>
      <c r="J368" s="2">
        <f ca="1"/>
        <v>45744</v>
      </c>
      <c r="K368">
        <f ca="1"/>
        <v>-70.104208443641397</v>
      </c>
      <c r="L368">
        <f ca="1"/>
        <v>2.299115125619636</v>
      </c>
      <c r="M368">
        <f ca="1"/>
        <v>3.0113686365005776E-2</v>
      </c>
      <c r="N368">
        <f ca="1"/>
        <v>0.39617223428993698</v>
      </c>
      <c r="O368">
        <f ca="1"/>
        <v>0</v>
      </c>
      <c r="P368">
        <f ca="1"/>
        <v>143.14618842578835</v>
      </c>
      <c r="Q368">
        <f ca="1"/>
        <v>132.45670032905738</v>
      </c>
      <c r="R368">
        <f ca="1"/>
        <v>0</v>
      </c>
      <c r="S368">
        <f ca="1"/>
        <v>0.44007317091721904</v>
      </c>
      <c r="T368">
        <f ca="1"/>
        <v>0</v>
      </c>
      <c r="U368">
        <f ca="1"/>
        <v>0</v>
      </c>
      <c r="V368">
        <f ca="1"/>
        <v>0.99988312209686092</v>
      </c>
      <c r="X368" s="2">
        <f t="shared" ca="1" si="36"/>
        <v>45744</v>
      </c>
      <c r="Y368">
        <f t="shared" ca="1" si="37"/>
        <v>0</v>
      </c>
      <c r="AA368" s="63">
        <f t="shared" ca="1" si="39"/>
        <v>-67.805093318021761</v>
      </c>
      <c r="AB368" s="63">
        <f t="shared" ca="1" si="40"/>
        <v>-67.805093318021761</v>
      </c>
      <c r="AC368" s="3">
        <f t="shared" ca="1" si="41"/>
        <v>0</v>
      </c>
    </row>
    <row r="369" spans="8:29">
      <c r="H369" t="b">
        <f t="shared" ca="1" si="38"/>
        <v>0</v>
      </c>
      <c r="I369" t="b">
        <f t="shared" ca="1" si="35"/>
        <v>0</v>
      </c>
      <c r="J369" s="2">
        <f ca="1"/>
        <v>45745</v>
      </c>
      <c r="K369">
        <f ca="1"/>
        <v>-71.96099678066534</v>
      </c>
      <c r="L369">
        <f ca="1"/>
        <v>2.2939842766965626</v>
      </c>
      <c r="M369">
        <f ca="1"/>
        <v>3.0584354449949558E-2</v>
      </c>
      <c r="N369">
        <f ca="1"/>
        <v>0.40661158522265806</v>
      </c>
      <c r="O369">
        <f ca="1"/>
        <v>0</v>
      </c>
      <c r="P369">
        <f ca="1"/>
        <v>145.44017270248492</v>
      </c>
      <c r="Q369">
        <f ca="1"/>
        <v>134.57938058509157</v>
      </c>
      <c r="R369">
        <f ca="1"/>
        <v>0</v>
      </c>
      <c r="S369">
        <f ca="1"/>
        <v>0.44828571687551488</v>
      </c>
      <c r="T369">
        <f ca="1"/>
        <v>0</v>
      </c>
      <c r="U369">
        <f ca="1"/>
        <v>0</v>
      </c>
      <c r="V369">
        <f ca="1"/>
        <v>0.99989586811883679</v>
      </c>
      <c r="X369" s="2">
        <f t="shared" ca="1" si="36"/>
        <v>45745</v>
      </c>
      <c r="Y369">
        <f t="shared" ca="1" si="37"/>
        <v>0</v>
      </c>
      <c r="AA369" s="63">
        <f t="shared" ca="1" si="39"/>
        <v>-69.667012503968778</v>
      </c>
      <c r="AB369" s="63">
        <f t="shared" ca="1" si="40"/>
        <v>-69.667012503968778</v>
      </c>
      <c r="AC369" s="3">
        <f t="shared" ca="1" si="41"/>
        <v>0</v>
      </c>
    </row>
    <row r="370" spans="8:29">
      <c r="H370" t="b">
        <f t="shared" ca="1" si="38"/>
        <v>0</v>
      </c>
      <c r="I370" t="b">
        <f t="shared" ca="1" si="35"/>
        <v>0</v>
      </c>
      <c r="J370" s="2">
        <f ca="1"/>
        <v>45746</v>
      </c>
      <c r="K370">
        <f ca="1"/>
        <v>-73.778667398817177</v>
      </c>
      <c r="L370">
        <f ca="1"/>
        <v>2.2342448026564057</v>
      </c>
      <c r="M370">
        <f ca="1"/>
        <v>2.8108998060275781E-2</v>
      </c>
      <c r="N370">
        <f ca="1"/>
        <v>0.38846518644429417</v>
      </c>
      <c r="O370">
        <f ca="1"/>
        <v>0</v>
      </c>
      <c r="P370">
        <f ca="1"/>
        <v>147.67441750514132</v>
      </c>
      <c r="Q370">
        <f ca="1"/>
        <v>136.64678243170545</v>
      </c>
      <c r="R370">
        <f ca="1"/>
        <v>0</v>
      </c>
      <c r="S370">
        <f ca="1"/>
        <v>0.42475099674107791</v>
      </c>
      <c r="T370">
        <f ca="1"/>
        <v>0</v>
      </c>
      <c r="U370">
        <f ca="1"/>
        <v>0</v>
      </c>
      <c r="V370">
        <f ca="1"/>
        <v>0.99990710061489785</v>
      </c>
      <c r="X370" s="2">
        <f t="shared" ca="1" si="36"/>
        <v>45746</v>
      </c>
      <c r="Y370">
        <f t="shared" ca="1" si="37"/>
        <v>0</v>
      </c>
      <c r="AA370" s="63">
        <f t="shared" ca="1" si="39"/>
        <v>-71.544422596160771</v>
      </c>
      <c r="AB370" s="63">
        <f t="shared" ca="1" si="40"/>
        <v>-71.544422596160771</v>
      </c>
      <c r="AC370" s="3">
        <f t="shared" ca="1" si="41"/>
        <v>0</v>
      </c>
    </row>
    <row r="371" spans="8:29">
      <c r="H371" t="b">
        <f t="shared" ca="1" si="38"/>
        <v>0</v>
      </c>
      <c r="I371" t="b">
        <f t="shared" ca="1" si="35"/>
        <v>0</v>
      </c>
      <c r="J371" s="2">
        <f ca="1"/>
        <v>45747</v>
      </c>
      <c r="K371">
        <f ca="1"/>
        <v>-75.534146854894615</v>
      </c>
      <c r="L371">
        <f ca="1"/>
        <v>2.1715862500884668</v>
      </c>
      <c r="M371">
        <f ca="1"/>
        <v>2.8041764523024426E-2</v>
      </c>
      <c r="N371">
        <f ca="1"/>
        <v>0.38806502948800331</v>
      </c>
      <c r="O371">
        <f ca="1"/>
        <v>0</v>
      </c>
      <c r="P371">
        <f ca="1"/>
        <v>149.84600375522979</v>
      </c>
      <c r="Q371">
        <f ca="1"/>
        <v>138.65620477350808</v>
      </c>
      <c r="R371">
        <f ca="1"/>
        <v>0</v>
      </c>
      <c r="S371">
        <f ca="1"/>
        <v>0.43727404295182737</v>
      </c>
      <c r="T371">
        <f ca="1"/>
        <v>0</v>
      </c>
      <c r="U371">
        <f ca="1"/>
        <v>0</v>
      </c>
      <c r="V371">
        <f ca="1"/>
        <v>0.9999170000723212</v>
      </c>
      <c r="X371" s="2">
        <f t="shared" ca="1" si="36"/>
        <v>45747</v>
      </c>
      <c r="Y371">
        <f t="shared" ca="1" si="37"/>
        <v>0</v>
      </c>
      <c r="AA371" s="63">
        <f t="shared" ca="1" si="39"/>
        <v>-73.362560604806148</v>
      </c>
      <c r="AB371" s="63">
        <f t="shared" ca="1" si="40"/>
        <v>-73.362560604806148</v>
      </c>
      <c r="AC371" s="3">
        <f t="shared" ca="1" si="41"/>
        <v>0</v>
      </c>
    </row>
    <row r="372" spans="8:29">
      <c r="H372" t="b">
        <f t="shared" ca="1" si="38"/>
        <v>0</v>
      </c>
      <c r="I372" t="b">
        <f t="shared" ca="1" si="35"/>
        <v>0</v>
      </c>
      <c r="J372" s="2">
        <f ca="1"/>
        <v>45748</v>
      </c>
      <c r="K372">
        <f ca="1"/>
        <v>-77.233926511306265</v>
      </c>
      <c r="L372">
        <f ca="1"/>
        <v>2.1001198113353325</v>
      </c>
      <c r="M372">
        <f ca="1"/>
        <v>2.6358804237624156E-2</v>
      </c>
      <c r="N372">
        <f ca="1"/>
        <v>0.37398135068607152</v>
      </c>
      <c r="O372">
        <f ca="1"/>
        <v>0</v>
      </c>
      <c r="P372">
        <f ca="1"/>
        <v>151.94612356656512</v>
      </c>
      <c r="Q372">
        <f ca="1"/>
        <v>140.59949745607486</v>
      </c>
      <c r="R372">
        <f ca="1"/>
        <v>0</v>
      </c>
      <c r="S372">
        <f ca="1"/>
        <v>0.42613750452613658</v>
      </c>
      <c r="T372">
        <f ca="1"/>
        <v>0</v>
      </c>
      <c r="U372">
        <f ca="1"/>
        <v>0</v>
      </c>
      <c r="V372">
        <f ca="1"/>
        <v>0.99992570135998982</v>
      </c>
      <c r="X372" s="2">
        <f t="shared" ca="1" si="36"/>
        <v>45748</v>
      </c>
      <c r="Y372">
        <f t="shared" ca="1" si="37"/>
        <v>0</v>
      </c>
      <c r="AA372" s="63">
        <f t="shared" ca="1" si="39"/>
        <v>-75.133806699970918</v>
      </c>
      <c r="AB372" s="63">
        <f t="shared" ca="1" si="40"/>
        <v>-75.133806699970933</v>
      </c>
      <c r="AC372" s="3">
        <f t="shared" ca="1" si="41"/>
        <v>0</v>
      </c>
    </row>
    <row r="373" spans="8:29">
      <c r="H373" t="b">
        <f t="shared" ca="1" si="38"/>
        <v>0</v>
      </c>
      <c r="I373" t="b">
        <f t="shared" ca="1" si="35"/>
        <v>0</v>
      </c>
      <c r="J373" s="2">
        <f ca="1"/>
        <v>45749</v>
      </c>
      <c r="K373">
        <f ca="1"/>
        <v>-78.880434478612884</v>
      </c>
      <c r="L373">
        <f ca="1"/>
        <v>2.0538764334348798</v>
      </c>
      <c r="M373">
        <f ca="1"/>
        <v>2.6921438784626162E-2</v>
      </c>
      <c r="N373">
        <f ca="1"/>
        <v>0.38044702734363622</v>
      </c>
      <c r="O373">
        <f ca="1"/>
        <v>0</v>
      </c>
      <c r="P373">
        <f ca="1"/>
        <v>154</v>
      </c>
      <c r="Q373">
        <f ca="1"/>
        <v>142.50000000000003</v>
      </c>
      <c r="R373">
        <f ca="1"/>
        <v>0</v>
      </c>
      <c r="S373">
        <f ca="1"/>
        <v>0.44500389637148446</v>
      </c>
      <c r="T373">
        <f ca="1"/>
        <v>0</v>
      </c>
      <c r="U373">
        <f ca="1"/>
        <v>0</v>
      </c>
      <c r="V373">
        <f ca="1"/>
        <v>0.99993345063478134</v>
      </c>
      <c r="X373" s="2">
        <f t="shared" ca="1" si="36"/>
        <v>45749</v>
      </c>
      <c r="Y373">
        <f t="shared" ca="1" si="37"/>
        <v>0</v>
      </c>
      <c r="AA373" s="63">
        <f t="shared" ca="1" si="39"/>
        <v>-76.826558045178004</v>
      </c>
      <c r="AB373" s="63">
        <f t="shared" ca="1" si="40"/>
        <v>-76.826558045178004</v>
      </c>
      <c r="AC373" s="3">
        <f t="shared" ca="1" si="41"/>
        <v>0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ca="1" si="35"/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ca="1" si="36"/>
        <v>0</v>
      </c>
      <c r="Y391">
        <f t="shared" ca="1" si="37"/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ca="1" si="38"/>
        <v>#N/A</v>
      </c>
      <c r="I392" t="e">
        <f t="shared" ca="1" si="35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36"/>
        <v>0</v>
      </c>
      <c r="Y392">
        <f t="shared" ca="1" si="37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38"/>
        <v>#N/A</v>
      </c>
      <c r="I393" t="e">
        <f t="shared" ca="1" si="35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36"/>
        <v>0</v>
      </c>
      <c r="Y393">
        <f t="shared" ca="1" si="37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38"/>
        <v>#N/A</v>
      </c>
      <c r="I394" t="e">
        <f t="shared" ca="1" si="35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36"/>
        <v>0</v>
      </c>
      <c r="Y394">
        <f t="shared" ca="1" si="37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38"/>
        <v>#N/A</v>
      </c>
      <c r="I395" t="e">
        <f t="shared" ref="I395:I458" ca="1" si="42">AND(IF(J395&gt;($J$7-1),TRUE,FALSE),IF(J395&lt;($J$8+1),TRUE,FALSE))</f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ref="X395:X458" ca="1" si="43">IFERROR(J395,$X$9)</f>
        <v>0</v>
      </c>
      <c r="Y395">
        <f t="shared" ref="Y395:Y458" ca="1" si="44">IFERROR(O395,0)</f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ref="H396:H459" ca="1" si="45">IF(J396&lt;$J$8,TRUE,FALSE)</f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ca="1" si="39"/>
        <v>#N/A</v>
      </c>
      <c r="AB396" s="63" t="e">
        <f t="shared" ca="1" si="40"/>
        <v>#N/A</v>
      </c>
      <c r="AC396" s="3" t="e">
        <f t="shared" ca="1" si="41"/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39"/>
        <v>#N/A</v>
      </c>
      <c r="AB397" s="63" t="e">
        <f t="shared" ca="1" si="40"/>
        <v>#N/A</v>
      </c>
      <c r="AC397" s="3" t="e">
        <f t="shared" ca="1" si="41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39"/>
        <v>#N/A</v>
      </c>
      <c r="AB398" s="63" t="e">
        <f t="shared" ca="1" si="40"/>
        <v>#N/A</v>
      </c>
      <c r="AC398" s="3" t="e">
        <f t="shared" ca="1" si="41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39"/>
        <v>#N/A</v>
      </c>
      <c r="AB399" s="63" t="e">
        <f t="shared" ca="1" si="40"/>
        <v>#N/A</v>
      </c>
      <c r="AC399" s="3" t="e">
        <f t="shared" ca="1" si="41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ref="AA400:AA463" ca="1" si="46">K399+M400+N400+O400</f>
        <v>#N/A</v>
      </c>
      <c r="AB400" s="63" t="e">
        <f t="shared" ref="AB400:AB463" ca="1" si="47">K400+L400+R400</f>
        <v>#N/A</v>
      </c>
      <c r="AC400" s="3" t="e">
        <f t="shared" ref="AC400:AC463" ca="1" si="48">AB400-AA400</f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ca="1" si="42"/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ca="1" si="43"/>
        <v>0</v>
      </c>
      <c r="Y455">
        <f t="shared" ca="1" si="44"/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ca="1" si="45"/>
        <v>#N/A</v>
      </c>
      <c r="I456" t="e">
        <f t="shared" ca="1" si="42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43"/>
        <v>0</v>
      </c>
      <c r="Y456">
        <f t="shared" ca="1" si="44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45"/>
        <v>#N/A</v>
      </c>
      <c r="I457" t="e">
        <f t="shared" ca="1" si="42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43"/>
        <v>0</v>
      </c>
      <c r="Y457">
        <f t="shared" ca="1" si="44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45"/>
        <v>#N/A</v>
      </c>
      <c r="I458" t="e">
        <f t="shared" ca="1" si="42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43"/>
        <v>0</v>
      </c>
      <c r="Y458">
        <f t="shared" ca="1" si="44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45"/>
        <v>#N/A</v>
      </c>
      <c r="I459" t="e">
        <f t="shared" ref="I459:I500" ca="1" si="49">AND(IF(J459&gt;($J$7-1),TRUE,FALSE),IF(J459&lt;($J$8+1),TRUE,FALSE))</f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ref="X459:X500" ca="1" si="50">IFERROR(J459,$X$9)</f>
        <v>0</v>
      </c>
      <c r="Y459">
        <f t="shared" ref="Y459:Y500" ca="1" si="51">IFERROR(O459,0)</f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ref="H460:H500" ca="1" si="52">IF(J460&lt;$J$8,TRUE,FALSE)</f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ca="1" si="46"/>
        <v>#N/A</v>
      </c>
      <c r="AB460" s="63" t="e">
        <f t="shared" ca="1" si="47"/>
        <v>#N/A</v>
      </c>
      <c r="AC460" s="3" t="e">
        <f t="shared" ca="1" si="48"/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46"/>
        <v>#N/A</v>
      </c>
      <c r="AB461" s="63" t="e">
        <f t="shared" ca="1" si="47"/>
        <v>#N/A</v>
      </c>
      <c r="AC461" s="3" t="e">
        <f t="shared" ca="1" si="48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46"/>
        <v>#N/A</v>
      </c>
      <c r="AB462" s="63" t="e">
        <f t="shared" ca="1" si="47"/>
        <v>#N/A</v>
      </c>
      <c r="AC462" s="3" t="e">
        <f t="shared" ca="1" si="48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46"/>
        <v>#N/A</v>
      </c>
      <c r="AB463" s="63" t="e">
        <f t="shared" ca="1" si="47"/>
        <v>#N/A</v>
      </c>
      <c r="AC463" s="3" t="e">
        <f t="shared" ca="1" si="48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ref="AA464:AA500" ca="1" si="53">K463+M464+N464+O464</f>
        <v>#N/A</v>
      </c>
      <c r="AB464" s="63" t="e">
        <f t="shared" ref="AB464:AB500" ca="1" si="54">K464+L464+R464</f>
        <v>#N/A</v>
      </c>
      <c r="AC464" s="3" t="e">
        <f t="shared" ref="AC464:AC500" ca="1" si="55">AB464-AA464</f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ca="1" si="50"/>
        <v>0</v>
      </c>
      <c r="Y497">
        <f t="shared" ca="1" si="51"/>
        <v>0</v>
      </c>
      <c r="AA497" s="63" t="e">
        <f t="shared" ca="1" si="53"/>
        <v>#N/A</v>
      </c>
      <c r="AB497" s="63" t="e">
        <f t="shared" ca="1" si="54"/>
        <v>#N/A</v>
      </c>
      <c r="AC497" s="3" t="e">
        <f t="shared" ca="1" si="55"/>
        <v>#N/A</v>
      </c>
    </row>
    <row r="498" spans="8:29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0"/>
        <v>0</v>
      </c>
      <c r="Y498">
        <f t="shared" ca="1" si="51"/>
        <v>0</v>
      </c>
      <c r="AA498" s="63" t="e">
        <f t="shared" ca="1" si="53"/>
        <v>#N/A</v>
      </c>
      <c r="AB498" s="63" t="e">
        <f t="shared" ca="1" si="54"/>
        <v>#N/A</v>
      </c>
      <c r="AC498" s="3" t="e">
        <f t="shared" ca="1" si="55"/>
        <v>#N/A</v>
      </c>
    </row>
    <row r="499" spans="8:29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0"/>
        <v>0</v>
      </c>
      <c r="Y499">
        <f t="shared" ca="1" si="51"/>
        <v>0</v>
      </c>
      <c r="AA499" s="63" t="e">
        <f t="shared" ca="1" si="53"/>
        <v>#N/A</v>
      </c>
      <c r="AB499" s="63" t="e">
        <f t="shared" ca="1" si="54"/>
        <v>#N/A</v>
      </c>
      <c r="AC499" s="3" t="e">
        <f t="shared" ca="1" si="55"/>
        <v>#N/A</v>
      </c>
    </row>
    <row r="500" spans="8:29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0"/>
        <v>0</v>
      </c>
      <c r="Y500">
        <f t="shared" ca="1" si="51"/>
        <v>0</v>
      </c>
      <c r="AA500" s="63" t="e">
        <f t="shared" ca="1" si="53"/>
        <v>#N/A</v>
      </c>
      <c r="AB500" s="63" t="e">
        <f t="shared" ca="1" si="54"/>
        <v>#N/A</v>
      </c>
      <c r="AC500" s="3" t="e">
        <f t="shared" ca="1" si="55"/>
        <v>#N/A</v>
      </c>
    </row>
    <row r="501" spans="8:29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ref="X501:X564" ca="1" si="58">IFERROR(J501,$X$9)</f>
        <v>0</v>
      </c>
      <c r="Y501">
        <f t="shared" ref="Y501:Y564" ca="1" si="59">IFERROR(O501,0)</f>
        <v>0</v>
      </c>
      <c r="AA501" s="63" t="e">
        <f t="shared" ref="AA501:AA564" ca="1" si="60">K500+M501+N501+O501</f>
        <v>#N/A</v>
      </c>
      <c r="AB501" s="63" t="e">
        <f t="shared" ref="AB501:AB564" ca="1" si="61">K501+L501+R501</f>
        <v>#N/A</v>
      </c>
      <c r="AC501" s="3" t="e">
        <f t="shared" ref="AC501:AC564" ca="1" si="62">AB501-AA501</f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ca="1" si="58"/>
        <v>0</v>
      </c>
      <c r="Y561">
        <f t="shared" ca="1" si="59"/>
        <v>0</v>
      </c>
      <c r="AA561" s="63" t="e">
        <f t="shared" ca="1" si="60"/>
        <v>#N/A</v>
      </c>
      <c r="AB561" s="63" t="e">
        <f t="shared" ca="1" si="61"/>
        <v>#N/A</v>
      </c>
      <c r="AC561" s="3" t="e">
        <f t="shared" ca="1" si="62"/>
        <v>#N/A</v>
      </c>
    </row>
    <row r="562" spans="8:29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58"/>
        <v>0</v>
      </c>
      <c r="Y562">
        <f t="shared" ca="1" si="59"/>
        <v>0</v>
      </c>
      <c r="AA562" s="63" t="e">
        <f t="shared" ca="1" si="60"/>
        <v>#N/A</v>
      </c>
      <c r="AB562" s="63" t="e">
        <f t="shared" ca="1" si="61"/>
        <v>#N/A</v>
      </c>
      <c r="AC562" s="3" t="e">
        <f t="shared" ca="1" si="62"/>
        <v>#N/A</v>
      </c>
    </row>
    <row r="563" spans="8:29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58"/>
        <v>0</v>
      </c>
      <c r="Y563">
        <f t="shared" ca="1" si="59"/>
        <v>0</v>
      </c>
      <c r="AA563" s="63" t="e">
        <f t="shared" ca="1" si="60"/>
        <v>#N/A</v>
      </c>
      <c r="AB563" s="63" t="e">
        <f t="shared" ca="1" si="61"/>
        <v>#N/A</v>
      </c>
      <c r="AC563" s="3" t="e">
        <f t="shared" ca="1" si="62"/>
        <v>#N/A</v>
      </c>
    </row>
    <row r="564" spans="8:29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58"/>
        <v>0</v>
      </c>
      <c r="Y564">
        <f t="shared" ca="1" si="59"/>
        <v>0</v>
      </c>
      <c r="AA564" s="63" t="e">
        <f t="shared" ca="1" si="60"/>
        <v>#N/A</v>
      </c>
      <c r="AB564" s="63" t="e">
        <f t="shared" ca="1" si="61"/>
        <v>#N/A</v>
      </c>
      <c r="AC564" s="3" t="e">
        <f t="shared" ca="1" si="62"/>
        <v>#N/A</v>
      </c>
    </row>
    <row r="565" spans="8:29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ref="X565:X628" ca="1" si="65">IFERROR(J565,$X$9)</f>
        <v>0</v>
      </c>
      <c r="Y565">
        <f t="shared" ref="Y565:Y628" ca="1" si="66">IFERROR(O565,0)</f>
        <v>0</v>
      </c>
      <c r="AA565" s="63" t="e">
        <f t="shared" ref="AA565:AA628" ca="1" si="67">K564+M565+N565+O565</f>
        <v>#N/A</v>
      </c>
      <c r="AB565" s="63" t="e">
        <f t="shared" ref="AB565:AB628" ca="1" si="68">K565+L565+R565</f>
        <v>#N/A</v>
      </c>
      <c r="AC565" s="3" t="e">
        <f t="shared" ref="AC565:AC628" ca="1" si="69">AB565-AA565</f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ca="1" si="65"/>
        <v>0</v>
      </c>
      <c r="Y625">
        <f t="shared" ca="1" si="66"/>
        <v>0</v>
      </c>
      <c r="AA625" s="63" t="e">
        <f t="shared" ca="1" si="67"/>
        <v>#N/A</v>
      </c>
      <c r="AB625" s="63" t="e">
        <f t="shared" ca="1" si="68"/>
        <v>#N/A</v>
      </c>
      <c r="AC625" s="3" t="e">
        <f t="shared" ca="1" si="69"/>
        <v>#N/A</v>
      </c>
    </row>
    <row r="626" spans="8:29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65"/>
        <v>0</v>
      </c>
      <c r="Y626">
        <f t="shared" ca="1" si="66"/>
        <v>0</v>
      </c>
      <c r="AA626" s="63" t="e">
        <f t="shared" ca="1" si="67"/>
        <v>#N/A</v>
      </c>
      <c r="AB626" s="63" t="e">
        <f t="shared" ca="1" si="68"/>
        <v>#N/A</v>
      </c>
      <c r="AC626" s="3" t="e">
        <f t="shared" ca="1" si="69"/>
        <v>#N/A</v>
      </c>
    </row>
    <row r="627" spans="8:29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65"/>
        <v>0</v>
      </c>
      <c r="Y627">
        <f t="shared" ca="1" si="66"/>
        <v>0</v>
      </c>
      <c r="AA627" s="63" t="e">
        <f t="shared" ca="1" si="67"/>
        <v>#N/A</v>
      </c>
      <c r="AB627" s="63" t="e">
        <f t="shared" ca="1" si="68"/>
        <v>#N/A</v>
      </c>
      <c r="AC627" s="3" t="e">
        <f t="shared" ca="1" si="69"/>
        <v>#N/A</v>
      </c>
    </row>
    <row r="628" spans="8:29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65"/>
        <v>0</v>
      </c>
      <c r="Y628">
        <f t="shared" ca="1" si="66"/>
        <v>0</v>
      </c>
      <c r="AA628" s="63" t="e">
        <f t="shared" ca="1" si="67"/>
        <v>#N/A</v>
      </c>
      <c r="AB628" s="63" t="e">
        <f t="shared" ca="1" si="68"/>
        <v>#N/A</v>
      </c>
      <c r="AC628" s="3" t="e">
        <f t="shared" ca="1" si="69"/>
        <v>#N/A</v>
      </c>
    </row>
    <row r="629" spans="8:29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ref="X629:X692" ca="1" si="72">IFERROR(J629,$X$9)</f>
        <v>0</v>
      </c>
      <c r="Y629">
        <f t="shared" ref="Y629:Y692" ca="1" si="73">IFERROR(O629,0)</f>
        <v>0</v>
      </c>
      <c r="AA629" s="63" t="e">
        <f t="shared" ref="AA629:AA692" ca="1" si="74">K628+M629+N629+O629</f>
        <v>#N/A</v>
      </c>
      <c r="AB629" s="63" t="e">
        <f t="shared" ref="AB629:AB692" ca="1" si="75">K629+L629+R629</f>
        <v>#N/A</v>
      </c>
      <c r="AC629" s="3" t="e">
        <f t="shared" ref="AC629:AC692" ca="1" si="76">AB629-AA629</f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ca="1" si="72"/>
        <v>0</v>
      </c>
      <c r="Y689">
        <f t="shared" ca="1" si="73"/>
        <v>0</v>
      </c>
      <c r="AA689" s="63" t="e">
        <f t="shared" ca="1" si="74"/>
        <v>#N/A</v>
      </c>
      <c r="AB689" s="63" t="e">
        <f t="shared" ca="1" si="75"/>
        <v>#N/A</v>
      </c>
      <c r="AC689" s="3" t="e">
        <f t="shared" ca="1" si="76"/>
        <v>#N/A</v>
      </c>
    </row>
    <row r="690" spans="8:29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2"/>
        <v>0</v>
      </c>
      <c r="Y690">
        <f t="shared" ca="1" si="73"/>
        <v>0</v>
      </c>
      <c r="AA690" s="63" t="e">
        <f t="shared" ca="1" si="74"/>
        <v>#N/A</v>
      </c>
      <c r="AB690" s="63" t="e">
        <f t="shared" ca="1" si="75"/>
        <v>#N/A</v>
      </c>
      <c r="AC690" s="3" t="e">
        <f t="shared" ca="1" si="76"/>
        <v>#N/A</v>
      </c>
    </row>
    <row r="691" spans="8:29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2"/>
        <v>0</v>
      </c>
      <c r="Y691">
        <f t="shared" ca="1" si="73"/>
        <v>0</v>
      </c>
      <c r="AA691" s="63" t="e">
        <f t="shared" ca="1" si="74"/>
        <v>#N/A</v>
      </c>
      <c r="AB691" s="63" t="e">
        <f t="shared" ca="1" si="75"/>
        <v>#N/A</v>
      </c>
      <c r="AC691" s="3" t="e">
        <f t="shared" ca="1" si="76"/>
        <v>#N/A</v>
      </c>
    </row>
    <row r="692" spans="8:29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2"/>
        <v>0</v>
      </c>
      <c r="Y692">
        <f t="shared" ca="1" si="73"/>
        <v>0</v>
      </c>
      <c r="AA692" s="63" t="e">
        <f t="shared" ca="1" si="74"/>
        <v>#N/A</v>
      </c>
      <c r="AB692" s="63" t="e">
        <f t="shared" ca="1" si="75"/>
        <v>#N/A</v>
      </c>
      <c r="AC692" s="3" t="e">
        <f t="shared" ca="1" si="76"/>
        <v>#N/A</v>
      </c>
    </row>
    <row r="693" spans="8:29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ref="X693:X756" ca="1" si="79">IFERROR(J693,$X$9)</f>
        <v>0</v>
      </c>
      <c r="Y693">
        <f t="shared" ref="Y693:Y756" ca="1" si="80">IFERROR(O693,0)</f>
        <v>0</v>
      </c>
      <c r="AA693" s="63" t="e">
        <f t="shared" ref="AA693:AA756" ca="1" si="81">K692+M693+N693+O693</f>
        <v>#N/A</v>
      </c>
      <c r="AB693" s="63" t="e">
        <f t="shared" ref="AB693:AB756" ca="1" si="82">K693+L693+R693</f>
        <v>#N/A</v>
      </c>
      <c r="AC693" s="3" t="e">
        <f t="shared" ref="AC693:AC756" ca="1" si="83">AB693-AA693</f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ca="1" si="79"/>
        <v>0</v>
      </c>
      <c r="Y753">
        <f t="shared" ca="1" si="80"/>
        <v>0</v>
      </c>
      <c r="AA753" s="63" t="e">
        <f t="shared" ca="1" si="81"/>
        <v>#N/A</v>
      </c>
      <c r="AB753" s="63" t="e">
        <f t="shared" ca="1" si="82"/>
        <v>#N/A</v>
      </c>
      <c r="AC753" s="3" t="e">
        <f t="shared" ca="1" si="83"/>
        <v>#N/A</v>
      </c>
    </row>
    <row r="754" spans="8:29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79"/>
        <v>0</v>
      </c>
      <c r="Y754">
        <f t="shared" ca="1" si="80"/>
        <v>0</v>
      </c>
      <c r="AA754" s="63" t="e">
        <f t="shared" ca="1" si="81"/>
        <v>#N/A</v>
      </c>
      <c r="AB754" s="63" t="e">
        <f t="shared" ca="1" si="82"/>
        <v>#N/A</v>
      </c>
      <c r="AC754" s="3" t="e">
        <f t="shared" ca="1" si="83"/>
        <v>#N/A</v>
      </c>
    </row>
    <row r="755" spans="8:29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79"/>
        <v>0</v>
      </c>
      <c r="Y755">
        <f t="shared" ca="1" si="80"/>
        <v>0</v>
      </c>
      <c r="AA755" s="63" t="e">
        <f t="shared" ca="1" si="81"/>
        <v>#N/A</v>
      </c>
      <c r="AB755" s="63" t="e">
        <f t="shared" ca="1" si="82"/>
        <v>#N/A</v>
      </c>
      <c r="AC755" s="3" t="e">
        <f t="shared" ca="1" si="83"/>
        <v>#N/A</v>
      </c>
    </row>
    <row r="756" spans="8:29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79"/>
        <v>0</v>
      </c>
      <c r="Y756">
        <f t="shared" ca="1" si="80"/>
        <v>0</v>
      </c>
      <c r="AA756" s="63" t="e">
        <f t="shared" ca="1" si="81"/>
        <v>#N/A</v>
      </c>
      <c r="AB756" s="63" t="e">
        <f t="shared" ca="1" si="82"/>
        <v>#N/A</v>
      </c>
      <c r="AC756" s="3" t="e">
        <f t="shared" ca="1" si="83"/>
        <v>#N/A</v>
      </c>
    </row>
    <row r="757" spans="8:29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ref="X757:X820" ca="1" si="86">IFERROR(J757,$X$9)</f>
        <v>0</v>
      </c>
      <c r="Y757">
        <f t="shared" ref="Y757:Y820" ca="1" si="87">IFERROR(O757,0)</f>
        <v>0</v>
      </c>
      <c r="AA757" s="63" t="e">
        <f t="shared" ref="AA757:AA820" ca="1" si="88">K756+M757+N757+O757</f>
        <v>#N/A</v>
      </c>
      <c r="AB757" s="63" t="e">
        <f t="shared" ref="AB757:AB820" ca="1" si="89">K757+L757+R757</f>
        <v>#N/A</v>
      </c>
      <c r="AC757" s="3" t="e">
        <f t="shared" ref="AC757:AC820" ca="1" si="90">AB757-AA757</f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ca="1" si="86"/>
        <v>0</v>
      </c>
      <c r="Y817">
        <f t="shared" ca="1" si="87"/>
        <v>0</v>
      </c>
      <c r="AA817" s="63" t="e">
        <f t="shared" ca="1" si="88"/>
        <v>#N/A</v>
      </c>
      <c r="AB817" s="63" t="e">
        <f t="shared" ca="1" si="89"/>
        <v>#N/A</v>
      </c>
      <c r="AC817" s="3" t="e">
        <f t="shared" ca="1" si="90"/>
        <v>#N/A</v>
      </c>
    </row>
    <row r="818" spans="8:29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86"/>
        <v>0</v>
      </c>
      <c r="Y818">
        <f t="shared" ca="1" si="87"/>
        <v>0</v>
      </c>
      <c r="AA818" s="63" t="e">
        <f t="shared" ca="1" si="88"/>
        <v>#N/A</v>
      </c>
      <c r="AB818" s="63" t="e">
        <f t="shared" ca="1" si="89"/>
        <v>#N/A</v>
      </c>
      <c r="AC818" s="3" t="e">
        <f t="shared" ca="1" si="90"/>
        <v>#N/A</v>
      </c>
    </row>
    <row r="819" spans="8:29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86"/>
        <v>0</v>
      </c>
      <c r="Y819">
        <f t="shared" ca="1" si="87"/>
        <v>0</v>
      </c>
      <c r="AA819" s="63" t="e">
        <f t="shared" ca="1" si="88"/>
        <v>#N/A</v>
      </c>
      <c r="AB819" s="63" t="e">
        <f t="shared" ca="1" si="89"/>
        <v>#N/A</v>
      </c>
      <c r="AC819" s="3" t="e">
        <f t="shared" ca="1" si="90"/>
        <v>#N/A</v>
      </c>
    </row>
    <row r="820" spans="8:29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86"/>
        <v>0</v>
      </c>
      <c r="Y820">
        <f t="shared" ca="1" si="87"/>
        <v>0</v>
      </c>
      <c r="AA820" s="63" t="e">
        <f t="shared" ca="1" si="88"/>
        <v>#N/A</v>
      </c>
      <c r="AB820" s="63" t="e">
        <f t="shared" ca="1" si="89"/>
        <v>#N/A</v>
      </c>
      <c r="AC820" s="3" t="e">
        <f t="shared" ca="1" si="90"/>
        <v>#N/A</v>
      </c>
    </row>
    <row r="821" spans="8:29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ref="X821:X884" ca="1" si="93">IFERROR(J821,$X$9)</f>
        <v>0</v>
      </c>
      <c r="Y821">
        <f t="shared" ref="Y821:Y884" ca="1" si="94">IFERROR(O821,0)</f>
        <v>0</v>
      </c>
      <c r="AA821" s="63" t="e">
        <f t="shared" ref="AA821:AA884" ca="1" si="95">K820+M821+N821+O821</f>
        <v>#N/A</v>
      </c>
      <c r="AB821" s="63" t="e">
        <f t="shared" ref="AB821:AB884" ca="1" si="96">K821+L821+R821</f>
        <v>#N/A</v>
      </c>
      <c r="AC821" s="3" t="e">
        <f t="shared" ref="AC821:AC884" ca="1" si="97">AB821-AA821</f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ca="1" si="93"/>
        <v>0</v>
      </c>
      <c r="Y881">
        <f t="shared" ca="1" si="94"/>
        <v>0</v>
      </c>
      <c r="AA881" s="63" t="e">
        <f t="shared" ca="1" si="95"/>
        <v>#N/A</v>
      </c>
      <c r="AB881" s="63" t="e">
        <f t="shared" ca="1" si="96"/>
        <v>#N/A</v>
      </c>
      <c r="AC881" s="3" t="e">
        <f t="shared" ca="1" si="97"/>
        <v>#N/A</v>
      </c>
    </row>
    <row r="882" spans="8:29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93"/>
        <v>0</v>
      </c>
      <c r="Y882">
        <f t="shared" ca="1" si="94"/>
        <v>0</v>
      </c>
      <c r="AA882" s="63" t="e">
        <f t="shared" ca="1" si="95"/>
        <v>#N/A</v>
      </c>
      <c r="AB882" s="63" t="e">
        <f t="shared" ca="1" si="96"/>
        <v>#N/A</v>
      </c>
      <c r="AC882" s="3" t="e">
        <f t="shared" ca="1" si="97"/>
        <v>#N/A</v>
      </c>
    </row>
    <row r="883" spans="8:29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93"/>
        <v>0</v>
      </c>
      <c r="Y883">
        <f t="shared" ca="1" si="94"/>
        <v>0</v>
      </c>
      <c r="AA883" s="63" t="e">
        <f t="shared" ca="1" si="95"/>
        <v>#N/A</v>
      </c>
      <c r="AB883" s="63" t="e">
        <f t="shared" ca="1" si="96"/>
        <v>#N/A</v>
      </c>
      <c r="AC883" s="3" t="e">
        <f t="shared" ca="1" si="97"/>
        <v>#N/A</v>
      </c>
    </row>
    <row r="884" spans="8:29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93"/>
        <v>0</v>
      </c>
      <c r="Y884">
        <f t="shared" ca="1" si="94"/>
        <v>0</v>
      </c>
      <c r="AA884" s="63" t="e">
        <f t="shared" ca="1" si="95"/>
        <v>#N/A</v>
      </c>
      <c r="AB884" s="63" t="e">
        <f t="shared" ca="1" si="96"/>
        <v>#N/A</v>
      </c>
      <c r="AC884" s="3" t="e">
        <f t="shared" ca="1" si="97"/>
        <v>#N/A</v>
      </c>
    </row>
    <row r="885" spans="8:29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ref="X885:X948" ca="1" si="100">IFERROR(J885,$X$9)</f>
        <v>0</v>
      </c>
      <c r="Y885">
        <f t="shared" ref="Y885:Y948" ca="1" si="101">IFERROR(O885,0)</f>
        <v>0</v>
      </c>
      <c r="AA885" s="63" t="e">
        <f t="shared" ref="AA885:AA948" ca="1" si="102">K884+M885+N885+O885</f>
        <v>#N/A</v>
      </c>
      <c r="AB885" s="63" t="e">
        <f t="shared" ref="AB885:AB948" ca="1" si="103">K885+L885+R885</f>
        <v>#N/A</v>
      </c>
      <c r="AC885" s="3" t="e">
        <f t="shared" ref="AC885:AC948" ca="1" si="104">AB885-AA885</f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ca="1" si="100"/>
        <v>0</v>
      </c>
      <c r="Y945">
        <f t="shared" ca="1" si="101"/>
        <v>0</v>
      </c>
      <c r="AA945" s="63" t="e">
        <f t="shared" ca="1" si="102"/>
        <v>#N/A</v>
      </c>
      <c r="AB945" s="63" t="e">
        <f t="shared" ca="1" si="103"/>
        <v>#N/A</v>
      </c>
      <c r="AC945" s="3" t="e">
        <f t="shared" ca="1" si="104"/>
        <v>#N/A</v>
      </c>
    </row>
    <row r="946" spans="8:29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0"/>
        <v>0</v>
      </c>
      <c r="Y946">
        <f t="shared" ca="1" si="101"/>
        <v>0</v>
      </c>
      <c r="AA946" s="63" t="e">
        <f t="shared" ca="1" si="102"/>
        <v>#N/A</v>
      </c>
      <c r="AB946" s="63" t="e">
        <f t="shared" ca="1" si="103"/>
        <v>#N/A</v>
      </c>
      <c r="AC946" s="3" t="e">
        <f t="shared" ca="1" si="104"/>
        <v>#N/A</v>
      </c>
    </row>
    <row r="947" spans="8:29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0"/>
        <v>0</v>
      </c>
      <c r="Y947">
        <f t="shared" ca="1" si="101"/>
        <v>0</v>
      </c>
      <c r="AA947" s="63" t="e">
        <f t="shared" ca="1" si="102"/>
        <v>#N/A</v>
      </c>
      <c r="AB947" s="63" t="e">
        <f t="shared" ca="1" si="103"/>
        <v>#N/A</v>
      </c>
      <c r="AC947" s="3" t="e">
        <f t="shared" ca="1" si="104"/>
        <v>#N/A</v>
      </c>
    </row>
    <row r="948" spans="8:29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0"/>
        <v>0</v>
      </c>
      <c r="Y948">
        <f t="shared" ca="1" si="101"/>
        <v>0</v>
      </c>
      <c r="AA948" s="63" t="e">
        <f t="shared" ca="1" si="102"/>
        <v>#N/A</v>
      </c>
      <c r="AB948" s="63" t="e">
        <f t="shared" ca="1" si="103"/>
        <v>#N/A</v>
      </c>
      <c r="AC948" s="3" t="e">
        <f t="shared" ca="1" si="104"/>
        <v>#N/A</v>
      </c>
    </row>
    <row r="949" spans="8:29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ref="X949:X1004" ca="1" si="107">IFERROR(J949,$X$9)</f>
        <v>0</v>
      </c>
      <c r="Y949">
        <f t="shared" ref="Y949:Y1004" ca="1" si="108">IFERROR(O949,0)</f>
        <v>0</v>
      </c>
      <c r="AA949" s="63" t="e">
        <f t="shared" ref="AA949:AA1004" ca="1" si="109">K948+M949+N949+O949</f>
        <v>#N/A</v>
      </c>
      <c r="AB949" s="63" t="e">
        <f t="shared" ref="AB949:AB1004" ca="1" si="110">K949+L949+R949</f>
        <v>#N/A</v>
      </c>
      <c r="AC949" s="3" t="e">
        <f t="shared" ref="AC949:AC1004" ca="1" si="111">AB949-AA949</f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  <row r="1001" spans="8:29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X1001" s="2">
        <f t="shared" ca="1" si="107"/>
        <v>0</v>
      </c>
      <c r="Y1001">
        <f t="shared" ca="1" si="108"/>
        <v>0</v>
      </c>
      <c r="AA1001" s="63" t="e">
        <f t="shared" ca="1" si="109"/>
        <v>#N/A</v>
      </c>
      <c r="AB1001" s="63" t="e">
        <f t="shared" ca="1" si="110"/>
        <v>#N/A</v>
      </c>
      <c r="AC1001" s="3" t="e">
        <f t="shared" ca="1" si="111"/>
        <v>#N/A</v>
      </c>
    </row>
    <row r="1002" spans="8:29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X1002" s="2">
        <f t="shared" ca="1" si="107"/>
        <v>0</v>
      </c>
      <c r="Y1002">
        <f t="shared" ca="1" si="108"/>
        <v>0</v>
      </c>
      <c r="AA1002" s="63" t="e">
        <f t="shared" ca="1" si="109"/>
        <v>#N/A</v>
      </c>
      <c r="AB1002" s="63" t="e">
        <f t="shared" ca="1" si="110"/>
        <v>#N/A</v>
      </c>
      <c r="AC1002" s="3" t="e">
        <f t="shared" ca="1" si="111"/>
        <v>#N/A</v>
      </c>
    </row>
    <row r="1003" spans="8:29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X1003" s="2">
        <f t="shared" ca="1" si="107"/>
        <v>0</v>
      </c>
      <c r="Y1003">
        <f t="shared" ca="1" si="108"/>
        <v>0</v>
      </c>
      <c r="AA1003" s="63" t="e">
        <f t="shared" ca="1" si="109"/>
        <v>#N/A</v>
      </c>
      <c r="AB1003" s="63" t="e">
        <f t="shared" ca="1" si="110"/>
        <v>#N/A</v>
      </c>
      <c r="AC1003" s="3" t="e">
        <f t="shared" ca="1" si="111"/>
        <v>#N/A</v>
      </c>
    </row>
    <row r="1004" spans="8:29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X1004" s="2">
        <f t="shared" ca="1" si="107"/>
        <v>0</v>
      </c>
      <c r="Y1004">
        <f t="shared" ca="1" si="108"/>
        <v>0</v>
      </c>
      <c r="AA1004" s="63" t="e">
        <f t="shared" ca="1" si="109"/>
        <v>#N/A</v>
      </c>
      <c r="AB1004" s="63" t="e">
        <f t="shared" ca="1" si="110"/>
        <v>#N/A</v>
      </c>
      <c r="AC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Y4" workbookViewId="0">
      <selection activeCell="AM11" sqref="AM11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  <col min="39" max="39" width="15.88671875" customWidth="1"/>
  </cols>
  <sheetData>
    <row r="1" spans="1:99">
      <c r="AS1" s="30" t="s">
        <v>40</v>
      </c>
      <c r="AT1" s="52" t="s">
        <v>39</v>
      </c>
      <c r="AU1" s="52" t="s">
        <v>51</v>
      </c>
      <c r="AV1" s="52" t="s">
        <v>92</v>
      </c>
      <c r="AW1" s="52" t="s">
        <v>75</v>
      </c>
      <c r="AX1" s="52" t="s">
        <v>74</v>
      </c>
      <c r="AY1" s="52" t="s">
        <v>73</v>
      </c>
      <c r="AZ1" s="52" t="s">
        <v>46</v>
      </c>
      <c r="BA1" s="52" t="s">
        <v>59</v>
      </c>
      <c r="BB1" s="52" t="s">
        <v>11</v>
      </c>
      <c r="BC1" s="52" t="s">
        <v>71</v>
      </c>
      <c r="BD1" s="52" t="s">
        <v>47</v>
      </c>
      <c r="BE1" s="52" t="s">
        <v>78</v>
      </c>
      <c r="BF1" s="52" t="s">
        <v>58</v>
      </c>
      <c r="BG1" s="52" t="s">
        <v>80</v>
      </c>
      <c r="BH1" s="52" t="s">
        <v>33</v>
      </c>
      <c r="BI1" s="52" t="s">
        <v>70</v>
      </c>
      <c r="BJ1" s="52" t="s">
        <v>30</v>
      </c>
      <c r="BK1" s="52" t="s">
        <v>36</v>
      </c>
      <c r="BL1" s="52" t="s">
        <v>86</v>
      </c>
      <c r="BM1" s="52" t="s">
        <v>65</v>
      </c>
      <c r="BN1" s="52" t="s">
        <v>49</v>
      </c>
      <c r="BO1" s="52" t="s">
        <v>6</v>
      </c>
      <c r="BP1" s="52" t="s">
        <v>50</v>
      </c>
      <c r="BQ1" s="52" t="s">
        <v>53</v>
      </c>
      <c r="BR1" s="52" t="s">
        <v>44</v>
      </c>
      <c r="BS1" s="52" t="s">
        <v>55</v>
      </c>
      <c r="BT1" s="52" t="s">
        <v>32</v>
      </c>
      <c r="BU1" s="52" t="s">
        <v>7</v>
      </c>
      <c r="BV1" s="52" t="s">
        <v>57</v>
      </c>
      <c r="BW1" s="52" t="s">
        <v>89</v>
      </c>
      <c r="BX1" s="52" t="s">
        <v>52</v>
      </c>
      <c r="BY1" s="52" t="s">
        <v>54</v>
      </c>
      <c r="BZ1" s="52" t="s">
        <v>84</v>
      </c>
      <c r="CA1" s="52" t="s">
        <v>61</v>
      </c>
      <c r="CB1" s="52" t="s">
        <v>35</v>
      </c>
      <c r="CC1" s="52" t="s">
        <v>56</v>
      </c>
      <c r="CD1" s="52" t="s">
        <v>82</v>
      </c>
      <c r="CE1" s="52" t="s">
        <v>41</v>
      </c>
      <c r="CF1" s="52" t="s">
        <v>60</v>
      </c>
      <c r="CG1" s="52" t="s">
        <v>72</v>
      </c>
      <c r="CH1" s="52" t="s">
        <v>91</v>
      </c>
      <c r="CI1" s="52" t="s">
        <v>69</v>
      </c>
      <c r="CJ1" s="52" t="s">
        <v>83</v>
      </c>
      <c r="CK1" s="52" t="s">
        <v>48</v>
      </c>
      <c r="CL1" s="52" t="s">
        <v>34</v>
      </c>
      <c r="CM1" s="52" t="s">
        <v>93</v>
      </c>
      <c r="CN1" s="52" t="s">
        <v>90</v>
      </c>
      <c r="CO1" s="52" t="s">
        <v>43</v>
      </c>
      <c r="CP1" s="52" t="s">
        <v>28</v>
      </c>
      <c r="CQ1" s="53" t="s">
        <v>37</v>
      </c>
      <c r="CR1" s="1" t="s">
        <v>42</v>
      </c>
      <c r="CS1" t="s">
        <v>280</v>
      </c>
      <c r="CT1" t="s">
        <v>281</v>
      </c>
      <c r="CU1" t="s">
        <v>254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76</v>
      </c>
      <c r="AX2" t="s">
        <v>29</v>
      </c>
      <c r="AY2" t="s">
        <v>29</v>
      </c>
      <c r="AZ2" t="s">
        <v>29</v>
      </c>
      <c r="BA2" t="s">
        <v>259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87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66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62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258</v>
      </c>
      <c r="CS2" t="s">
        <v>253</v>
      </c>
      <c r="CT2" t="s">
        <v>253</v>
      </c>
      <c r="CU2" t="s">
        <v>253</v>
      </c>
    </row>
    <row r="3" spans="1:99">
      <c r="AS3" s="12"/>
      <c r="AW3" t="s">
        <v>77</v>
      </c>
      <c r="BA3" t="s">
        <v>255</v>
      </c>
      <c r="BO3" t="s">
        <v>88</v>
      </c>
      <c r="BU3" t="s">
        <v>67</v>
      </c>
      <c r="CQ3" s="13" t="s">
        <v>38</v>
      </c>
      <c r="CR3" t="s">
        <v>257</v>
      </c>
      <c r="CS3" t="s">
        <v>245</v>
      </c>
      <c r="CT3" t="s">
        <v>245</v>
      </c>
      <c r="CU3" t="s">
        <v>245</v>
      </c>
    </row>
    <row r="4" spans="1:99">
      <c r="AS4" s="12"/>
      <c r="BA4" t="s">
        <v>256</v>
      </c>
      <c r="BU4" t="s">
        <v>68</v>
      </c>
      <c r="CQ4" s="13"/>
      <c r="CR4" t="s">
        <v>29</v>
      </c>
      <c r="CS4" t="s">
        <v>246</v>
      </c>
      <c r="CT4" t="s">
        <v>246</v>
      </c>
      <c r="CU4" t="s">
        <v>246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247</v>
      </c>
      <c r="CT5" t="s">
        <v>247</v>
      </c>
      <c r="CU5" t="s">
        <v>247</v>
      </c>
    </row>
    <row r="6" spans="1:99" ht="15" thickBot="1">
      <c r="AI6" t="s">
        <v>216</v>
      </c>
      <c r="AJ6" t="s">
        <v>218</v>
      </c>
      <c r="AM6" s="116" t="s">
        <v>264</v>
      </c>
      <c r="AN6">
        <v>5</v>
      </c>
      <c r="CS6" t="s">
        <v>248</v>
      </c>
      <c r="CT6" t="s">
        <v>248</v>
      </c>
      <c r="CU6" t="s">
        <v>248</v>
      </c>
    </row>
    <row r="7" spans="1:99">
      <c r="A7" s="45"/>
      <c r="B7" s="46"/>
      <c r="C7" s="46" t="s">
        <v>31</v>
      </c>
      <c r="D7" s="46" t="s">
        <v>45</v>
      </c>
      <c r="E7" s="46" t="s">
        <v>282</v>
      </c>
      <c r="F7" s="46" t="s">
        <v>18</v>
      </c>
      <c r="G7" s="47" t="s">
        <v>64</v>
      </c>
      <c r="H7" s="119" t="s">
        <v>8</v>
      </c>
      <c r="J7" s="30" t="s">
        <v>101</v>
      </c>
      <c r="L7" s="44" t="s">
        <v>102</v>
      </c>
      <c r="N7" s="41" t="s">
        <v>160</v>
      </c>
      <c r="P7" s="41" t="s">
        <v>161</v>
      </c>
      <c r="R7" s="41" t="s">
        <v>1</v>
      </c>
      <c r="U7" s="41" t="s">
        <v>3</v>
      </c>
      <c r="X7" s="111" t="s">
        <v>187</v>
      </c>
      <c r="Z7" s="111" t="s">
        <v>203</v>
      </c>
      <c r="AA7">
        <v>1.7</v>
      </c>
      <c r="AC7" t="s">
        <v>206</v>
      </c>
      <c r="AE7" t="s">
        <v>260</v>
      </c>
      <c r="AF7">
        <v>2</v>
      </c>
      <c r="AH7" t="s">
        <v>211</v>
      </c>
      <c r="AI7">
        <v>0.7</v>
      </c>
      <c r="AJ7">
        <v>0.76</v>
      </c>
      <c r="AM7" s="114" t="s">
        <v>265</v>
      </c>
      <c r="AN7">
        <v>15</v>
      </c>
      <c r="AP7" t="s">
        <v>243</v>
      </c>
      <c r="AR7" t="s">
        <v>272</v>
      </c>
      <c r="CS7" t="s">
        <v>249</v>
      </c>
      <c r="CT7" t="s">
        <v>249</v>
      </c>
      <c r="CU7" t="s">
        <v>249</v>
      </c>
    </row>
    <row r="8" spans="1:99">
      <c r="A8" s="48"/>
      <c r="B8" s="49"/>
      <c r="C8" s="49" t="s">
        <v>40</v>
      </c>
      <c r="D8" s="49" t="s">
        <v>39</v>
      </c>
      <c r="E8" s="49" t="s">
        <v>53</v>
      </c>
      <c r="F8" s="49" t="s">
        <v>59</v>
      </c>
      <c r="G8" s="50" t="s">
        <v>51</v>
      </c>
      <c r="H8" t="s">
        <v>280</v>
      </c>
      <c r="J8" s="12" t="s">
        <v>18</v>
      </c>
      <c r="L8" s="42" t="s">
        <v>19</v>
      </c>
      <c r="N8" s="42" t="s">
        <v>159</v>
      </c>
      <c r="P8" s="42" t="s">
        <v>168</v>
      </c>
      <c r="R8" s="42" t="s">
        <v>2</v>
      </c>
      <c r="S8">
        <v>1000</v>
      </c>
      <c r="U8" s="42" t="s">
        <v>180</v>
      </c>
      <c r="V8">
        <v>1</v>
      </c>
      <c r="X8" s="42" t="s">
        <v>188</v>
      </c>
      <c r="Z8" s="42" t="s">
        <v>194</v>
      </c>
      <c r="AA8">
        <v>1.35</v>
      </c>
      <c r="AC8" t="s">
        <v>210</v>
      </c>
      <c r="AE8" t="s">
        <v>261</v>
      </c>
      <c r="AF8">
        <v>3</v>
      </c>
      <c r="AH8" t="s">
        <v>66</v>
      </c>
      <c r="AI8">
        <v>1.1499999999999999</v>
      </c>
      <c r="AJ8">
        <v>1.22</v>
      </c>
      <c r="AM8" s="114" t="s">
        <v>266</v>
      </c>
      <c r="AN8">
        <v>17</v>
      </c>
      <c r="AP8" t="s">
        <v>227</v>
      </c>
      <c r="AR8" t="s">
        <v>273</v>
      </c>
      <c r="CS8" t="s">
        <v>250</v>
      </c>
      <c r="CT8" t="s">
        <v>250</v>
      </c>
      <c r="CU8" t="s">
        <v>250</v>
      </c>
    </row>
    <row r="9" spans="1:99" ht="15" thickBot="1">
      <c r="A9" s="12"/>
      <c r="C9" s="49" t="s">
        <v>39</v>
      </c>
      <c r="D9" s="49" t="s">
        <v>51</v>
      </c>
      <c r="E9" s="49" t="s">
        <v>55</v>
      </c>
      <c r="F9" s="49" t="s">
        <v>58</v>
      </c>
      <c r="G9" s="50" t="s">
        <v>92</v>
      </c>
      <c r="H9" t="s">
        <v>281</v>
      </c>
      <c r="J9" s="14" t="s">
        <v>20</v>
      </c>
      <c r="L9" s="42" t="s">
        <v>21</v>
      </c>
      <c r="N9" s="42" t="s">
        <v>103</v>
      </c>
      <c r="P9" s="42" t="s">
        <v>170</v>
      </c>
      <c r="R9" s="42" t="s">
        <v>104</v>
      </c>
      <c r="S9">
        <v>1</v>
      </c>
      <c r="U9" s="42" t="s">
        <v>181</v>
      </c>
      <c r="V9">
        <v>2</v>
      </c>
      <c r="X9" s="42" t="s">
        <v>190</v>
      </c>
      <c r="Z9" s="42" t="s">
        <v>193</v>
      </c>
      <c r="AA9">
        <v>1</v>
      </c>
      <c r="AE9" t="s">
        <v>262</v>
      </c>
      <c r="AH9" t="s">
        <v>212</v>
      </c>
      <c r="AI9">
        <v>1.1499999999999999</v>
      </c>
      <c r="AJ9">
        <v>1.2</v>
      </c>
      <c r="AM9" s="114" t="s">
        <v>267</v>
      </c>
      <c r="AN9">
        <v>20</v>
      </c>
      <c r="AR9" t="s">
        <v>274</v>
      </c>
      <c r="CS9" t="s">
        <v>251</v>
      </c>
      <c r="CT9" t="s">
        <v>251</v>
      </c>
      <c r="CU9" t="s">
        <v>251</v>
      </c>
    </row>
    <row r="10" spans="1:99" ht="15" thickBot="1">
      <c r="A10" s="12"/>
      <c r="C10" s="49" t="s">
        <v>33</v>
      </c>
      <c r="D10" s="49" t="s">
        <v>46</v>
      </c>
      <c r="E10" s="49" t="s">
        <v>54</v>
      </c>
      <c r="F10" s="49" t="s">
        <v>57</v>
      </c>
      <c r="G10" s="50" t="s">
        <v>75</v>
      </c>
      <c r="H10" t="s">
        <v>254</v>
      </c>
      <c r="L10" s="42" t="s">
        <v>22</v>
      </c>
      <c r="N10" s="42" t="s">
        <v>105</v>
      </c>
      <c r="P10" s="43" t="s">
        <v>169</v>
      </c>
      <c r="R10" s="43" t="s">
        <v>16</v>
      </c>
      <c r="S10">
        <v>1</v>
      </c>
      <c r="U10" s="43" t="s">
        <v>182</v>
      </c>
      <c r="V10">
        <v>3</v>
      </c>
      <c r="X10" s="43" t="s">
        <v>189</v>
      </c>
      <c r="Z10" s="42" t="s">
        <v>195</v>
      </c>
      <c r="AA10">
        <v>0.65</v>
      </c>
      <c r="AE10" t="s">
        <v>263</v>
      </c>
      <c r="AH10" t="s">
        <v>213</v>
      </c>
      <c r="AI10">
        <v>0.8</v>
      </c>
      <c r="AJ10">
        <v>0.83</v>
      </c>
      <c r="AM10" s="114" t="s">
        <v>283</v>
      </c>
      <c r="AN10">
        <v>16</v>
      </c>
      <c r="AR10" t="s">
        <v>275</v>
      </c>
      <c r="CS10" t="s">
        <v>252</v>
      </c>
      <c r="CT10" t="s">
        <v>252</v>
      </c>
      <c r="CU10" t="s">
        <v>252</v>
      </c>
    </row>
    <row r="11" spans="1:99" ht="15" thickBot="1">
      <c r="A11" s="12"/>
      <c r="C11" s="49" t="s">
        <v>36</v>
      </c>
      <c r="D11" s="49" t="s">
        <v>47</v>
      </c>
      <c r="E11" s="49" t="s">
        <v>35</v>
      </c>
      <c r="F11" s="49" t="s">
        <v>61</v>
      </c>
      <c r="G11" s="50" t="s">
        <v>74</v>
      </c>
      <c r="L11" s="42" t="s">
        <v>23</v>
      </c>
      <c r="N11" s="42" t="s">
        <v>106</v>
      </c>
      <c r="Z11" s="43" t="s">
        <v>204</v>
      </c>
      <c r="AA11">
        <v>0.3</v>
      </c>
      <c r="AH11" t="s">
        <v>214</v>
      </c>
      <c r="AI11">
        <v>1.17</v>
      </c>
      <c r="AJ11">
        <v>1.24</v>
      </c>
      <c r="AM11" s="114" t="s">
        <v>238</v>
      </c>
      <c r="AN11">
        <v>32</v>
      </c>
      <c r="AR11" t="s">
        <v>276</v>
      </c>
    </row>
    <row r="12" spans="1:99">
      <c r="A12" s="12"/>
      <c r="C12" s="49" t="s">
        <v>44</v>
      </c>
      <c r="D12" s="49" t="s">
        <v>30</v>
      </c>
      <c r="E12" s="49" t="s">
        <v>37</v>
      </c>
      <c r="F12" s="49" t="s">
        <v>35</v>
      </c>
      <c r="G12" s="50" t="s">
        <v>73</v>
      </c>
      <c r="L12" s="42" t="s">
        <v>24</v>
      </c>
      <c r="N12" s="42" t="s">
        <v>147</v>
      </c>
      <c r="AH12" t="s">
        <v>215</v>
      </c>
      <c r="AI12">
        <v>1.1599999999999999</v>
      </c>
      <c r="AJ12">
        <v>1.19</v>
      </c>
      <c r="AM12" s="114" t="s">
        <v>268</v>
      </c>
      <c r="AN12">
        <v>35</v>
      </c>
    </row>
    <row r="13" spans="1:99" ht="15" thickBot="1">
      <c r="A13" s="12"/>
      <c r="C13" s="49" t="s">
        <v>32</v>
      </c>
      <c r="D13" s="49" t="s">
        <v>49</v>
      </c>
      <c r="F13" s="49" t="s">
        <v>56</v>
      </c>
      <c r="G13" s="50" t="s">
        <v>59</v>
      </c>
      <c r="L13" s="43" t="s">
        <v>107</v>
      </c>
      <c r="N13" s="43"/>
      <c r="AH13" t="s">
        <v>219</v>
      </c>
      <c r="AM13" s="114" t="s">
        <v>269</v>
      </c>
      <c r="AN13">
        <v>20</v>
      </c>
    </row>
    <row r="14" spans="1:99">
      <c r="A14" s="12"/>
      <c r="C14" s="49" t="s">
        <v>35</v>
      </c>
      <c r="D14" s="49" t="s">
        <v>50</v>
      </c>
      <c r="F14" s="49" t="s">
        <v>60</v>
      </c>
      <c r="G14" s="50" t="s">
        <v>11</v>
      </c>
      <c r="AM14" s="114" t="s">
        <v>270</v>
      </c>
      <c r="AN14">
        <v>18</v>
      </c>
    </row>
    <row r="15" spans="1:99">
      <c r="A15" s="12"/>
      <c r="C15" s="49" t="s">
        <v>41</v>
      </c>
      <c r="D15" s="49" t="s">
        <v>44</v>
      </c>
      <c r="F15" s="49" t="s">
        <v>63</v>
      </c>
      <c r="G15" s="50" t="s">
        <v>71</v>
      </c>
      <c r="AM15" s="114" t="s">
        <v>271</v>
      </c>
      <c r="AN15">
        <v>22</v>
      </c>
    </row>
    <row r="16" spans="1:99">
      <c r="A16" s="12"/>
      <c r="C16" s="49" t="s">
        <v>34</v>
      </c>
      <c r="D16" s="49" t="s">
        <v>32</v>
      </c>
      <c r="G16" s="50" t="s">
        <v>78</v>
      </c>
      <c r="AM16" s="114" t="s">
        <v>239</v>
      </c>
      <c r="AN16">
        <v>20</v>
      </c>
    </row>
    <row r="17" spans="1:40">
      <c r="A17" s="12"/>
      <c r="C17" s="49" t="s">
        <v>43</v>
      </c>
      <c r="D17" s="49" t="s">
        <v>52</v>
      </c>
      <c r="G17" s="50" t="s">
        <v>80</v>
      </c>
      <c r="AM17" s="114" t="s">
        <v>240</v>
      </c>
      <c r="AN17">
        <v>50</v>
      </c>
    </row>
    <row r="18" spans="1:40">
      <c r="A18" s="12"/>
      <c r="C18" s="49" t="s">
        <v>37</v>
      </c>
      <c r="D18" s="49" t="s">
        <v>48</v>
      </c>
      <c r="G18" s="50" t="s">
        <v>70</v>
      </c>
    </row>
    <row r="19" spans="1:40">
      <c r="A19" s="12"/>
      <c r="C19" s="49" t="s">
        <v>42</v>
      </c>
      <c r="D19" s="49" t="s">
        <v>42</v>
      </c>
      <c r="G19" s="50" t="s">
        <v>86</v>
      </c>
    </row>
    <row r="20" spans="1:40">
      <c r="A20" s="12"/>
      <c r="G20" s="50" t="s">
        <v>65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57</v>
      </c>
    </row>
    <row r="24" spans="1:40">
      <c r="A24" s="12"/>
      <c r="G24" s="50" t="s">
        <v>89</v>
      </c>
    </row>
    <row r="25" spans="1:40">
      <c r="A25" s="12"/>
      <c r="G25" s="50" t="s">
        <v>52</v>
      </c>
    </row>
    <row r="26" spans="1:40">
      <c r="A26" s="12"/>
      <c r="G26" s="50" t="s">
        <v>84</v>
      </c>
    </row>
    <row r="27" spans="1:40">
      <c r="A27" s="12"/>
      <c r="G27" s="50" t="s">
        <v>56</v>
      </c>
    </row>
    <row r="28" spans="1:40">
      <c r="A28" s="12"/>
      <c r="G28" s="50" t="s">
        <v>82</v>
      </c>
    </row>
    <row r="29" spans="1:40">
      <c r="A29" s="12"/>
      <c r="G29" s="50" t="s">
        <v>72</v>
      </c>
    </row>
    <row r="30" spans="1:40">
      <c r="A30" s="12"/>
      <c r="G30" s="50" t="s">
        <v>91</v>
      </c>
    </row>
    <row r="31" spans="1:40">
      <c r="A31" s="12"/>
      <c r="G31" s="50" t="s">
        <v>69</v>
      </c>
    </row>
    <row r="32" spans="1:40">
      <c r="A32" s="12"/>
      <c r="G32" s="50" t="s">
        <v>83</v>
      </c>
    </row>
    <row r="33" spans="1:7">
      <c r="A33" s="12"/>
      <c r="G33" s="50" t="s">
        <v>93</v>
      </c>
    </row>
    <row r="34" spans="1:7">
      <c r="A34" s="12"/>
      <c r="G34" s="50" t="s">
        <v>90</v>
      </c>
    </row>
    <row r="35" spans="1:7">
      <c r="A35" s="12"/>
      <c r="G35" s="50" t="s">
        <v>81</v>
      </c>
    </row>
    <row r="36" spans="1:7">
      <c r="A36" s="12"/>
      <c r="G36" s="50" t="s">
        <v>79</v>
      </c>
    </row>
    <row r="37" spans="1:7" ht="15" thickBot="1">
      <c r="A37" s="12"/>
      <c r="G37" s="51" t="s">
        <v>85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93" activePane="bottomRight" state="frozen"/>
      <selection pane="topRight" activeCell="G1" sqref="G1"/>
      <selection pane="bottomLeft" activeCell="A2" sqref="A2"/>
      <selection pane="bottomRight" activeCell="E35" sqref="E35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1" workbookViewId="0">
      <selection activeCell="I2" sqref="I2:M2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0" t="s">
        <v>196</v>
      </c>
      <c r="B1" s="140"/>
      <c r="C1" s="140"/>
      <c r="D1" s="140"/>
      <c r="E1" s="140"/>
      <c r="F1" s="140"/>
      <c r="H1" s="140" t="s">
        <v>197</v>
      </c>
      <c r="I1" s="140"/>
      <c r="J1" s="140"/>
      <c r="K1" s="140"/>
      <c r="L1" s="140"/>
      <c r="M1" s="140"/>
      <c r="O1" s="140" t="s">
        <v>198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96</v>
      </c>
      <c r="B2" t="s">
        <v>97</v>
      </c>
      <c r="C2" t="s">
        <v>9</v>
      </c>
      <c r="D2" t="s">
        <v>98</v>
      </c>
      <c r="E2" t="s">
        <v>99</v>
      </c>
      <c r="F2" t="s">
        <v>10</v>
      </c>
      <c r="H2" t="s">
        <v>96</v>
      </c>
      <c r="I2" t="s">
        <v>97</v>
      </c>
      <c r="J2" t="s">
        <v>9</v>
      </c>
      <c r="K2" t="s">
        <v>98</v>
      </c>
      <c r="L2" t="s">
        <v>99</v>
      </c>
      <c r="M2" t="s">
        <v>10</v>
      </c>
      <c r="O2" t="s">
        <v>96</v>
      </c>
      <c r="P2" t="s">
        <v>97</v>
      </c>
      <c r="Q2" t="s">
        <v>9</v>
      </c>
      <c r="R2" t="s">
        <v>98</v>
      </c>
      <c r="S2" t="s">
        <v>99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157</vt:i4>
      </vt:variant>
    </vt:vector>
  </HeadingPairs>
  <TitlesOfParts>
    <vt:vector size="162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Brussel_sprout_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2024-06-22T08:03:27Z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